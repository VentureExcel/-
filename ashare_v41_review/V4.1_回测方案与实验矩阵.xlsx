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问题清单" sheetId="2" state="visible" r:id="rId2"/>
    <sheet xmlns:r="http://schemas.openxmlformats.org/officeDocument/2006/relationships" name="V4.1→V4.2" sheetId="3" state="visible" r:id="rId3"/>
    <sheet xmlns:r="http://schemas.openxmlformats.org/officeDocument/2006/relationships" name="实验矩阵" sheetId="4" state="visible" r:id="rId4"/>
    <sheet xmlns:r="http://schemas.openxmlformats.org/officeDocument/2006/relationships" name="数据字典" sheetId="5" state="visible" r:id="rId5"/>
    <sheet xmlns:r="http://schemas.openxmlformats.org/officeDocument/2006/relationships" name="参数网格" sheetId="6" state="visible" r:id="rId6"/>
    <sheet xmlns:r="http://schemas.openxmlformats.org/officeDocument/2006/relationships" name="成本模型" sheetId="7" state="visible" r:id="rId7"/>
    <sheet xmlns:r="http://schemas.openxmlformats.org/officeDocument/2006/relationships" name="结果登记" sheetId="8" state="visible" r:id="rId8"/>
    <sheet xmlns:r="http://schemas.openxmlformats.org/officeDocument/2006/relationships" name="验收门槛" sheetId="9" state="visible" r:id="rId9"/>
    <sheet xmlns:r="http://schemas.openxmlformats.org/officeDocument/2006/relationships" name="路线图" sheetId="10" state="visible" r:id="rId10"/>
    <sheet xmlns:r="http://schemas.openxmlformats.org/officeDocument/2006/relationships" name="本地Claude Code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%"/>
    <numFmt numFmtId="165" formatCode="0.0000%"/>
    <numFmt numFmtId="166" formatCode="0.0%"/>
    <numFmt numFmtId="167" formatCode="0.0"/>
    <numFmt numFmtId="168" formatCode="0.000"/>
  </numFmts>
  <fonts count="11">
    <font>
      <name val="Calibri"/>
      <family val="2"/>
      <color theme="1"/>
      <sz val="11"/>
      <scheme val="minor"/>
    </font>
    <font>
      <name val="Microsoft YaHei"/>
      <b val="1"/>
      <color rgb="001F3A5F"/>
      <sz val="16"/>
    </font>
    <font>
      <name val="Microsoft YaHei"/>
      <b val="1"/>
    </font>
    <font>
      <name val="Microsoft YaHei"/>
    </font>
    <font>
      <name val="Microsoft YaHei"/>
      <b val="1"/>
      <color rgb="001F3A5F"/>
      <sz val="14"/>
    </font>
    <font>
      <name val="Microsoft YaHei"/>
      <b val="1"/>
      <color rgb="00FFFFFF"/>
      <sz val="10"/>
    </font>
    <font>
      <name val="Microsoft YaHei"/>
      <sz val="9.5"/>
    </font>
    <font>
      <name val="Microsoft YaHei"/>
      <b val="1"/>
      <color rgb="00FFFFFF"/>
    </font>
    <font>
      <name val="Microsoft YaHei"/>
      <sz val="10"/>
    </font>
    <font>
      <name val="Microsoft YaHei"/>
      <b val="1"/>
      <color rgb="00B00020"/>
    </font>
    <font>
      <name val="Microsoft YaHei"/>
      <sz val="9"/>
    </font>
  </fonts>
  <fills count="6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1F3A5F"/>
      </patternFill>
    </fill>
    <fill>
      <patternFill patternType="solid">
        <fgColor rgb="00FFF6D6"/>
      </patternFill>
    </fill>
    <fill>
      <patternFill patternType="solid">
        <fgColor rgb="00E3F1F4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3" fillId="0" borderId="1" pivotButton="0" quotePrefix="0" xfId="0"/>
    <xf numFmtId="164" fontId="2" fillId="4" borderId="1" pivotButton="0" quotePrefix="0" xfId="0"/>
    <xf numFmtId="165" fontId="2" fillId="4" borderId="1" pivotButton="0" quotePrefix="0" xfId="0"/>
    <xf numFmtId="1" fontId="2" fillId="4" borderId="1" pivotButton="0" quotePrefix="0" xfId="0"/>
    <xf numFmtId="166" fontId="2" fillId="4" borderId="1" pivotButton="0" quotePrefix="0" xfId="0"/>
    <xf numFmtId="167" fontId="2" fillId="4" borderId="1" pivotButton="0" quotePrefix="0" xfId="0"/>
    <xf numFmtId="0" fontId="2" fillId="0" borderId="1" pivotButton="0" quotePrefix="0" xfId="0"/>
    <xf numFmtId="164" fontId="2" fillId="5" borderId="1" pivotButton="0" quotePrefix="0" xfId="0"/>
    <xf numFmtId="166" fontId="2" fillId="5" borderId="1" pivotButton="0" quotePrefix="0" xfId="0"/>
    <xf numFmtId="0" fontId="7" fillId="3" borderId="1" pivotButton="0" quotePrefix="0" xfId="0"/>
    <xf numFmtId="0" fontId="2" fillId="4" borderId="1" pivotButton="0" quotePrefix="0" xfId="0"/>
    <xf numFmtId="0" fontId="0" fillId="0" borderId="1" pivotButton="0" quotePrefix="0" xfId="0"/>
    <xf numFmtId="0" fontId="8" fillId="0" borderId="1" applyAlignment="1" pivotButton="0" quotePrefix="0" xfId="0">
      <alignment vertical="top" wrapText="1"/>
    </xf>
    <xf numFmtId="168" fontId="8" fillId="4" borderId="1" applyAlignment="1" pivotButton="0" quotePrefix="0" xfId="0">
      <alignment vertical="top" wrapText="1"/>
    </xf>
    <xf numFmtId="168" fontId="8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6" fontId="8" fillId="4" borderId="1" applyAlignment="1" pivotButton="0" quotePrefix="0" xfId="0">
      <alignment vertical="top" wrapText="1"/>
    </xf>
    <xf numFmtId="166" fontId="8" fillId="5" borderId="1" applyAlignment="1" pivotButton="0" quotePrefix="0" xfId="0">
      <alignment vertical="top" wrapText="1"/>
    </xf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bgColor rgb="00F4B6B6"/>
        </patternFill>
      </fill>
    </dxf>
    <dxf>
      <fill>
        <patternFill patternType="solid">
          <bgColor rgb="00FFD9A8"/>
        </patternFill>
      </fill>
    </dxf>
    <dxf>
      <fill>
        <patternFill patternType="solid">
          <bgColor rgb="00FFF1BF"/>
        </patternFill>
      </fill>
    </dxf>
    <dxf>
      <fill>
        <patternFill patternType="solid">
          <bgColor rgb="00DDE6EE"/>
        </patternFill>
      </fill>
    </dxf>
    <dxf>
      <fill>
        <patternFill patternType="solid">
          <bgColor rgb="00B7E1B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主力净流入策略 V4.1 评审与回测方案(Excel 配套)</t>
        </is>
      </c>
    </row>
    <row r="3" ht="44" customHeight="1">
      <c r="A3" s="2" t="inlineStr">
        <is>
          <t>对象</t>
        </is>
      </c>
      <c r="B3" s="3" t="inlineStr">
        <is>
          <t>V4.1 每日选股报告 2026-10-09(候选池 387 只、观察 60 只、0 买入)及其 Excel</t>
        </is>
      </c>
    </row>
    <row r="4" ht="44" customHeight="1">
      <c r="A4" s="2" t="inlineStr">
        <is>
          <t>本工作簿</t>
        </is>
      </c>
      <c r="B4" s="3" t="inlineStr">
        <is>
          <t>问题清单(15 项,按严重度)→ V4.1→V4.2 对照 → 实验矩阵 E1~E9 → 数据字典 → 参数网格 → 成本模型(公式)→ 验收门槛(公式判定)→ 结果登记 → 路线图 → 本地 Claude Code 清单</t>
        </is>
      </c>
    </row>
    <row r="5" ht="44" customHeight="1">
      <c r="A5" s="2" t="inlineStr">
        <is>
          <t>使用</t>
        </is>
      </c>
      <c r="B5" s="3" t="inlineStr">
        <is>
          <t>浅黄=可改输入;浅蓝=公式输出。本地回测跑完后,把关键数字填入《结果登记》,《验收门槛》自动给出 PASS/FAIL。</t>
        </is>
      </c>
    </row>
    <row r="6" ht="44" customHeight="1">
      <c r="A6" s="2" t="inlineStr">
        <is>
          <t>代码</t>
        </is>
      </c>
      <c r="B6" s="3" t="inlineStr">
        <is>
          <t>backtest/ 目录:bt 包、selftest.py、run_backtest.py、config.example.yaml、CLAUDE_CODE_TASK.md</t>
        </is>
      </c>
    </row>
    <row r="7" ht="44" customHeight="1">
      <c r="A7" s="2" t="inlineStr">
        <is>
          <t>重要提示</t>
        </is>
      </c>
      <c r="B7" s="3" t="inlineStr">
        <is>
          <t>合成数据自检结果只证明引擎无前视/无技术错误,不是 V4.1 或 V4.2 的收益证据。阈值(G1~G4)是预先登记的建议值,可按你的风险偏好调整,但必须在看到样本外结果之前确定。仅供研究,不构成投资建议。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8" customWidth="1" min="4" max="4"/>
    <col width="52" customWidth="1" min="5" max="5"/>
    <col width="38" customWidth="1" min="6" max="6"/>
    <col width="44" customWidth="1" min="7" max="7"/>
    <col width="10" customWidth="1" min="8" max="8"/>
  </cols>
  <sheetData>
    <row r="1">
      <c r="A1" s="4" t="inlineStr">
        <is>
          <t>V4.1 问题清单(按严重度排序)</t>
        </is>
      </c>
    </row>
    <row r="3">
      <c r="A3" s="5" t="inlineStr">
        <is>
          <t>编号</t>
        </is>
      </c>
      <c r="B3" s="5" t="inlineStr">
        <is>
          <t>严重度</t>
        </is>
      </c>
      <c r="C3" s="5" t="inlineStr">
        <is>
          <t>模块</t>
        </is>
      </c>
      <c r="D3" s="5" t="inlineStr">
        <is>
          <t>问题</t>
        </is>
      </c>
      <c r="E3" s="5" t="inlineStr">
        <is>
          <t>证据(来自 10-09 报告/Excel)</t>
        </is>
      </c>
      <c r="F3" s="5" t="inlineStr">
        <is>
          <t>影响</t>
        </is>
      </c>
      <c r="G3" s="5" t="inlineStr">
        <is>
          <t>调整措施</t>
        </is>
      </c>
      <c r="H3" s="5" t="inlineStr">
        <is>
          <t>验证实验</t>
        </is>
      </c>
    </row>
    <row r="4">
      <c r="A4" s="6" t="inlineStr">
        <is>
          <t>P1</t>
        </is>
      </c>
      <c r="B4" s="6" t="inlineStr">
        <is>
          <t>致命</t>
        </is>
      </c>
      <c r="C4" s="6" t="inlineStr">
        <is>
          <t>验证</t>
        </is>
      </c>
      <c r="D4" s="6" t="inlineStr">
        <is>
          <t>没有任何样本外业绩证据</t>
        </is>
      </c>
      <c r="E4" s="6" t="inlineStr">
        <is>
          <t>方案 2026-08-12 定稿;至 2026-10-09 仅 60 个交易日试运行;C1 绝对门槛(需≥60 个历史样本)直到本期才勉强接近,期间 0 买入;跟踪表只回填观察名单,无全市场对照</t>
        </is>
      </c>
      <c r="F4" s="6" t="inlineStr">
        <is>
          <t>无法回答"这个策略是否赚钱、赚多少、风险多大";所有参数(35/25/20/20、1.5、15%)均未经检验</t>
        </is>
      </c>
      <c r="G4" s="6" t="inlineStr">
        <is>
          <t>先对全市场做历史回测与 IC 检验(≥2 年),再决定是否继续迭代评分;同时建立不可修改的前向记录</t>
        </is>
      </c>
      <c r="H4" s="6" t="inlineStr">
        <is>
          <t>E1,E2,E8</t>
        </is>
      </c>
    </row>
    <row r="5">
      <c r="A5" s="6" t="inlineStr">
        <is>
          <t>P2</t>
        </is>
      </c>
      <c r="B5" s="6" t="inlineStr">
        <is>
          <t>致命</t>
        </is>
      </c>
      <c r="C5" s="6" t="inlineStr">
        <is>
          <t>信号</t>
        </is>
      </c>
      <c r="D5" s="6" t="inlineStr">
        <is>
          <t>核心因子"主力净流入"的预测力未被检验</t>
        </is>
      </c>
      <c r="E5" s="6" t="inlineStr">
        <is>
          <t>初筛、D1、D2、C4 全部围绕主力净流入;资金由数据商按单笔成交额阈值划分,买卖必有对手方;5 日累计、当日值均为顺周期的成交结果</t>
        </is>
      </c>
      <c r="F5" s="6" t="inlineStr">
        <is>
          <t>该类指标在 A 股 1~5 日常呈"延续与反转并存",随市值、换手、行情风格切换;若无稳定 IC,整个体系只是在给"当日强势股"排序</t>
        </is>
      </c>
      <c r="G5" s="6" t="inlineStr">
        <is>
          <t>对资金类因子做 1/3/5/10/20 日 RankIC、分层收益、行业市值中性检验;区分净流入占成交额、相对自身历史的异常程度、连续性</t>
        </is>
      </c>
      <c r="H5" s="6" t="inlineStr">
        <is>
          <t>E1</t>
        </is>
      </c>
    </row>
    <row r="6">
      <c r="A6" s="6" t="inlineStr">
        <is>
          <t>P3</t>
        </is>
      </c>
      <c r="B6" s="6" t="inlineStr">
        <is>
          <t>严重</t>
        </is>
      </c>
      <c r="C6" s="6" t="inlineStr">
        <is>
          <t>评分</t>
        </is>
      </c>
      <c r="D6" s="6" t="inlineStr">
        <is>
          <t>四维分高度共线,名义 4 维实为约 2.5 维</t>
        </is>
      </c>
      <c r="E6" s="6" t="inlineStr">
        <is>
          <t>候选池 387 只:D1 与 资金/市值比 的 Spearman ρ=0.97;D1–D2 ρ=0.83;相关矩阵参与比≈2.5;D1 贡献原始分方差约 44%(名义权重 35%),D4 仅约 11%(名义 20%)</t>
        </is>
      </c>
      <c r="F6" s="6" t="inlineStr">
        <is>
          <t>权重与"四维均衡"的叙述不符;C3 只检验离散度(标准差&gt;0.05),不检验独立性与预测力,形同虚设</t>
        </is>
      </c>
      <c r="G6" s="6" t="inlineStr">
        <is>
          <t>改为:先做相关性/VIF 筛选,再用滚动 IC 或岭回归定权重;C3 换为"相关矩阵条件数/有效维度"检查</t>
        </is>
      </c>
      <c r="H6" s="6" t="inlineStr">
        <is>
          <t>E1,E2</t>
        </is>
      </c>
    </row>
    <row r="7">
      <c r="A7" s="6" t="inlineStr">
        <is>
          <t>P4</t>
        </is>
      </c>
      <c r="B7" s="6" t="inlineStr">
        <is>
          <t>严重</t>
        </is>
      </c>
      <c r="C7" s="6" t="inlineStr">
        <is>
          <t>评分</t>
        </is>
      </c>
      <c r="D7" s="6" t="inlineStr">
        <is>
          <t>动量与反转混在同一个分数里(U 型)</t>
        </is>
      </c>
      <c r="E7" s="6" t="inlineStr">
        <is>
          <t>修正综合分按当日涨跌幅五分位:最跌 20% 为 4.20、中间 3.54~3.75、最涨 20% 为 4.88;D4(距压力位空间)与涨跌幅 ρ=-0.30;观察第 1 名胜通能源当日-8.23%、5 日-17.41%</t>
        </is>
      </c>
      <c r="F7" s="6" t="inlineStr">
        <is>
          <t>D4"跌透反弹加分"与低 BIAS20 降低 Overheat 同向奖励下跌,与"资金动量"逻辑冲突;组合同时持有接飞刀与追涨两类风险</t>
        </is>
      </c>
      <c r="G7" s="6" t="inlineStr">
        <is>
          <t>拆为两个子策略:动量延续(资金流入+趋势向上)与超跌吸筹(资金流入+超跌),各自评分、各自回测,不混合</t>
        </is>
      </c>
      <c r="H7" s="6" t="inlineStr">
        <is>
          <t>E4</t>
        </is>
      </c>
    </row>
    <row r="8">
      <c r="A8" s="6" t="inlineStr">
        <is>
          <t>P5</t>
        </is>
      </c>
      <c r="B8" s="6" t="inlineStr">
        <is>
          <t>严重</t>
        </is>
      </c>
      <c r="C8" s="6" t="inlineStr">
        <is>
          <t>评分</t>
        </is>
      </c>
      <c r="D8" s="6" t="inlineStr">
        <is>
          <t>维度分与双门槛全部"批内相对化"</t>
        </is>
      </c>
      <c r="E8" s="6" t="inlineStr">
        <is>
          <t>维度分=0.5×批内Z排名+0.5×批内分位(历史分位"暂以批内替代");初筛 N 历史在 662~1682 之间波动(今日 1432);相对条件为前 15%</t>
        </is>
      </c>
      <c r="F8" s="6" t="inlineStr">
        <is>
          <t>分数分布由构造决定(近似均匀),不含绝对强弱信息;牛熊切换、资金面整体放量/缩量时无法区分"好日子"与"坏日子"</t>
        </is>
      </c>
      <c r="G8" s="6" t="inlineStr">
        <is>
          <t>加入时间序列维度(相对自身 60/120 日的异常程度)、行业/市值中性残差;绝对条件改用"预期超额收益模型输出"而非历史综合分分位</t>
        </is>
      </c>
      <c r="H8" s="6" t="inlineStr">
        <is>
          <t>E1,E4</t>
        </is>
      </c>
    </row>
    <row r="9">
      <c r="A9" s="6" t="inlineStr">
        <is>
          <t>P6</t>
        </is>
      </c>
      <c r="B9" s="6" t="inlineStr">
        <is>
          <t>严重</t>
        </is>
      </c>
      <c r="C9" s="6" t="inlineStr">
        <is>
          <t>熔断</t>
        </is>
      </c>
      <c r="D9" s="6" t="inlineStr">
        <is>
          <t>C1 绝对门槛设计缺陷;C2/C3 为恒真或弱检验</t>
        </is>
      </c>
      <c r="E9" s="6" t="inlineStr">
        <is>
          <t>C1:绝对条件=历史综合分 60 分位,但综合分本身是批内排名构造,分布近似稳定→"绝对门槛"几乎不含信息,即使攒够 250 天也只会退化为纯相对;C2:Overheat 已 min-max 归一,值域必然∈[0,1]</t>
        </is>
      </c>
      <c r="F9" s="6" t="inlineStr">
        <is>
          <t>熔断触发=0 买入但并不降低真实风险;熔断通过也不代表策略有效(无法证伪)</t>
        </is>
      </c>
      <c r="G9" s="6" t="inlineStr">
        <is>
          <t>删除 C1/C2 形式熔断,换成真实熔断:数据熔断(缺失率、单位、N 异常)、环境闸门(敞口 0~100%)、策略回撤熔断(滚动 20 日净值)、容量熔断</t>
        </is>
      </c>
      <c r="H9" s="6" t="inlineStr">
        <is>
          <t>E6</t>
        </is>
      </c>
    </row>
    <row r="10">
      <c r="A10" s="6" t="inlineStr">
        <is>
          <t>P7</t>
        </is>
      </c>
      <c r="B10" s="6" t="inlineStr">
        <is>
          <t>严重</t>
        </is>
      </c>
      <c r="C10" s="6" t="inlineStr">
        <is>
          <t>过热惩罚</t>
        </is>
      </c>
      <c r="D10" s="6" t="inlineStr">
        <is>
          <t>Overheat 惩罚近乎装饰</t>
        </is>
      </c>
      <c r="E10" s="6" t="inlineStr">
        <is>
          <t>修正分=原始分-1.5×Overheat;Overheat 标准差 0.119,惩罚的截面波动仅≈0.18,而原始分标准差 1.25;前 60 名在有无惩罚下重合 54/60;Overheat 与当日涨跌幅 ρ 为正、与 D4 ρ=-0.49</t>
        </is>
      </c>
      <c r="F10" s="6" t="inlineStr">
        <is>
          <t>既没挡住追高(涨停硬约束才是真正的约束),又与 D4 反向相互抵消;系数 1.5 无来源</t>
        </is>
      </c>
      <c r="G10" s="6" t="inlineStr">
        <is>
          <t>取消减法惩罚;用硬过滤(5 日涨幅区间 -12%~+25%、涨停不买、BIAS20 上限)替代;如保留则用回测定系数</t>
        </is>
      </c>
      <c r="H10" s="6" t="inlineStr">
        <is>
          <t>E2</t>
        </is>
      </c>
    </row>
    <row r="11">
      <c r="A11" s="6" t="inlineStr">
        <is>
          <t>P8</t>
        </is>
      </c>
      <c r="B11" s="6" t="inlineStr">
        <is>
          <t>严重</t>
        </is>
      </c>
      <c r="C11" s="6" t="inlineStr">
        <is>
          <t>初筛</t>
        </is>
      </c>
      <c r="D11" s="6" t="inlineStr">
        <is>
          <t>816/1432(57%)"主力与散户同为净流入"被当作口径异常剔除</t>
        </is>
      </c>
      <c r="E11" s="6" t="inlineStr">
        <is>
          <t>[4] 剔除 816 只;C5 损耗率 58.7%,报告自己承认"样本存在轻度选择性偏差"</t>
        </is>
      </c>
      <c r="F11" s="6" t="inlineStr">
        <is>
          <t>中单/对手盘为净流出时,主力与小单同为净流入完全可能;该规则实际引入了隐含因子(主力买、散户卖)并大幅改变样本,且未经检验</t>
        </is>
      </c>
      <c r="G11" s="6" t="inlineStr">
        <is>
          <t>不剔除,改为特征 retail_div=(主力-小单)/成交额,检验是否有增量;如有效再作为打分项</t>
        </is>
      </c>
      <c r="H11" s="6" t="inlineStr">
        <is>
          <t>E2</t>
        </is>
      </c>
    </row>
    <row r="12">
      <c r="A12" s="6" t="inlineStr">
        <is>
          <t>P9</t>
        </is>
      </c>
      <c r="B12" s="6" t="inlineStr">
        <is>
          <t>严重</t>
        </is>
      </c>
      <c r="C12" s="6" t="inlineStr">
        <is>
          <t>闸门</t>
        </is>
      </c>
      <c r="D12" s="6" t="inlineStr">
        <is>
          <t>宏观闸门阈值几乎永远不会触发,且缺少 A 股内生状态变量</t>
        </is>
      </c>
      <c r="E12" s="6" t="inlineStr">
        <is>
          <t>触发条件=沪深300/中证500 单日跌&gt;5%、美国 CPI/非农/FOMC 日、重大政策;本期各项均"未触发"</t>
        </is>
      </c>
      <c r="F12" s="6" t="inlineStr">
        <is>
          <t>单日-5% 在 A 股极为罕见,事件日历只提示波动而非方向;真正决定该策略胜率的广度、成交额、风格、跌停家数等未纳入</t>
        </is>
      </c>
      <c r="G12" s="6" t="inlineStr">
        <is>
          <t>改为 5 项环境分(广度、成交额分位、指数趋势、跌停占比、波动率分位)→ 敞口 0/25/50/75/100%;阈值由回测校准</t>
        </is>
      </c>
      <c r="H12" s="6" t="inlineStr">
        <is>
          <t>E6</t>
        </is>
      </c>
    </row>
    <row r="13">
      <c r="A13" s="6" t="inlineStr">
        <is>
          <t>P10</t>
        </is>
      </c>
      <c r="B13" s="6" t="inlineStr">
        <is>
          <t>中</t>
        </is>
      </c>
      <c r="C13" s="6" t="inlineStr">
        <is>
          <t>执行</t>
        </is>
      </c>
      <c r="D13" s="6" t="inlineStr">
        <is>
          <t>没有持有期、退出、仓位规则,T+1 与交易成本未建模</t>
        </is>
      </c>
      <c r="E13" s="6" t="inlineStr">
        <is>
          <t>报告只有"观察"与 T+1/T+5/T+10 回填;组合约束仅有行业≤2 只/单票≤15%/权重≤40%;成本"0 元"</t>
        </is>
      </c>
      <c r="F13" s="6" t="inlineStr">
        <is>
          <t>无法计算净收益;A 股 T+1、涨跌停、停牌、滑点、冲击会显著吞噬短线资金流策略的收益</t>
        </is>
      </c>
      <c r="G13" s="6" t="inlineStr">
        <is>
          <t>T 收盘出信号→T+1 开盘成交(涨停不买);持有 N 日 + 7%止损 + 资金流反转离场;10~20 只、单票≤10%、行业≤30%;成本按双边≥0.3% 起算并做敏感性</t>
        </is>
      </c>
      <c r="H13" s="6" t="inlineStr">
        <is>
          <t>E3,E5</t>
        </is>
      </c>
    </row>
    <row r="14">
      <c r="A14" s="6" t="inlineStr">
        <is>
          <t>P11</t>
        </is>
      </c>
      <c r="B14" s="6" t="inlineStr">
        <is>
          <t>中</t>
        </is>
      </c>
      <c r="C14" s="6" t="inlineStr">
        <is>
          <t>评分</t>
        </is>
      </c>
      <c r="D14" s="6" t="inlineStr">
        <is>
          <t>压力位数据缺省被当成利好,且空间指标逻辑矛盾</t>
        </is>
      </c>
      <c r="E14" s="6" t="inlineStr">
        <is>
          <t>华鑫股份"压力位数据缺省(space=0)"却列为 D4 贡献维度 9.0;汉得信息距压力位 2.31%、TCL 中环 0.52% 仍高分入围</t>
        </is>
      </c>
      <c r="F14" s="6" t="inlineStr">
        <is>
          <t>缺省值处理可能把"无数据"当作"无压力";近压力位的高分标的盈亏比不足</t>
        </is>
      </c>
      <c r="G14" s="6" t="inlineStr">
        <is>
          <t>缺省→剔除或中性分,不得加分;D4 改为盈亏比(ATR 止损距离 vs 压力位距离),盈亏比&lt;1.5 直接排除</t>
        </is>
      </c>
      <c r="H14" s="6" t="inlineStr">
        <is>
          <t>E2,E4</t>
        </is>
      </c>
    </row>
    <row r="15">
      <c r="A15" s="6" t="inlineStr">
        <is>
          <t>P12</t>
        </is>
      </c>
      <c r="B15" s="6" t="inlineStr">
        <is>
          <t>中</t>
        </is>
      </c>
      <c r="C15" s="6" t="inlineStr">
        <is>
          <t>风格</t>
        </is>
      </c>
      <c r="D15" s="6" t="inlineStr">
        <is>
          <t>无行业/市值中性,存在隐含大市值倾斜</t>
        </is>
      </c>
      <c r="E15" s="6" t="inlineStr">
        <is>
          <t>观察名单 60 只市值中位数 149 亿,候选池 66.5 亿;D2、D3 与市值 ρ≈0.47、0.46;行业集中在电子/计算机/有色/电力设备</t>
        </is>
      </c>
      <c r="F15" s="6" t="inlineStr">
        <is>
          <t>收益可能来自市值/行业/风格 beta 而非资金流 alpha;换风格时失效</t>
        </is>
      </c>
      <c r="G15" s="6" t="inlineStr">
        <is>
          <t>因子对 [行业哑变量+ln市值] 回归取残差;组合做行业约束与风格归因</t>
        </is>
      </c>
      <c r="H15" s="6" t="inlineStr">
        <is>
          <t>E1,E4</t>
        </is>
      </c>
    </row>
    <row r="16">
      <c r="A16" s="6" t="inlineStr">
        <is>
          <t>P13</t>
        </is>
      </c>
      <c r="B16" s="6" t="inlineStr">
        <is>
          <t>中</t>
        </is>
      </c>
      <c r="C16" s="6" t="inlineStr">
        <is>
          <t>数据</t>
        </is>
      </c>
      <c r="D16" s="6" t="inlineStr">
        <is>
          <t>数据管线脆弱且不可回放</t>
        </is>
      </c>
      <c r="E16" s="6" t="inlineStr">
        <is>
          <t>问财 6 次连查、"日期列自动发现"、单位核对、25 只缺失;今日资金流可能是收盘前快照;5 日累计靠逐日单字段查询累加</t>
        </is>
      </c>
      <c r="F16" s="6" t="inlineStr">
        <is>
          <t>供应商口径变化或快照时点不同会静默改变信号;无法在历史上重放相同逻辑</t>
        </is>
      </c>
      <c r="G16" s="6" t="inlineStr">
        <is>
          <t>每日落地原始快照(parquet)+ 版本号;历史回测用同口径的本地库;上线前做"供应商口径回归测试"</t>
        </is>
      </c>
      <c r="H16" s="6" t="inlineStr">
        <is>
          <t>数据体检</t>
        </is>
      </c>
    </row>
    <row r="17">
      <c r="A17" s="6" t="inlineStr">
        <is>
          <t>P14</t>
        </is>
      </c>
      <c r="B17" s="6" t="inlineStr">
        <is>
          <t>中</t>
        </is>
      </c>
      <c r="C17" s="6" t="inlineStr">
        <is>
          <t>治理</t>
        </is>
      </c>
      <c r="D17" s="6" t="inlineStr">
        <is>
          <t>流程叙述多、验收标准少</t>
        </is>
      </c>
      <c r="E17" s="6" t="inlineStr">
        <is>
          <t>每只入选股有长篇"入选理由";模型档位在 Pro/Flash 间降级;V4→V4.1 多次改规则</t>
        </is>
      </c>
      <c r="F17" s="6" t="inlineStr">
        <is>
          <t>叙述不构成证据;多次迭代没有记录试验次数,存在过拟合与多重检验风险</t>
        </is>
      </c>
      <c r="G17" s="6" t="inlineStr">
        <is>
          <t>预先登记验收门槛(见《验收门槛》);记录所有试验次数并用通缩夏普折扣;规则冻结后才允许看样本外</t>
        </is>
      </c>
      <c r="H17" s="6" t="inlineStr">
        <is>
          <t>E7,E8</t>
        </is>
      </c>
    </row>
    <row r="18">
      <c r="A18" s="6" t="inlineStr">
        <is>
          <t>P15</t>
        </is>
      </c>
      <c r="B18" s="6" t="inlineStr">
        <is>
          <t>低</t>
        </is>
      </c>
      <c r="C18" s="6" t="inlineStr">
        <is>
          <t>初筛</t>
        </is>
      </c>
      <c r="D18" s="6" t="inlineStr">
        <is>
          <t>换手 1%~5%、市值 30~500 亿等硬边界未经检验</t>
        </is>
      </c>
      <c r="E18" s="6" t="inlineStr">
        <is>
          <t>硬边界剔除大量强势股与大盘股</t>
        </is>
      </c>
      <c r="F18" s="6" t="inlineStr">
        <is>
          <t>边界附近样本可能系统性不同;参数悬崖</t>
        </is>
      </c>
      <c r="G18" s="6" t="inlineStr">
        <is>
          <t>做边界敏感性(0.5%/8% 换手、20/800 亿市值)</t>
        </is>
      </c>
      <c r="H18" s="6" t="inlineStr">
        <is>
          <t>E3</t>
        </is>
      </c>
    </row>
  </sheetData>
  <conditionalFormatting sqref="B4:B18">
    <cfRule type="cellIs" priority="1" operator="equal" dxfId="0">
      <formula>"致命"</formula>
    </cfRule>
    <cfRule type="cellIs" priority="2" operator="equal" dxfId="1">
      <formula>"严重"</formula>
    </cfRule>
    <cfRule type="cellIs" priority="3" operator="equal" dxfId="2">
      <formula>"中"</formula>
    </cfRule>
    <cfRule type="cellIs" priority="4" operator="equal" dxfId="3">
      <formula>"低"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62" customWidth="1" min="3" max="3"/>
    <col width="36" customWidth="1" min="4" max="4"/>
  </cols>
  <sheetData>
    <row r="1">
      <c r="A1" s="4" t="inlineStr">
        <is>
          <t>调整方案对照</t>
        </is>
      </c>
    </row>
    <row r="3">
      <c r="A3" s="5" t="inlineStr">
        <is>
          <t>领域</t>
        </is>
      </c>
      <c r="B3" s="5" t="inlineStr">
        <is>
          <t>V4.1 现状</t>
        </is>
      </c>
      <c r="C3" s="5" t="inlineStr">
        <is>
          <t>V4.2 调整</t>
        </is>
      </c>
      <c r="D3" s="5" t="inlineStr">
        <is>
          <t>理由</t>
        </is>
      </c>
    </row>
    <row r="4">
      <c r="A4" s="6" t="inlineStr">
        <is>
          <t>样本与验证</t>
        </is>
      </c>
      <c r="B4" s="6" t="inlineStr">
        <is>
          <t>仅观察名单跟踪,无历史回测</t>
        </is>
      </c>
      <c r="C4" s="6" t="inlineStr">
        <is>
          <t>全市场 ≥2 年历史:单因子 IC → 分层 → 组合回测 → 样本外一次性验证</t>
        </is>
      </c>
      <c r="D4" s="6" t="inlineStr">
        <is>
          <t>没有证据的参数不应上线</t>
        </is>
      </c>
    </row>
    <row r="5">
      <c r="A5" s="6" t="inlineStr">
        <is>
          <t>信号构造</t>
        </is>
      </c>
      <c r="B5" s="6" t="inlineStr">
        <is>
          <t>资金/市值比为核心(D1≈该因子)</t>
        </is>
      </c>
      <c r="C5" s="6" t="inlineStr">
        <is>
          <t>资金流改为"净流入占成交额"、5/20 日平滑、相对自身 60 日历史的 z 值、连续净流入天数;资金/市值比仅作对照</t>
        </is>
      </c>
      <c r="D5" s="6" t="inlineStr">
        <is>
          <t>去市值相关性,保留异常程度与持续性</t>
        </is>
      </c>
    </row>
    <row r="6">
      <c r="A6" s="6" t="inlineStr">
        <is>
          <t>维度结构</t>
        </is>
      </c>
      <c r="B6" s="6" t="inlineStr">
        <is>
          <t>四维、权重 35/25/20/20、批内 Z+分位</t>
        </is>
      </c>
      <c r="C6" s="6" t="inlineStr">
        <is>
          <t>按 IC/岭回归滚动定权重;截面分位→行业市值中性;剔除共线因子</t>
        </is>
      </c>
      <c r="D6" s="6" t="inlineStr">
        <is>
          <t>有效维度从 2.5 提升到可解释的 3~4</t>
        </is>
      </c>
    </row>
    <row r="7">
      <c r="A7" s="6" t="inlineStr">
        <is>
          <t>动量/反转</t>
        </is>
      </c>
      <c r="B7" s="6" t="inlineStr">
        <is>
          <t>同一分数里混合</t>
        </is>
      </c>
      <c r="C7" s="6" t="inlineStr">
        <is>
          <t>两个子策略:mom(资金流入+站上20日线)与 rev(资金流入+超跌),分别回测</t>
        </is>
      </c>
      <c r="D7" s="6" t="inlineStr">
        <is>
          <t>避免 U 型分数与风险暴露不清</t>
        </is>
      </c>
    </row>
    <row r="8">
      <c r="A8" s="6" t="inlineStr">
        <is>
          <t>过热惩罚</t>
        </is>
      </c>
      <c r="B8" s="6" t="inlineStr">
        <is>
          <t>原始分-1.5×Overheat</t>
        </is>
      </c>
      <c r="C8" s="6" t="inlineStr">
        <is>
          <t>取消减法;硬过滤:5日涨幅∈[-12%,+25%]、涨停不买、剔除新股/ST</t>
        </is>
      </c>
      <c r="D8" s="6" t="inlineStr">
        <is>
          <t>惩罚近乎装饰,硬过滤更可控</t>
        </is>
      </c>
    </row>
    <row r="9">
      <c r="A9" s="6" t="inlineStr">
        <is>
          <t>[4] 同向剔除</t>
        </is>
      </c>
      <c r="B9" s="6" t="inlineStr">
        <is>
          <t>剔除 57% 样本</t>
        </is>
      </c>
      <c r="C9" s="6" t="inlineStr">
        <is>
          <t>不剔除;retail_div 作为候选因子检验</t>
        </is>
      </c>
      <c r="D9" s="6" t="inlineStr">
        <is>
          <t>避免隐含因子与选择性偏差</t>
        </is>
      </c>
    </row>
    <row r="10">
      <c r="A10" s="6" t="inlineStr">
        <is>
          <t>双门槛/C1</t>
        </is>
      </c>
      <c r="B10" s="6" t="inlineStr">
        <is>
          <t>前15%+历史 60 分位</t>
        </is>
      </c>
      <c r="C10" s="6" t="inlineStr">
        <is>
          <t>前 N 名(10~20)+ 预期超额模型阈值;C1/C2 删除</t>
        </is>
      </c>
      <c r="D10" s="6" t="inlineStr">
        <is>
          <t>绝对门槛在批内构造下无信息</t>
        </is>
      </c>
    </row>
    <row r="11">
      <c r="A11" s="6" t="inlineStr">
        <is>
          <t>宏观闸门</t>
        </is>
      </c>
      <c r="B11" s="6" t="inlineStr">
        <is>
          <t>单日-5% / 海外事件 / 政策</t>
        </is>
      </c>
      <c r="C11" s="6" t="inlineStr">
        <is>
          <t>5 项 A 股环境分 → 敞口 0~100%;事件日只降杠杆不改方向</t>
        </is>
      </c>
      <c r="D11" s="6" t="inlineStr">
        <is>
          <t>更贴合 A 股状态</t>
        </is>
      </c>
    </row>
    <row r="12">
      <c r="A12" s="6" t="inlineStr">
        <is>
          <t>买卖点与持有</t>
        </is>
      </c>
      <c r="B12" s="6" t="inlineStr">
        <is>
          <t>未定义</t>
        </is>
      </c>
      <c r="C12" s="6" t="inlineStr">
        <is>
          <t>T+1 开盘买(涨停不买);持有 N 日(E3 定);7% 止损或 ATR 止损;资金流 5 日转负离场</t>
        </is>
      </c>
      <c r="D12" s="6" t="inlineStr">
        <is>
          <t>可计算净收益与回撤</t>
        </is>
      </c>
    </row>
    <row r="13">
      <c r="A13" s="6" t="inlineStr">
        <is>
          <t>组合约束</t>
        </is>
      </c>
      <c r="B13" s="6" t="inlineStr">
        <is>
          <t>行业≤2 只/单票≤15%/权重≤40%</t>
        </is>
      </c>
      <c r="C13" s="6" t="inlineStr">
        <is>
          <t>10~20 只、单票≤10%、行业≤30%、单票≤20 日成交额 5%</t>
        </is>
      </c>
      <c r="D13" s="6" t="inlineStr">
        <is>
          <t>分散与容量</t>
        </is>
      </c>
    </row>
    <row r="14">
      <c r="A14" s="6" t="inlineStr">
        <is>
          <t>成本</t>
        </is>
      </c>
      <c r="B14" s="6" t="inlineStr">
        <is>
          <t>报告 0 元</t>
        </is>
      </c>
      <c r="C14" s="6" t="inlineStr">
        <is>
          <t>佣金万2.5×2、印花税 0.05%(卖)、过户费 0.001%、滑点≥10bp+冲击</t>
        </is>
      </c>
      <c r="D14" s="6" t="inlineStr">
        <is>
          <t>净值口径</t>
        </is>
      </c>
    </row>
    <row r="15">
      <c r="A15" s="6" t="inlineStr">
        <is>
          <t>熔断</t>
        </is>
      </c>
      <c r="B15" s="6" t="inlineStr">
        <is>
          <t>C1~C6(多为恒真)</t>
        </is>
      </c>
      <c r="C15" s="6" t="inlineStr">
        <is>
          <t>数据熔断 + 环境闸门 + 策略回撤熔断(20 日净值-X%减半,-Y%暂停)+ 容量熔断</t>
        </is>
      </c>
      <c r="D15" s="6" t="inlineStr">
        <is>
          <t>熔断应降低真实风险</t>
        </is>
      </c>
    </row>
    <row r="16">
      <c r="A16" s="6" t="inlineStr">
        <is>
          <t>数据治理</t>
        </is>
      </c>
      <c r="B16" s="6" t="inlineStr">
        <is>
          <t>问财快照+本地K线</t>
        </is>
      </c>
      <c r="C16" s="6" t="inlineStr">
        <is>
          <t>原始快照落库+版本号;点时股票池(含退市/ST 历史);口径回归测试</t>
        </is>
      </c>
      <c r="D16" s="6" t="inlineStr">
        <is>
          <t>可回放、可审计</t>
        </is>
      </c>
    </row>
    <row r="17">
      <c r="A17" s="6" t="inlineStr">
        <is>
          <t>评估闭环</t>
        </is>
      </c>
      <c r="B17" s="6" t="inlineStr">
        <is>
          <t>T+1/T+5/T+10 回填(仅观察名单)</t>
        </is>
      </c>
      <c r="C17" s="6" t="inlineStr">
        <is>
          <t>全池信号登记 + 与基准/随机组合对比 + 滚动 IC 监控 + 衰减报警</t>
        </is>
      </c>
      <c r="D17" s="6" t="inlineStr">
        <is>
          <t>能发现因子失效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44" customWidth="1" min="4" max="4"/>
    <col width="34" customWidth="1" min="5" max="5"/>
    <col width="30" customWidth="1" min="6" max="6"/>
    <col width="34" customWidth="1" min="7" max="7"/>
    <col width="28" customWidth="1" min="8" max="8"/>
  </cols>
  <sheetData>
    <row r="1">
      <c r="A1" s="4" t="inlineStr">
        <is>
          <t>回测实验矩阵 E1~E9</t>
        </is>
      </c>
    </row>
    <row r="3">
      <c r="A3" s="5" t="inlineStr">
        <is>
          <t>编号</t>
        </is>
      </c>
      <c r="B3" s="5" t="inlineStr">
        <is>
          <t>实验</t>
        </is>
      </c>
      <c r="C3" s="5" t="inlineStr">
        <is>
          <t>要回答的问题</t>
        </is>
      </c>
      <c r="D3" s="5" t="inlineStr">
        <is>
          <t>预先登记的假设</t>
        </is>
      </c>
      <c r="E3" s="5" t="inlineStr">
        <is>
          <t>配置</t>
        </is>
      </c>
      <c r="F3" s="5" t="inlineStr">
        <is>
          <t>输出指标</t>
        </is>
      </c>
      <c r="G3" s="5" t="inlineStr">
        <is>
          <t>通过标准</t>
        </is>
      </c>
      <c r="H3" s="5" t="inlineStr">
        <is>
          <t>代码入口</t>
        </is>
      </c>
    </row>
    <row r="4">
      <c r="A4" s="6" t="inlineStr">
        <is>
          <t>E1</t>
        </is>
      </c>
      <c r="B4" s="6" t="inlineStr">
        <is>
          <t>单因子体检</t>
        </is>
      </c>
      <c r="C4" s="6" t="inlineStr">
        <is>
          <t>V4.1 各维度与候选因子是否有预测力</t>
        </is>
      </c>
      <c r="D4" s="6" t="inlineStr">
        <is>
          <t>H1:资金占成交额比的 5 日 RankIC&gt;0.02;H2:V4.1 修正综合分在中性化后 IC 显著低于其子因子;H3:D3/D4 的 IC 为负或不显著</t>
        </is>
      </c>
      <c r="E4" s="6" t="inlineStr">
        <is>
          <t>全市场(30~500亿、非ST、上市&gt;120日);horizons=1/3/5/10/20;原始 vs 行业+市值中性</t>
        </is>
      </c>
      <c r="F4" s="6" t="inlineStr">
        <is>
          <t>IC 均值、ICIR、Newey-West t、IC 正占比、五分层多空、单调性</t>
        </is>
      </c>
      <c r="G4" s="6" t="inlineStr">
        <is>
          <t>中性后 5 日 RankIC≥0.02 且 NW-t≥2.5、单调性≥0.7</t>
        </is>
      </c>
      <c r="H4" s="6" t="inlineStr">
        <is>
          <t>experiments.E1_factor_ic</t>
        </is>
      </c>
    </row>
    <row r="5">
      <c r="A5" s="6" t="inlineStr">
        <is>
          <t>E2</t>
        </is>
      </c>
      <c r="B5" s="6" t="inlineStr">
        <is>
          <t>V4.1 复刻与组件消融</t>
        </is>
      </c>
      <c r="C5" s="6" t="inlineStr">
        <is>
          <t>每个组件是正贡献还是负贡献</t>
        </is>
      </c>
      <c r="D5" s="6" t="inlineStr">
        <is>
          <t>H4:去掉 Overheat 几乎无变化;H5:去掉 D4 改善;H6:去掉[4]剔除改善;H7:前15%→前30% 改善</t>
        </is>
      </c>
      <c r="E5" s="6" t="inlineStr">
        <is>
          <t>基线+9 个变体;持有5日、止损7%、Top10</t>
        </is>
      </c>
      <c r="F5" s="6" t="inlineStr">
        <is>
          <t>年化、夏普、回撤、胜率、盈亏比、笔数</t>
        </is>
      </c>
      <c r="G5" s="6" t="inlineStr">
        <is>
          <t>识别"负贡献组件"(去掉后夏普提升&gt;0.1)</t>
        </is>
      </c>
      <c r="H5" s="6" t="inlineStr">
        <is>
          <t>experiments.E2_baseline_ablation</t>
        </is>
      </c>
    </row>
    <row r="6">
      <c r="A6" s="6" t="inlineStr">
        <is>
          <t>E3</t>
        </is>
      </c>
      <c r="B6" s="6" t="inlineStr">
        <is>
          <t>持有期/止损/TopN 网格</t>
        </is>
      </c>
      <c r="C6" s="6" t="inlineStr">
        <is>
          <t>收益来自哪个持有期;参数是否有平台区</t>
        </is>
      </c>
      <c r="D6" s="6" t="inlineStr">
        <is>
          <t>H8:3~10 日最优;H9:止损 5~8% 改善回撤</t>
        </is>
      </c>
      <c r="E6" s="6" t="inlineStr">
        <is>
          <t>hold∈{1,3,5,10,20}×stop∈{无,5%,8%,12%}×TopN∈{5,10,20}</t>
        </is>
      </c>
      <c r="F6" s="6" t="inlineStr">
        <is>
          <t>热力图;相邻参数夏普均值/中位</t>
        </is>
      </c>
      <c r="G6" s="6" t="inlineStr">
        <is>
          <t>最优点邻域(±1 档)夏普≥最优的 70%(无尖峰)</t>
        </is>
      </c>
      <c r="H6" s="6" t="inlineStr">
        <is>
          <t>experiments.E3_hold_stop_grid</t>
        </is>
      </c>
    </row>
    <row r="7">
      <c r="A7" s="6" t="inlineStr">
        <is>
          <t>E4</t>
        </is>
      </c>
      <c r="B7" s="6" t="inlineStr">
        <is>
          <t>V4.2 变体</t>
        </is>
      </c>
      <c r="C7" s="6" t="inlineStr">
        <is>
          <t>动量/反转拆分、中性化、因子集合</t>
        </is>
      </c>
      <c r="D7" s="6" t="inlineStr">
        <is>
          <t>H10:拆分后 mom 子策略回撤低于 V4.1;H11:中性化降低风格暴露</t>
        </is>
      </c>
      <c r="E7" s="6" t="inlineStr">
        <is>
          <t>6 个变体 + V4.1 对照</t>
        </is>
      </c>
      <c r="F7" s="6" t="inlineStr">
        <is>
          <t>同上 + 平均敞口</t>
        </is>
      </c>
      <c r="G7" s="6" t="inlineStr">
        <is>
          <t>优于 V4.1 且回撤更小</t>
        </is>
      </c>
      <c r="H7" s="6" t="inlineStr">
        <is>
          <t>experiments.E4_v42_variants</t>
        </is>
      </c>
    </row>
    <row r="8">
      <c r="A8" s="6" t="inlineStr">
        <is>
          <t>E5</t>
        </is>
      </c>
      <c r="B8" s="6" t="inlineStr">
        <is>
          <t>成本与容量</t>
        </is>
      </c>
      <c r="C8" s="6" t="inlineStr">
        <is>
          <t>净收益在现实成本下是否存活</t>
        </is>
      </c>
      <c r="D8" s="6" t="inlineStr">
        <is>
          <t>H12:滑点 20bp 时超额仍为正</t>
        </is>
      </c>
      <c r="E8" s="6" t="inlineStr">
        <is>
          <t>滑点 0/5/10/20/30bp × 资金 500万/5000万/2亿/10亿</t>
        </is>
      </c>
      <c r="F8" s="6" t="inlineStr">
        <is>
          <t>净年化、夏普、换手</t>
        </is>
      </c>
      <c r="G8" s="6" t="inlineStr">
        <is>
          <t>滑点20bp 下年化超额≥6%</t>
        </is>
      </c>
      <c r="H8" s="6" t="inlineStr">
        <is>
          <t>experiments.E5_costs_capacity</t>
        </is>
      </c>
    </row>
    <row r="9">
      <c r="A9" s="6" t="inlineStr">
        <is>
          <t>E6</t>
        </is>
      </c>
      <c r="B9" s="6" t="inlineStr">
        <is>
          <t>环境闸门</t>
        </is>
      </c>
      <c r="C9" s="6" t="inlineStr">
        <is>
          <t>闸门是否真的降回撤</t>
        </is>
      </c>
      <c r="D9" s="6" t="inlineStr">
        <is>
          <t>H13:闸门降低最大回撤≥20% 且收益损失&lt;30%</t>
        </is>
      </c>
      <c r="E9" s="6" t="inlineStr">
        <is>
          <t>无/默认/严格/宽松四档</t>
        </is>
      </c>
      <c r="F9" s="6" t="inlineStr">
        <is>
          <t>回撤、夏普、敞口</t>
        </is>
      </c>
      <c r="G9" s="6" t="inlineStr">
        <is>
          <t>回撤改善且夏普不降</t>
        </is>
      </c>
      <c r="H9" s="6" t="inlineStr">
        <is>
          <t>experiments.E6_gate</t>
        </is>
      </c>
    </row>
    <row r="10">
      <c r="A10" s="6" t="inlineStr">
        <is>
          <t>E7</t>
        </is>
      </c>
      <c r="B10" s="6" t="inlineStr">
        <is>
          <t>滚动样本外</t>
        </is>
      </c>
      <c r="C10" s="6" t="inlineStr">
        <is>
          <t>参数选择流程本身是否稳健</t>
        </is>
      </c>
      <c r="D10" s="6" t="inlineStr">
        <is>
          <t>H14:训练期选优参数在测试期保持正超额</t>
        </is>
      </c>
      <c r="E10" s="6" t="inlineStr">
        <is>
          <t>训练250日/测试60日;候选=持有期×止损×TopN</t>
        </is>
      </c>
      <c r="F10" s="6" t="inlineStr">
        <is>
          <t>拼接样本外净值;通缩夏普概率</t>
        </is>
      </c>
      <c r="G10" s="6" t="inlineStr">
        <is>
          <t>样本外夏普≥0.6×样本内,DSR概率≥0.9</t>
        </is>
      </c>
      <c r="H10" s="6" t="inlineStr">
        <is>
          <t>experiments.E7_walk_forward</t>
        </is>
      </c>
    </row>
    <row r="11">
      <c r="A11" s="6" t="inlineStr">
        <is>
          <t>E8</t>
        </is>
      </c>
      <c r="B11" s="6" t="inlineStr">
        <is>
          <t>样本内/外与自助法</t>
        </is>
      </c>
      <c r="C11" s="6" t="inlineStr">
        <is>
          <t>冻结规则后的最终检验(只看一次)</t>
        </is>
      </c>
      <c r="D11" s="6" t="inlineStr">
        <is>
          <t>H15:2026-01-05 起样本外超额&gt;0</t>
        </is>
      </c>
      <c r="E11" s="6" t="inlineStr">
        <is>
          <t>样本外=2026-01-05~最新;块自助法 300 次</t>
        </is>
      </c>
      <c r="F11" s="6" t="inlineStr">
        <is>
          <t>夏普 5/95 分位、超额 t 值</t>
        </is>
      </c>
      <c r="G11" s="6" t="inlineStr">
        <is>
          <t>夏普5分位&gt;0 或超额t&gt;2</t>
        </is>
      </c>
      <c r="H11" s="6" t="inlineStr">
        <is>
          <t>experiments.E8_oos_split</t>
        </is>
      </c>
    </row>
    <row r="12">
      <c r="A12" s="6" t="inlineStr">
        <is>
          <t>E9</t>
        </is>
      </c>
      <c r="B12" s="6" t="inlineStr">
        <is>
          <t>安慰剂与信号延迟</t>
        </is>
      </c>
      <c r="C12" s="6" t="inlineStr">
        <is>
          <t>收益是否来自信号而非机制/运气</t>
        </is>
      </c>
      <c r="D12" s="6" t="inlineStr">
        <is>
          <t>H16:随机打乱得分得不到同等收益;延迟1日仍保留≥50% 超额</t>
        </is>
      </c>
      <c r="E12" s="6" t="inlineStr">
        <is>
          <t>20 次同日随机打乱;延迟 1/2/3 日</t>
        </is>
      </c>
      <c r="F12" s="6" t="inlineStr">
        <is>
          <t>真实 vs 随机 95 分位;衰减曲线</t>
        </is>
      </c>
      <c r="G12" s="6" t="inlineStr">
        <is>
          <t>真实年化&gt;随机 95 分位;延迟1日保留≥50%</t>
        </is>
      </c>
      <c r="H12" s="6" t="inlineStr">
        <is>
          <t>experiments.E9_placebo_delay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52" customWidth="1" min="4" max="4"/>
    <col width="44" customWidth="1" min="5" max="5"/>
  </cols>
  <sheetData>
    <row r="1">
      <c r="A1" s="4" t="inlineStr">
        <is>
          <t>数据字典与点时(PIT)规则</t>
        </is>
      </c>
    </row>
    <row r="3">
      <c r="A3" s="5" t="inlineStr">
        <is>
          <t>表</t>
        </is>
      </c>
      <c r="B3" s="5" t="inlineStr">
        <is>
          <t>字段</t>
        </is>
      </c>
      <c r="C3" s="5" t="inlineStr">
        <is>
          <t>单位</t>
        </is>
      </c>
      <c r="D3" s="5" t="inlineStr">
        <is>
          <t>点时规则</t>
        </is>
      </c>
      <c r="E3" s="5" t="inlineStr">
        <is>
          <t>检验</t>
        </is>
      </c>
    </row>
    <row r="4">
      <c r="A4" s="6" t="inlineStr">
        <is>
          <t>日K</t>
        </is>
      </c>
      <c r="B4" s="6" t="inlineStr">
        <is>
          <t>date,code</t>
        </is>
      </c>
      <c r="C4" s="6" t="inlineStr">
        <is>
          <t>-</t>
        </is>
      </c>
      <c r="D4" s="6" t="inlineStr">
        <is>
          <t>按交易日对齐;含退市、ST、停牌记录</t>
        </is>
      </c>
      <c r="E4" s="6" t="inlineStr">
        <is>
          <t>股票数应远大于现存 A 股数;停牌日 volume=0</t>
        </is>
      </c>
    </row>
    <row r="5">
      <c r="A5" s="6" t="inlineStr">
        <is>
          <t>日K</t>
        </is>
      </c>
      <c r="B5" s="6" t="inlineStr">
        <is>
          <t>open/high/low/close</t>
        </is>
      </c>
      <c r="C5" s="6" t="inlineStr">
        <is>
          <t>元</t>
        </is>
      </c>
      <c r="D5" s="6" t="inlineStr">
        <is>
          <t>未复权价用于涨跌停/成交判断;复权价用于收益</t>
        </is>
      </c>
      <c r="E5" s="6" t="inlineStr">
        <is>
          <t>涨跌幅&gt;25% 占比≈0(排除新股首日)</t>
        </is>
      </c>
    </row>
    <row r="6">
      <c r="A6" s="6" t="inlineStr">
        <is>
          <t>日K</t>
        </is>
      </c>
      <c r="B6" s="6" t="inlineStr">
        <is>
          <t>adj_factor</t>
        </is>
      </c>
      <c r="C6" s="6" t="inlineStr">
        <is>
          <t>-</t>
        </is>
      </c>
      <c r="D6" s="6" t="inlineStr">
        <is>
          <t>后复权累计因子;缺失则全 1</t>
        </is>
      </c>
      <c r="E6" s="6" t="inlineStr">
        <is>
          <t>除权日前后收益连续</t>
        </is>
      </c>
    </row>
    <row r="7">
      <c r="A7" s="6" t="inlineStr">
        <is>
          <t>日K</t>
        </is>
      </c>
      <c r="B7" s="6" t="inlineStr">
        <is>
          <t>volume/amount</t>
        </is>
      </c>
      <c r="C7" s="6" t="inlineStr">
        <is>
          <t>股/元</t>
        </is>
      </c>
      <c r="D7" s="6" t="inlineStr">
        <is>
          <t>amount 用于 20 日均成交额与容量</t>
        </is>
      </c>
      <c r="E7" s="6" t="inlineStr">
        <is>
          <t>amount≈volume×均价</t>
        </is>
      </c>
    </row>
    <row r="8">
      <c r="A8" s="6" t="inlineStr">
        <is>
          <t>日K</t>
        </is>
      </c>
      <c r="B8" s="6" t="inlineStr">
        <is>
          <t>turnover</t>
        </is>
      </c>
      <c r="C8" s="6" t="inlineStr">
        <is>
          <t>%</t>
        </is>
      </c>
      <c r="D8" s="6" t="inlineStr">
        <is>
          <t>与所用市值口径一致(流通)</t>
        </is>
      </c>
      <c r="E8" s="6" t="inlineStr">
        <is>
          <t>1%~5% 区间占比合理</t>
        </is>
      </c>
    </row>
    <row r="9">
      <c r="A9" s="6" t="inlineStr">
        <is>
          <t>日K</t>
        </is>
      </c>
      <c r="B9" s="6" t="inlineStr">
        <is>
          <t>mktcap</t>
        </is>
      </c>
      <c r="C9" s="6" t="inlineStr">
        <is>
          <t>亿元</t>
        </is>
      </c>
      <c r="D9" s="6" t="inlineStr">
        <is>
          <t>T 日收盘后可得;流通市值 vs 总市值须与实盘一致</t>
        </is>
      </c>
      <c r="E9" s="6" t="inlineStr">
        <is>
          <t>不得用最新市值回填历史</t>
        </is>
      </c>
    </row>
    <row r="10">
      <c r="A10" s="6" t="inlineStr">
        <is>
          <t>日K</t>
        </is>
      </c>
      <c r="B10" s="6" t="inlineStr">
        <is>
          <t>is_st/susp</t>
        </is>
      </c>
      <c r="C10" s="6" t="inlineStr">
        <is>
          <t>bool</t>
        </is>
      </c>
      <c r="D10" s="6" t="inlineStr">
        <is>
          <t>按当日状态(历史 ST 标记),不是现状</t>
        </is>
      </c>
      <c r="E10" s="6" t="inlineStr">
        <is>
          <t>回测中 ST 样本占比随年份变化</t>
        </is>
      </c>
    </row>
    <row r="11">
      <c r="A11" s="6" t="inlineStr">
        <is>
          <t>资金流</t>
        </is>
      </c>
      <c r="B11" s="6" t="inlineStr">
        <is>
          <t>main_net</t>
        </is>
      </c>
      <c r="C11" s="6" t="inlineStr">
        <is>
          <t>元</t>
        </is>
      </c>
      <c r="D11" s="6" t="inlineStr">
        <is>
          <t>T 日收盘终值;口径(大单阈值)全历史一致</t>
        </is>
      </c>
      <c r="E11" s="6" t="inlineStr">
        <is>
          <t>|main_net|≤amount;与 small_net 符号分布合理</t>
        </is>
      </c>
    </row>
    <row r="12">
      <c r="A12" s="6" t="inlineStr">
        <is>
          <t>资金流</t>
        </is>
      </c>
      <c r="B12" s="6" t="inlineStr">
        <is>
          <t>small_net</t>
        </is>
      </c>
      <c r="C12" s="6" t="inlineStr">
        <is>
          <t>元</t>
        </is>
      </c>
      <c r="D12" s="6" t="inlineStr">
        <is>
          <t>散户代理(小单);与实盘一致</t>
        </is>
      </c>
      <c r="E12" s="6" t="inlineStr">
        <is>
          <t>-</t>
        </is>
      </c>
    </row>
    <row r="13">
      <c r="A13" s="6" t="inlineStr">
        <is>
          <t>行业</t>
        </is>
      </c>
      <c r="B13" s="6" t="inlineStr">
        <is>
          <t>sw_l1</t>
        </is>
      </c>
      <c r="C13" s="6" t="inlineStr">
        <is>
          <t>-</t>
        </is>
      </c>
      <c r="D13" s="6" t="inlineStr">
        <is>
          <t>点时申万一级;至少用最新分类并标注</t>
        </is>
      </c>
      <c r="E13" s="6" t="inlineStr">
        <is>
          <t>无大量"未知"</t>
        </is>
      </c>
    </row>
    <row r="14">
      <c r="A14" s="6" t="inlineStr">
        <is>
          <t>指数</t>
        </is>
      </c>
      <c r="B14" s="6" t="inlineStr">
        <is>
          <t>close</t>
        </is>
      </c>
      <c r="C14" s="6" t="inlineStr">
        <is>
          <t>点</t>
        </is>
      </c>
      <c r="D14" s="6" t="inlineStr">
        <is>
          <t>沪深300/中证500/中证1000/等权全A</t>
        </is>
      </c>
      <c r="E14" s="6" t="inlineStr">
        <is>
          <t>用于闸门与基准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</cols>
  <sheetData>
    <row r="1">
      <c r="A1" s="4" t="inlineStr">
        <is>
          <t>参数网格</t>
        </is>
      </c>
    </row>
    <row r="3">
      <c r="A3" s="5" t="inlineStr">
        <is>
          <t>参数</t>
        </is>
      </c>
      <c r="B3" s="5" t="inlineStr">
        <is>
          <t>取值</t>
        </is>
      </c>
      <c r="C3" s="5" t="inlineStr">
        <is>
          <t>实验</t>
        </is>
      </c>
    </row>
    <row r="4">
      <c r="A4" s="6" t="inlineStr">
        <is>
          <t>持有隔夜数 hold</t>
        </is>
      </c>
      <c r="B4" s="6" t="inlineStr">
        <is>
          <t>1,3,5,10,20</t>
        </is>
      </c>
      <c r="C4" s="6" t="inlineStr">
        <is>
          <t>E3/E7</t>
        </is>
      </c>
    </row>
    <row r="5">
      <c r="A5" s="6" t="inlineStr">
        <is>
          <t>止损 stop_loss</t>
        </is>
      </c>
      <c r="B5" s="6" t="inlineStr">
        <is>
          <t>无,5%,8%,12%</t>
        </is>
      </c>
      <c r="C5" s="6" t="inlineStr">
        <is>
          <t>E3/E7</t>
        </is>
      </c>
    </row>
    <row r="6">
      <c r="A6" s="6" t="inlineStr">
        <is>
          <t>TopN</t>
        </is>
      </c>
      <c r="B6" s="6" t="inlineStr">
        <is>
          <t>5,10,20</t>
        </is>
      </c>
      <c r="C6" s="6" t="inlineStr">
        <is>
          <t>E3/E7</t>
        </is>
      </c>
    </row>
    <row r="7">
      <c r="A7" s="6" t="inlineStr">
        <is>
          <t>行业上限 ind_cap</t>
        </is>
      </c>
      <c r="B7" s="6" t="inlineStr">
        <is>
          <t>2,3</t>
        </is>
      </c>
      <c r="C7" s="6" t="inlineStr">
        <is>
          <t>E4</t>
        </is>
      </c>
    </row>
    <row r="8">
      <c r="A8" s="6" t="inlineStr">
        <is>
          <t>相对门槛 top_pct(V4.1)</t>
        </is>
      </c>
      <c r="B8" s="6" t="inlineStr">
        <is>
          <t>5%,15%,30%</t>
        </is>
      </c>
      <c r="C8" s="6" t="inlineStr">
        <is>
          <t>E2</t>
        </is>
      </c>
    </row>
    <row r="9">
      <c r="A9" s="6" t="inlineStr">
        <is>
          <t>Overheat 系数</t>
        </is>
      </c>
      <c r="B9" s="6" t="inlineStr">
        <is>
          <t>0,1.5,3.0</t>
        </is>
      </c>
      <c r="C9" s="6" t="inlineStr">
        <is>
          <t>E2</t>
        </is>
      </c>
    </row>
    <row r="10">
      <c r="A10" s="6" t="inlineStr">
        <is>
          <t>滑点 bp</t>
        </is>
      </c>
      <c r="B10" s="6" t="inlineStr">
        <is>
          <t>0,5,10,20,30</t>
        </is>
      </c>
      <c r="C10" s="6" t="inlineStr">
        <is>
          <t>E5</t>
        </is>
      </c>
    </row>
    <row r="11">
      <c r="A11" s="6" t="inlineStr">
        <is>
          <t>资金规模</t>
        </is>
      </c>
      <c r="B11" s="6" t="inlineStr">
        <is>
          <t>500万,5000万,2亿,10亿</t>
        </is>
      </c>
      <c r="C11" s="6" t="inlineStr">
        <is>
          <t>E5</t>
        </is>
      </c>
    </row>
    <row r="12">
      <c r="A12" s="6" t="inlineStr">
        <is>
          <t>闸门广度阈值</t>
        </is>
      </c>
      <c r="B12" s="6" t="inlineStr">
        <is>
          <t>25%,35%,45%</t>
        </is>
      </c>
      <c r="C12" s="6" t="inlineStr">
        <is>
          <t>E6</t>
        </is>
      </c>
    </row>
    <row r="13">
      <c r="A13" s="6" t="inlineStr">
        <is>
          <t>5 日涨幅过滤</t>
        </is>
      </c>
      <c r="B13" s="6" t="inlineStr">
        <is>
          <t>[-12%,+25%],[-8%,+15%],无</t>
        </is>
      </c>
      <c r="C13" s="6" t="inlineStr">
        <is>
          <t>E4(扩展)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4" t="inlineStr">
        <is>
          <t>交易成本模型(可改黄色单元格)</t>
        </is>
      </c>
    </row>
    <row r="3">
      <c r="A3" s="7" t="inlineStr">
        <is>
          <t>佣金(单边)</t>
        </is>
      </c>
      <c r="B3" s="8" t="n">
        <v>0.00025</v>
      </c>
    </row>
    <row r="4">
      <c r="A4" s="7" t="inlineStr">
        <is>
          <t>印花税(仅卖出)</t>
        </is>
      </c>
      <c r="B4" s="8" t="n">
        <v>0.0005</v>
      </c>
    </row>
    <row r="5">
      <c r="A5" s="7" t="inlineStr">
        <is>
          <t>过户费(单边)</t>
        </is>
      </c>
      <c r="B5" s="9" t="n">
        <v>1e-05</v>
      </c>
    </row>
    <row r="6">
      <c r="A6" s="7" t="inlineStr">
        <is>
          <t>滑点(单边,bp)</t>
        </is>
      </c>
      <c r="B6" s="10" t="n">
        <v>10</v>
      </c>
    </row>
    <row r="7">
      <c r="A7" s="7" t="inlineStr">
        <is>
          <t>冲击系数(bp/参与率)</t>
        </is>
      </c>
      <c r="B7" s="10" t="n">
        <v>10</v>
      </c>
    </row>
    <row r="8">
      <c r="A8" s="7" t="inlineStr">
        <is>
          <t>参与率(下单额/20日成交额)</t>
        </is>
      </c>
      <c r="B8" s="11" t="n">
        <v>0.02</v>
      </c>
    </row>
    <row r="9">
      <c r="A9" s="7" t="inlineStr">
        <is>
          <t>年换手(单边,倍)</t>
        </is>
      </c>
      <c r="B9" s="12" t="n">
        <v>40</v>
      </c>
    </row>
    <row r="10">
      <c r="A10" s="7" t="inlineStr">
        <is>
          <t>毛年化收益(假设)</t>
        </is>
      </c>
      <c r="B10" s="11" t="n">
        <v>0.25</v>
      </c>
    </row>
    <row r="12">
      <c r="A12" s="13" t="inlineStr">
        <is>
          <t>往返成本(%)</t>
        </is>
      </c>
      <c r="B12" s="14">
        <f>2*B3+B4+2*B5+2*B6/10000+2*B7*B8/10000</f>
        <v/>
      </c>
    </row>
    <row r="13">
      <c r="A13" s="13" t="inlineStr">
        <is>
          <t>年化成本拖累(%)</t>
        </is>
      </c>
      <c r="B13" s="15">
        <f>B12*B9/2</f>
        <v/>
      </c>
    </row>
    <row r="14">
      <c r="A14" s="13" t="inlineStr">
        <is>
          <t>净年化收益(%)</t>
        </is>
      </c>
      <c r="B14" s="15">
        <f>B10-B13</f>
        <v/>
      </c>
    </row>
    <row r="15">
      <c r="A15" s="13" t="inlineStr">
        <is>
          <t>盈亏平衡毛收益/笔(%)</t>
        </is>
      </c>
      <c r="B15" s="14">
        <f>B12</f>
        <v/>
      </c>
    </row>
    <row r="17">
      <c r="A17" t="inlineStr">
        <is>
          <t>解读:往返成本≈0.3~0.5%;若平均持有 5 日、年换手 40 倍,成本拖累可达 6~10%/年——这是资金流类短线策略最常被忽略的利润侵蚀。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</cols>
  <sheetData>
    <row r="1">
      <c r="A1" s="4" t="inlineStr">
        <is>
          <t>结果登记(本地回测完成后填写黄色单元格)</t>
        </is>
      </c>
    </row>
    <row r="3">
      <c r="A3" s="16" t="inlineStr">
        <is>
          <t>指标</t>
        </is>
      </c>
      <c r="B3" s="16" t="inlineStr">
        <is>
          <t>取值</t>
        </is>
      </c>
      <c r="C3" s="16" t="inlineStr">
        <is>
          <t>来源</t>
        </is>
      </c>
    </row>
    <row r="4">
      <c r="A4" s="7" t="inlineStr">
        <is>
          <t>V4.1 修正综合分:5日RankIC(中性)</t>
        </is>
      </c>
      <c r="B4" s="17" t="n"/>
      <c r="C4" s="18" t="inlineStr">
        <is>
          <t>E1</t>
        </is>
      </c>
    </row>
    <row r="5">
      <c r="A5" s="7" t="inlineStr">
        <is>
          <t>V4.1 修正综合分:NW-t</t>
        </is>
      </c>
      <c r="B5" s="17" t="n"/>
      <c r="C5" s="18" t="inlineStr">
        <is>
          <t>E1</t>
        </is>
      </c>
    </row>
    <row r="6">
      <c r="A6" s="7" t="inlineStr">
        <is>
          <t>V4.2 核心因子:5日RankIC(中性)</t>
        </is>
      </c>
      <c r="B6" s="17" t="n"/>
      <c r="C6" s="18" t="inlineStr">
        <is>
          <t>E1</t>
        </is>
      </c>
    </row>
    <row r="7">
      <c r="A7" s="7" t="inlineStr">
        <is>
          <t>V4.2 核心因子:NW-t</t>
        </is>
      </c>
      <c r="B7" s="17" t="n"/>
      <c r="C7" s="18" t="inlineStr">
        <is>
          <t>E1</t>
        </is>
      </c>
    </row>
    <row r="8">
      <c r="A8" s="7" t="inlineStr">
        <is>
          <t>V4.2 五分层单调性</t>
        </is>
      </c>
      <c r="B8" s="17" t="n"/>
      <c r="C8" s="18" t="inlineStr">
        <is>
          <t>E1</t>
        </is>
      </c>
    </row>
    <row r="9">
      <c r="A9" s="7" t="inlineStr">
        <is>
          <t>V4.1 样本内夏普</t>
        </is>
      </c>
      <c r="B9" s="17" t="n"/>
      <c r="C9" s="18" t="inlineStr">
        <is>
          <t>E8</t>
        </is>
      </c>
    </row>
    <row r="10">
      <c r="A10" s="7" t="inlineStr">
        <is>
          <t>V4.1 样本外夏普</t>
        </is>
      </c>
      <c r="B10" s="17" t="n"/>
      <c r="C10" s="18" t="inlineStr">
        <is>
          <t>E8</t>
        </is>
      </c>
    </row>
    <row r="11">
      <c r="A11" s="7" t="inlineStr">
        <is>
          <t>V4.2 样本内夏普</t>
        </is>
      </c>
      <c r="B11" s="17" t="n"/>
      <c r="C11" s="18" t="inlineStr">
        <is>
          <t>E8</t>
        </is>
      </c>
    </row>
    <row r="12">
      <c r="A12" s="7" t="inlineStr">
        <is>
          <t>V4.2 样本外夏普</t>
        </is>
      </c>
      <c r="B12" s="17" t="n"/>
      <c r="C12" s="18" t="inlineStr">
        <is>
          <t>E8</t>
        </is>
      </c>
    </row>
    <row r="13">
      <c r="A13" s="7" t="inlineStr">
        <is>
          <t>V4.2 滑点20bp年化超额</t>
        </is>
      </c>
      <c r="B13" s="17" t="n"/>
      <c r="C13" s="18" t="inlineStr">
        <is>
          <t>E5</t>
        </is>
      </c>
    </row>
    <row r="14">
      <c r="A14" s="7" t="inlineStr">
        <is>
          <t>V4.2 最大回撤</t>
        </is>
      </c>
      <c r="B14" s="17" t="n"/>
      <c r="C14" s="18" t="inlineStr">
        <is>
          <t>E8/E4</t>
        </is>
      </c>
    </row>
    <row r="15">
      <c r="A15" s="7" t="inlineStr">
        <is>
          <t>V4.2 通缩夏普概率</t>
        </is>
      </c>
      <c r="B15" s="17" t="n"/>
      <c r="C15" s="18" t="inlineStr">
        <is>
          <t>E7</t>
        </is>
      </c>
    </row>
    <row r="16">
      <c r="A16" s="7" t="inlineStr">
        <is>
          <t>真实信号年化</t>
        </is>
      </c>
      <c r="B16" s="17" t="n"/>
      <c r="C16" s="18" t="inlineStr">
        <is>
          <t>E9</t>
        </is>
      </c>
    </row>
    <row r="17">
      <c r="A17" s="7" t="inlineStr">
        <is>
          <t>随机打乱年化95分位</t>
        </is>
      </c>
      <c r="B17" s="17" t="n"/>
      <c r="C17" s="18" t="inlineStr">
        <is>
          <t>E9</t>
        </is>
      </c>
    </row>
    <row r="18">
      <c r="A18" s="7" t="inlineStr">
        <is>
          <t>延迟1日年化超额</t>
        </is>
      </c>
      <c r="B18" s="17" t="n"/>
      <c r="C18" s="18" t="inlineStr">
        <is>
          <t>E9</t>
        </is>
      </c>
    </row>
    <row r="19">
      <c r="A19" s="7" t="inlineStr">
        <is>
          <t>无延迟年化超额</t>
        </is>
      </c>
      <c r="B19" s="17" t="n"/>
      <c r="C19" s="18" t="inlineStr">
        <is>
          <t>E9</t>
        </is>
      </c>
    </row>
    <row r="20">
      <c r="A20" s="7" t="inlineStr">
        <is>
          <t>最优参数点夏普</t>
        </is>
      </c>
      <c r="B20" s="17" t="n"/>
      <c r="C20" s="18" t="inlineStr">
        <is>
          <t>E3</t>
        </is>
      </c>
    </row>
    <row r="21">
      <c r="A21" s="7" t="inlineStr">
        <is>
          <t>最优点邻域平均夏普</t>
        </is>
      </c>
      <c r="B21" s="17" t="n"/>
      <c r="C21" s="18" t="inlineStr">
        <is>
          <t>E3</t>
        </is>
      </c>
    </row>
    <row r="22">
      <c r="A22" s="7" t="inlineStr">
        <is>
          <t>总试验次数</t>
        </is>
      </c>
      <c r="B22" s="17" t="n"/>
      <c r="C22" s="18" t="inlineStr">
        <is>
          <t>trials.csv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40" customWidth="1" min="3" max="3"/>
    <col width="10" customWidth="1" min="4" max="4"/>
    <col width="12" customWidth="1" min="5" max="5"/>
    <col width="10" customWidth="1" min="6" max="6"/>
    <col width="36" customWidth="1" min="7" max="7"/>
  </cols>
  <sheetData>
    <row r="1">
      <c r="A1" s="4" t="inlineStr">
        <is>
          <t>预先登记的验收门槛(阈值可改;必须在看到样本外结果之前确定)</t>
        </is>
      </c>
    </row>
    <row r="3">
      <c r="A3" s="16" t="inlineStr">
        <is>
          <t>编号</t>
        </is>
      </c>
      <c r="B3" s="16" t="inlineStr">
        <is>
          <t>名称</t>
        </is>
      </c>
      <c r="C3" s="16" t="inlineStr">
        <is>
          <t>指标</t>
        </is>
      </c>
      <c r="D3" s="16" t="inlineStr">
        <is>
          <t>阈值</t>
        </is>
      </c>
      <c r="E3" s="16" t="inlineStr">
        <is>
          <t>本次取值</t>
        </is>
      </c>
      <c r="F3" s="16" t="inlineStr">
        <is>
          <t>结论</t>
        </is>
      </c>
      <c r="G3" s="16" t="inlineStr">
        <is>
          <t>说明</t>
        </is>
      </c>
    </row>
    <row r="4">
      <c r="A4" s="19" t="inlineStr">
        <is>
          <t>G1</t>
        </is>
      </c>
      <c r="B4" s="19" t="inlineStr">
        <is>
          <t>因子有效</t>
        </is>
      </c>
      <c r="C4" s="19" t="inlineStr">
        <is>
          <t>V4.2 核心因子 5 日 RankIC(行业市值中性)</t>
        </is>
      </c>
      <c r="D4" s="20" t="n">
        <v>0.02</v>
      </c>
      <c r="E4" s="21">
        <f>IF(COUNT(结果登记!$B$6)&lt;1,"",结果登记!$B$6)</f>
        <v/>
      </c>
      <c r="F4" s="22">
        <f>IF(E4="","待填",IF(E4&gt;=D4,"PASS","FAIL"))</f>
        <v/>
      </c>
      <c r="G4" s="19" t="inlineStr">
        <is>
          <t>且 NW-t≥2.5、五分层单调性≥0.7</t>
        </is>
      </c>
    </row>
    <row r="5">
      <c r="A5" s="19" t="inlineStr">
        <is>
          <t>G2</t>
        </is>
      </c>
      <c r="B5" s="19" t="inlineStr">
        <is>
          <t>样本外一致</t>
        </is>
      </c>
      <c r="C5" s="19" t="inlineStr">
        <is>
          <t>样本外夏普 ÷ 样本内夏普</t>
        </is>
      </c>
      <c r="D5" s="23" t="n">
        <v>0.6</v>
      </c>
      <c r="E5" s="24">
        <f>IF(COUNT(结果登记!$B$11,结果登记!$B$12)&lt;2,"",结果登记!$B$12/结果登记!$B$11)</f>
        <v/>
      </c>
      <c r="F5" s="22">
        <f>IF(E5="","待填",IF(E5&gt;=D5,"PASS","FAIL"))</f>
        <v/>
      </c>
      <c r="G5" s="19" t="inlineStr">
        <is>
          <t>同口径、规则冻结后</t>
        </is>
      </c>
    </row>
    <row r="6">
      <c r="A6" s="19" t="inlineStr">
        <is>
          <t>G3</t>
        </is>
      </c>
      <c r="B6" s="19" t="inlineStr">
        <is>
          <t>成本后盈利</t>
        </is>
      </c>
      <c r="C6" s="19" t="inlineStr">
        <is>
          <t>滑点 20bp 下年化超额(相对基准)</t>
        </is>
      </c>
      <c r="D6" s="23" t="n">
        <v>0.06</v>
      </c>
      <c r="E6" s="24">
        <f>IF(COUNT(结果登记!$B$13)&lt;1,"",结果登记!$B$13)</f>
        <v/>
      </c>
      <c r="F6" s="22">
        <f>IF(E6="","待填",IF(E6&gt;=D6,"PASS","FAIL"))</f>
        <v/>
      </c>
      <c r="G6" s="19" t="inlineStr">
        <is>
          <t>基准=中证500/1000 等权混合</t>
        </is>
      </c>
    </row>
    <row r="7">
      <c r="A7" s="19" t="inlineStr">
        <is>
          <t>G4a</t>
        </is>
      </c>
      <c r="B7" s="19" t="inlineStr">
        <is>
          <t>风险</t>
        </is>
      </c>
      <c r="C7" s="19" t="inlineStr">
        <is>
          <t>最大回撤上限</t>
        </is>
      </c>
      <c r="D7" s="23" t="n">
        <v>-0.2</v>
      </c>
      <c r="E7" s="24">
        <f>IF(COUNT(结果登记!$B$14)&lt;1,"",结果登记!$B$14)</f>
        <v/>
      </c>
      <c r="F7" s="22">
        <f>IF(E7="","待填",IF(E7&gt;=D7,"PASS","FAIL"))</f>
        <v/>
      </c>
      <c r="G7" s="19" t="inlineStr">
        <is>
          <t>组合口径,含止损与闸门</t>
        </is>
      </c>
    </row>
    <row r="8">
      <c r="A8" s="19" t="inlineStr">
        <is>
          <t>G4b</t>
        </is>
      </c>
      <c r="B8" s="19" t="inlineStr">
        <is>
          <t>统计显著</t>
        </is>
      </c>
      <c r="C8" s="19" t="inlineStr">
        <is>
          <t>通缩夏普概率</t>
        </is>
      </c>
      <c r="D8" s="23" t="n">
        <v>0.9</v>
      </c>
      <c r="E8" s="24">
        <f>IF(COUNT(结果登记!$B$15)&lt;1,"",结果登记!$B$15)</f>
        <v/>
      </c>
      <c r="F8" s="22">
        <f>IF(E8="","待填",IF(E8&gt;=D8,"PASS","FAIL"))</f>
        <v/>
      </c>
      <c r="G8" s="19" t="inlineStr">
        <is>
          <t>用全部试验次数折扣</t>
        </is>
      </c>
    </row>
    <row r="9">
      <c r="A9" s="19" t="inlineStr">
        <is>
          <t>G4c</t>
        </is>
      </c>
      <c r="B9" s="19" t="inlineStr">
        <is>
          <t>安慰剂</t>
        </is>
      </c>
      <c r="C9" s="19" t="inlineStr">
        <is>
          <t>真实年化 − 随机打乱95分位 &gt; 0</t>
        </is>
      </c>
      <c r="D9" s="20" t="n">
        <v>0</v>
      </c>
      <c r="E9" s="21">
        <f>IF(COUNT(结果登记!$B$16,结果登记!$B$17)&lt;2,"",结果登记!$B$16-结果登记!$B$17)</f>
        <v/>
      </c>
      <c r="F9" s="22">
        <f>IF(E9="","待填",IF(E9&gt;=D9,"PASS","FAIL"))</f>
        <v/>
      </c>
      <c r="G9" s="19" t="inlineStr">
        <is>
          <t>E9</t>
        </is>
      </c>
    </row>
    <row r="10">
      <c r="A10" s="19" t="inlineStr">
        <is>
          <t>G4d</t>
        </is>
      </c>
      <c r="B10" s="19" t="inlineStr">
        <is>
          <t>信号延迟</t>
        </is>
      </c>
      <c r="C10" s="19" t="inlineStr">
        <is>
          <t>延迟1日保留的超额比例</t>
        </is>
      </c>
      <c r="D10" s="23" t="n">
        <v>0.5</v>
      </c>
      <c r="E10" s="24">
        <f>IF(COUNT(结果登记!$B$18,结果登记!$B$19)&lt;2,"",结果登记!$B$18/结果登记!$B$19)</f>
        <v/>
      </c>
      <c r="F10" s="22">
        <f>IF(E10="","待填",IF(E10&gt;=D10,"PASS","FAIL"))</f>
        <v/>
      </c>
      <c r="G10" s="19" t="inlineStr">
        <is>
          <t>E9</t>
        </is>
      </c>
    </row>
    <row r="11">
      <c r="A11" s="19" t="inlineStr">
        <is>
          <t>G4e</t>
        </is>
      </c>
      <c r="B11" s="19" t="inlineStr">
        <is>
          <t>参数平台</t>
        </is>
      </c>
      <c r="C11" s="19" t="inlineStr">
        <is>
          <t>邻域夏普 ÷ 最优夏普</t>
        </is>
      </c>
      <c r="D11" s="23" t="n">
        <v>0.7</v>
      </c>
      <c r="E11" s="24">
        <f>IF(COUNT(结果登记!$B$20,结果登记!$B$21)&lt;2,"",结果登记!$B$21/结果登记!$B$20)</f>
        <v/>
      </c>
      <c r="F11" s="22">
        <f>IF(E11="","待填",IF(E11&gt;=D11,"PASS","FAIL"))</f>
        <v/>
      </c>
      <c r="G11" s="19" t="inlineStr">
        <is>
          <t>E3</t>
        </is>
      </c>
    </row>
    <row r="13">
      <c r="C13" s="25" t="inlineStr">
        <is>
          <t>综合结论</t>
        </is>
      </c>
      <c r="F13" s="26">
        <f>IF(COUNTIF(F4:F11,"待填")&gt;0,"待填",IF(COUNTIF(F4:F11,"FAIL")=0,"可进入前向模拟盘","不通过"))</f>
        <v/>
      </c>
    </row>
    <row r="14">
      <c r="C14" s="27" t="inlineStr">
        <is>
          <t>规则:全部 PASS 才建议进入≥3 个月前向模拟盘;任一 FAIL 回到 E1/E2 找根因,不得放宽阈值。</t>
        </is>
      </c>
    </row>
  </sheetData>
  <conditionalFormatting sqref="F4:F11">
    <cfRule type="cellIs" priority="1" operator="equal" dxfId="4">
      <formula>"PASS"</formula>
    </cfRule>
    <cfRule type="cellIs" priority="2" operator="equal" dxfId="0">
      <formula>"FAIL"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2" customWidth="1" min="3" max="3"/>
    <col width="16" customWidth="1" min="4" max="4"/>
  </cols>
  <sheetData>
    <row r="1">
      <c r="A1" s="4" t="inlineStr">
        <is>
          <t>实施路线图</t>
        </is>
      </c>
    </row>
    <row r="3">
      <c r="A3" s="5" t="inlineStr">
        <is>
          <t>周</t>
        </is>
      </c>
      <c r="B3" s="5" t="inlineStr">
        <is>
          <t>里程碑</t>
        </is>
      </c>
      <c r="C3" s="5" t="inlineStr">
        <is>
          <t>产出</t>
        </is>
      </c>
      <c r="D3" s="5" t="inlineStr">
        <is>
          <t>负责</t>
        </is>
      </c>
    </row>
    <row r="4">
      <c r="A4" s="6" t="inlineStr">
        <is>
          <t>第1周</t>
        </is>
      </c>
      <c r="B4" s="6" t="inlineStr">
        <is>
          <t>数据摸底与口径对齐</t>
        </is>
      </c>
      <c r="C4" s="6" t="inlineStr">
        <is>
          <t>db_schema.md、config.yaml、数据体检通过、V41_HOOK 对齐(前60名重合≥95%)</t>
        </is>
      </c>
      <c r="D4" s="6" t="inlineStr">
        <is>
          <t>本地 Claude Code + 你</t>
        </is>
      </c>
    </row>
    <row r="5">
      <c r="A5" s="6" t="inlineStr">
        <is>
          <t>第2周</t>
        </is>
      </c>
      <c r="B5" s="6" t="inlineStr">
        <is>
          <t>E1 单因子体检 + E2 消融</t>
        </is>
      </c>
      <c r="C5" s="6" t="inlineStr">
        <is>
          <t>因子有效性结论;负贡献组件清单;是否继续的决策点</t>
        </is>
      </c>
      <c r="D5" s="6" t="inlineStr">
        <is>
          <t>本地 Claude Code</t>
        </is>
      </c>
    </row>
    <row r="6">
      <c r="A6" s="6" t="inlineStr">
        <is>
          <t>第3周</t>
        </is>
      </c>
      <c r="B6" s="6" t="inlineStr">
        <is>
          <t>E3~E6</t>
        </is>
      </c>
      <c r="C6" s="6" t="inlineStr">
        <is>
          <t>持有期/止损平台区、V4.2 变体、成本容量、环境闸门</t>
        </is>
      </c>
      <c r="D6" s="6" t="inlineStr">
        <is>
          <t>本地 Claude Code</t>
        </is>
      </c>
    </row>
    <row r="7">
      <c r="A7" s="6" t="inlineStr">
        <is>
          <t>第4周</t>
        </is>
      </c>
      <c r="B7" s="6" t="inlineStr">
        <is>
          <t>E7 滚动样本外、规则冻结</t>
        </is>
      </c>
      <c r="C7" s="6" t="inlineStr">
        <is>
          <t>冻结版 V4.2 规格书;试验次数登记</t>
        </is>
      </c>
      <c r="D7" s="6" t="inlineStr">
        <is>
          <t>你 + 投研评审</t>
        </is>
      </c>
    </row>
    <row r="8">
      <c r="A8" s="6" t="inlineStr">
        <is>
          <t>第5周</t>
        </is>
      </c>
      <c r="B8" s="6" t="inlineStr">
        <is>
          <t>E8 样本外一次性检验 + E9</t>
        </is>
      </c>
      <c r="C8" s="6" t="inlineStr">
        <is>
          <t>验收门槛 PASS/FAIL;回测报告</t>
        </is>
      </c>
      <c r="D8" s="6" t="inlineStr">
        <is>
          <t>本地 Claude Code</t>
        </is>
      </c>
    </row>
    <row r="9">
      <c r="A9" s="6" t="inlineStr">
        <is>
          <t>第6~18周</t>
        </is>
      </c>
      <c r="B9" s="6" t="inlineStr">
        <is>
          <t>前向模拟盘(≥3 个月)</t>
        </is>
      </c>
      <c r="C9" s="6" t="inlineStr">
        <is>
          <t>每日信号登记、滚动 IC、衰减报警;与回测偏差&lt;阈值才可小仓实盘</t>
        </is>
      </c>
      <c r="D9" s="6" t="inlineStr">
        <is>
          <t>你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6" customWidth="1" min="2" max="2"/>
    <col width="60" customWidth="1" min="3" max="3"/>
    <col width="8" customWidth="1" min="4" max="4"/>
  </cols>
  <sheetData>
    <row r="1">
      <c r="A1" s="4" t="inlineStr">
        <is>
          <t>本地 Claude Code 执行清单(勾选)</t>
        </is>
      </c>
    </row>
    <row r="3">
      <c r="A3" s="5" t="inlineStr">
        <is>
          <t>#</t>
        </is>
      </c>
      <c r="B3" s="5" t="inlineStr">
        <is>
          <t>任务</t>
        </is>
      </c>
      <c r="C3" s="5" t="inlineStr">
        <is>
          <t>完成标准</t>
        </is>
      </c>
      <c r="D3" s="5" t="inlineStr">
        <is>
          <t>完成?</t>
        </is>
      </c>
    </row>
    <row r="4">
      <c r="A4" s="6" t="n">
        <v>1</v>
      </c>
      <c r="B4" s="6" t="inlineStr">
        <is>
          <t>摸清数据库结构,写 db_schema.md</t>
        </is>
      </c>
      <c r="C4" s="6" t="inlineStr">
        <is>
          <t>日K/资金流/行业/指数的表、列、单位、区间、是否含退市股</t>
        </is>
      </c>
      <c r="D4" s="6" t="inlineStr"/>
    </row>
    <row r="5">
      <c r="A5" s="6" t="n">
        <v>2</v>
      </c>
      <c r="B5" s="6" t="inlineStr">
        <is>
          <t>填 config.yaml,单位核对为 亿元/元</t>
        </is>
      </c>
      <c r="C5" s="6" t="inlineStr">
        <is>
          <t>数据体检各项达标</t>
        </is>
      </c>
      <c r="D5" s="6" t="inlineStr"/>
    </row>
    <row r="6">
      <c r="A6" s="6" t="n">
        <v>3</v>
      </c>
      <c r="B6" s="6" t="inlineStr">
        <is>
          <t>封装生产评分为 V41_HOOK</t>
        </is>
      </c>
      <c r="C6" s="6" t="inlineStr">
        <is>
          <t>5 个历史日前60名重合≥95%</t>
        </is>
      </c>
      <c r="D6" s="6" t="inlineStr"/>
    </row>
    <row r="7">
      <c r="A7" s="6" t="n">
        <v>4</v>
      </c>
      <c r="B7" s="6" t="inlineStr">
        <is>
          <t>selftest.py 全部 PASS;真实数据截断不变性</t>
        </is>
      </c>
      <c r="C7" s="6" t="inlineStr">
        <is>
          <t>无前视证明</t>
        </is>
      </c>
      <c r="D7" s="6" t="inlineStr"/>
    </row>
    <row r="8">
      <c r="A8" s="6" t="n">
        <v>5</v>
      </c>
      <c r="B8" s="6" t="inlineStr">
        <is>
          <t>E1 → 决策点</t>
        </is>
      </c>
      <c r="C8" s="6" t="inlineStr">
        <is>
          <t>输出因子体检表;若 V4.1 综合分无预测力,先停下汇报</t>
        </is>
      </c>
      <c r="D8" s="6" t="inlineStr"/>
    </row>
    <row r="9">
      <c r="A9" s="6" t="n">
        <v>6</v>
      </c>
      <c r="B9" s="6" t="inlineStr">
        <is>
          <t>E2~E6</t>
        </is>
      </c>
      <c r="C9" s="6" t="inlineStr">
        <is>
          <t>输出各表与净值图</t>
        </is>
      </c>
      <c r="D9" s="6" t="inlineStr"/>
    </row>
    <row r="10">
      <c r="A10" s="6" t="n">
        <v>7</v>
      </c>
      <c r="B10" s="6" t="inlineStr">
        <is>
          <t>E7 滚动样本外,记录试验次数</t>
        </is>
      </c>
      <c r="C10" s="6" t="inlineStr">
        <is>
          <t>trials.csv</t>
        </is>
      </c>
      <c r="D10" s="6" t="inlineStr"/>
    </row>
    <row r="11">
      <c r="A11" s="6" t="n">
        <v>8</v>
      </c>
      <c r="B11" s="6" t="inlineStr">
        <is>
          <t>冻结规则,运行 E8/E9(样本外只看一次)</t>
        </is>
      </c>
      <c r="C11" s="6" t="inlineStr">
        <is>
          <t>回测报告.md + 验收门槛填表</t>
        </is>
      </c>
      <c r="D11" s="6" t="inlineStr"/>
    </row>
    <row r="12">
      <c r="A12" s="6" t="n">
        <v>9</v>
      </c>
      <c r="B12" s="6" t="inlineStr">
        <is>
          <t>回写《结果登记》</t>
        </is>
      </c>
      <c r="C12" s="6" t="inlineStr">
        <is>
          <t>验收门槛得出综合结论</t>
        </is>
      </c>
      <c r="D1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2026-10-09T12:52:28Z</dcterms:created>
  <dcterms:modified xmlns:dcterms="http://purl.org/dc/terms/" xmlns:xsi="http://www.w3.org/2001/XMLSchema-instance" xsi:type="dcterms:W3CDTF">2026-10-09T12:52:28Z</dcterms:modified>
</cp:coreProperties>
</file>