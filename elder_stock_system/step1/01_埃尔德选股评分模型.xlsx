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说明" sheetId="1" state="visible" r:id="rId3"/>
    <sheet name="参数" sheetId="2" state="visible" r:id="rId4"/>
    <sheet name="评分卡" sheetId="3" state="visible" r:id="rId5"/>
    <sheet name="日线" sheetId="4" state="visible" r:id="rId6"/>
    <sheet name="周线" sheetId="5" state="visible" r:id="rId7"/>
    <sheet name="仓位与风险" sheetId="6" state="visible" r:id="rId8"/>
    <sheet name="交易评级" sheetId="7" state="visible" r:id="rId9"/>
    <sheet name="市场温度" sheetId="8" state="visible" r:id="rId10"/>
    <sheet name="图表" sheetId="9" state="visible" r:id="rId11"/>
  </sheets>
  <definedNames>
    <definedName function="false" hidden="false" name="m_Mult" vbProcedure="false">市场温度!$B$11</definedName>
    <definedName function="false" hidden="false" name="pos_AvailRisk" vbProcedure="false">仓位与风险!$E$28</definedName>
    <definedName function="false" hidden="false" name="p_AdxN" vbProcedure="false">参数!$C$10</definedName>
    <definedName function="false" hidden="false" name="p_AtrN" vbProcedure="false">参数!$C$12</definedName>
    <definedName function="false" hidden="false" name="p_ChPct" vbProcedure="false">参数!$C$13</definedName>
    <definedName function="false" hidden="false" name="p_EmaF" vbProcedure="false">参数!$C$5</definedName>
    <definedName function="false" hidden="false" name="p_EmaS" vbProcedure="false">参数!$C$6</definedName>
    <definedName function="false" hidden="false" name="p_Equity" vbProcedure="false">参数!$C$30</definedName>
    <definedName function="false" hidden="false" name="p_FiL" vbProcedure="false">参数!$C$19</definedName>
    <definedName function="false" hidden="false" name="p_FiLb" vbProcedure="false">参数!$C$20</definedName>
    <definedName function="false" hidden="false" name="p_FiS" vbProcedure="false">参数!$C$18</definedName>
    <definedName function="false" hidden="false" name="p_GapMax" vbProcedure="false">参数!$C$25</definedName>
    <definedName function="false" hidden="false" name="p_GapMin" vbProcedure="false">参数!$C$24</definedName>
    <definedName function="false" hidden="false" name="p_GradeA" vbProcedure="false">参数!$C$28</definedName>
    <definedName function="false" hidden="false" name="p_GradeB" vbProcedure="false">参数!$C$29</definedName>
    <definedName function="false" hidden="false" name="p_Lot" vbProcedure="false">参数!$C$35</definedName>
    <definedName function="false" hidden="false" name="p_MacdF" vbProcedure="false">参数!$C$7</definedName>
    <definedName function="false" hidden="false" name="p_MacdS" vbProcedure="false">参数!$C$8</definedName>
    <definedName function="false" hidden="false" name="p_MacdSig" vbProcedure="false">参数!$C$9</definedName>
    <definedName function="false" hidden="false" name="p_PenLb" vbProcedure="false">参数!$C$14</definedName>
    <definedName function="false" hidden="false" name="p_PosCap" vbProcedure="false">参数!$C$34</definedName>
    <definedName function="false" hidden="false" name="p_RiskCap" vbProcedure="false">参数!$C$32</definedName>
    <definedName function="false" hidden="false" name="p_RiskMonth" vbProcedure="false">参数!$C$33</definedName>
    <definedName function="false" hidden="false" name="p_RiskTrade" vbProcedure="false">参数!$C$31</definedName>
    <definedName function="false" hidden="false" name="p_RRmin" vbProcedure="false">参数!$C$27</definedName>
    <definedName function="false" hidden="false" name="p_StochN" vbProcedure="false">参数!$C$21</definedName>
    <definedName function="false" hidden="false" name="p_StochSm" vbProcedure="false">参数!$C$22</definedName>
    <definedName function="false" hidden="false" name="p_StopAtr" vbProcedure="false">参数!$C$16</definedName>
    <definedName function="false" hidden="false" name="p_StopLb" vbProcedure="false">参数!$C$15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<sst xmlns="http://schemas.openxmlformats.org/spreadsheetml/2006/main" count="388" uniqueCount="357">
  <si>
    <r>
      <rPr>
        <b val="true"/>
        <sz val="16"/>
        <color rgb="FF1F3A5F"/>
        <rFont val="WenQuanYi Zen Hei"/>
        <family val="2"/>
      </rPr>
      <t xml:space="preserve">埃尔德《以交易为生》选股评分模型</t>
    </r>
    <r>
      <rPr>
        <b val="true"/>
        <sz val="16"/>
        <color rgb="FF1F3A5F"/>
        <rFont val="Microsoft YaHei"/>
        <family val="0"/>
        <charset val="1"/>
      </rPr>
      <t xml:space="preserve">(</t>
    </r>
    <r>
      <rPr>
        <b val="true"/>
        <sz val="16"/>
        <color rgb="FF1F3A5F"/>
        <rFont val="WenQuanYi Zen Hei"/>
        <family val="2"/>
      </rPr>
      <t xml:space="preserve">第一步</t>
    </r>
    <r>
      <rPr>
        <b val="true"/>
        <sz val="16"/>
        <color rgb="FF1F3A5F"/>
        <rFont val="Microsoft YaHei"/>
        <family val="0"/>
        <charset val="1"/>
      </rPr>
      <t xml:space="preserve">:Excel </t>
    </r>
    <r>
      <rPr>
        <b val="true"/>
        <sz val="16"/>
        <color rgb="FF1F3A5F"/>
        <rFont val="WenQuanYi Zen Hei"/>
        <family val="2"/>
      </rPr>
      <t xml:space="preserve">公式版</t>
    </r>
    <r>
      <rPr>
        <b val="true"/>
        <sz val="16"/>
        <color rgb="FF1F3A5F"/>
        <rFont val="Microsoft YaHei"/>
        <family val="0"/>
        <charset val="1"/>
      </rPr>
      <t xml:space="preserve">)</t>
    </r>
  </si>
  <si>
    <t xml:space="preserve">用途</t>
  </si>
  <si>
    <r>
      <rPr>
        <sz val="10"/>
        <rFont val="WenQuanYi Zen Hei"/>
        <family val="2"/>
      </rPr>
      <t xml:space="preserve">把书中的三重滤网、动力系统、价值区间</t>
    </r>
    <r>
      <rPr>
        <sz val="10"/>
        <rFont val="Microsoft YaHei"/>
        <family val="0"/>
        <charset val="1"/>
      </rPr>
      <t xml:space="preserve">/</t>
    </r>
    <r>
      <rPr>
        <sz val="10"/>
        <rFont val="WenQuanYi Zen Hei"/>
        <family val="2"/>
      </rPr>
      <t xml:space="preserve">通道、</t>
    </r>
    <r>
      <rPr>
        <sz val="10"/>
        <rFont val="Microsoft YaHei"/>
        <family val="0"/>
        <charset val="1"/>
      </rPr>
      <t xml:space="preserve">MACD</t>
    </r>
    <r>
      <rPr>
        <sz val="10"/>
        <rFont val="WenQuanYi Zen Hei"/>
        <family val="2"/>
      </rPr>
      <t xml:space="preserve">柱背离</t>
    </r>
    <r>
      <rPr>
        <sz val="10"/>
        <rFont val="Microsoft YaHei"/>
        <family val="0"/>
        <charset val="1"/>
      </rPr>
      <t xml:space="preserve">+</t>
    </r>
    <r>
      <rPr>
        <sz val="10"/>
        <rFont val="WenQuanYi Zen Hei"/>
        <family val="2"/>
      </rPr>
      <t xml:space="preserve">假突破、强力指数、</t>
    </r>
    <r>
      <rPr>
        <sz val="10"/>
        <rFont val="Microsoft YaHei"/>
        <family val="0"/>
        <charset val="1"/>
      </rPr>
      <t xml:space="preserve">ATR</t>
    </r>
    <r>
      <rPr>
        <sz val="10"/>
        <rFont val="WenQuanYi Zen Hei"/>
        <family val="2"/>
      </rPr>
      <t xml:space="preserve">、</t>
    </r>
    <r>
      <rPr>
        <sz val="10"/>
        <rFont val="Microsoft YaHei"/>
        <family val="0"/>
        <charset val="1"/>
      </rPr>
      <t xml:space="preserve">2%/6%</t>
    </r>
    <r>
      <rPr>
        <sz val="10"/>
        <rFont val="WenQuanYi Zen Hei"/>
        <family val="2"/>
      </rPr>
      <t xml:space="preserve">风险法则全部落成公式</t>
    </r>
    <r>
      <rPr>
        <sz val="10"/>
        <rFont val="Microsoft YaHei"/>
        <family val="0"/>
        <charset val="1"/>
      </rPr>
      <t xml:space="preserve">,</t>
    </r>
    <r>
      <rPr>
        <sz val="10"/>
        <rFont val="WenQuanYi Zen Hei"/>
        <family val="2"/>
      </rPr>
      <t xml:space="preserve">对一只股票的日线数据打分、给出次日挂单价</t>
    </r>
    <r>
      <rPr>
        <sz val="10"/>
        <rFont val="Microsoft YaHei"/>
        <family val="0"/>
        <charset val="1"/>
      </rPr>
      <t xml:space="preserve">/</t>
    </r>
    <r>
      <rPr>
        <sz val="10"/>
        <rFont val="WenQuanYi Zen Hei"/>
        <family val="2"/>
      </rPr>
      <t xml:space="preserve">止损</t>
    </r>
    <r>
      <rPr>
        <sz val="10"/>
        <rFont val="Microsoft YaHei"/>
        <family val="0"/>
        <charset val="1"/>
      </rPr>
      <t xml:space="preserve">/</t>
    </r>
    <r>
      <rPr>
        <sz val="10"/>
        <rFont val="WenQuanYi Zen Hei"/>
        <family val="2"/>
      </rPr>
      <t xml:space="preserve">目标</t>
    </r>
    <r>
      <rPr>
        <sz val="10"/>
        <rFont val="Microsoft YaHei"/>
        <family val="0"/>
        <charset val="1"/>
      </rPr>
      <t xml:space="preserve">/</t>
    </r>
    <r>
      <rPr>
        <sz val="10"/>
        <rFont val="WenQuanYi Zen Hei"/>
        <family val="2"/>
      </rPr>
      <t xml:space="preserve">股数。</t>
    </r>
  </si>
  <si>
    <t xml:space="preserve">色彩约定</t>
  </si>
  <si>
    <r>
      <rPr>
        <sz val="10"/>
        <rFont val="WenQuanYi Zen Hei"/>
        <family val="2"/>
      </rPr>
      <t xml:space="preserve">浅黄色</t>
    </r>
    <r>
      <rPr>
        <sz val="10"/>
        <rFont val="Microsoft YaHei"/>
        <family val="0"/>
        <charset val="1"/>
      </rPr>
      <t xml:space="preserve">=</t>
    </r>
    <r>
      <rPr>
        <sz val="10"/>
        <rFont val="WenQuanYi Zen Hei"/>
        <family val="2"/>
      </rPr>
      <t xml:space="preserve">可输入</t>
    </r>
    <r>
      <rPr>
        <sz val="10"/>
        <rFont val="Microsoft YaHei"/>
        <family val="0"/>
        <charset val="1"/>
      </rPr>
      <t xml:space="preserve">/</t>
    </r>
    <r>
      <rPr>
        <sz val="10"/>
        <rFont val="WenQuanYi Zen Hei"/>
        <family val="2"/>
      </rPr>
      <t xml:space="preserve">可改的单元格</t>
    </r>
    <r>
      <rPr>
        <sz val="10"/>
        <rFont val="Microsoft YaHei"/>
        <family val="0"/>
        <charset val="1"/>
      </rPr>
      <t xml:space="preserve">;</t>
    </r>
    <r>
      <rPr>
        <sz val="10"/>
        <rFont val="WenQuanYi Zen Hei"/>
        <family val="2"/>
      </rPr>
      <t xml:space="preserve">浅蓝色</t>
    </r>
    <r>
      <rPr>
        <sz val="10"/>
        <rFont val="Microsoft YaHei"/>
        <family val="0"/>
        <charset val="1"/>
      </rPr>
      <t xml:space="preserve">=</t>
    </r>
    <r>
      <rPr>
        <sz val="10"/>
        <rFont val="WenQuanYi Zen Hei"/>
        <family val="2"/>
      </rPr>
      <t xml:space="preserve">公式输出</t>
    </r>
    <r>
      <rPr>
        <sz val="10"/>
        <rFont val="Microsoft YaHei"/>
        <family val="0"/>
        <charset val="1"/>
      </rPr>
      <t xml:space="preserve">;</t>
    </r>
    <r>
      <rPr>
        <sz val="10"/>
        <rFont val="WenQuanYi Zen Hei"/>
        <family val="2"/>
      </rPr>
      <t xml:space="preserve">深蓝表头</t>
    </r>
    <r>
      <rPr>
        <sz val="10"/>
        <rFont val="Microsoft YaHei"/>
        <family val="0"/>
        <charset val="1"/>
      </rPr>
      <t xml:space="preserve">=</t>
    </r>
    <r>
      <rPr>
        <sz val="10"/>
        <rFont val="WenQuanYi Zen Hei"/>
        <family val="2"/>
      </rPr>
      <t xml:space="preserve">公式列。</t>
    </r>
  </si>
  <si>
    <t xml:space="preserve">工作表</t>
  </si>
  <si>
    <r>
      <rPr>
        <sz val="10"/>
        <rFont val="WenQuanYi Zen Hei"/>
        <family val="2"/>
      </rPr>
      <t xml:space="preserve">参数 → 日线</t>
    </r>
    <r>
      <rPr>
        <sz val="10"/>
        <rFont val="Microsoft YaHei"/>
        <family val="0"/>
        <charset val="1"/>
      </rPr>
      <t xml:space="preserve">(</t>
    </r>
    <r>
      <rPr>
        <sz val="10"/>
        <rFont val="WenQuanYi Zen Hei"/>
        <family val="2"/>
      </rPr>
      <t xml:space="preserve">粘贴</t>
    </r>
    <r>
      <rPr>
        <sz val="10"/>
        <rFont val="Microsoft YaHei"/>
        <family val="0"/>
        <charset val="1"/>
      </rPr>
      <t xml:space="preserve">OHLCV,</t>
    </r>
    <r>
      <rPr>
        <sz val="10"/>
        <rFont val="WenQuanYi Zen Hei"/>
        <family val="2"/>
      </rPr>
      <t xml:space="preserve">指标全自动</t>
    </r>
    <r>
      <rPr>
        <sz val="10"/>
        <rFont val="Microsoft YaHei"/>
        <family val="0"/>
        <charset val="1"/>
      </rPr>
      <t xml:space="preserve">)→ </t>
    </r>
    <r>
      <rPr>
        <sz val="10"/>
        <rFont val="WenQuanYi Zen Hei"/>
        <family val="2"/>
      </rPr>
      <t xml:space="preserve">周线</t>
    </r>
    <r>
      <rPr>
        <sz val="10"/>
        <rFont val="Microsoft YaHei"/>
        <family val="0"/>
        <charset val="1"/>
      </rPr>
      <t xml:space="preserve">(</t>
    </r>
    <r>
      <rPr>
        <sz val="10"/>
        <rFont val="WenQuanYi Zen Hei"/>
        <family val="2"/>
      </rPr>
      <t xml:space="preserve">自动汇总</t>
    </r>
    <r>
      <rPr>
        <sz val="10"/>
        <rFont val="Microsoft YaHei"/>
        <family val="0"/>
        <charset val="1"/>
      </rPr>
      <t xml:space="preserve">)→ </t>
    </r>
    <r>
      <rPr>
        <sz val="10"/>
        <rFont val="WenQuanYi Zen Hei"/>
        <family val="2"/>
      </rPr>
      <t xml:space="preserve">评分卡</t>
    </r>
    <r>
      <rPr>
        <sz val="10"/>
        <rFont val="Microsoft YaHei"/>
        <family val="0"/>
        <charset val="1"/>
      </rPr>
      <t xml:space="preserve">(</t>
    </r>
    <r>
      <rPr>
        <sz val="10"/>
        <rFont val="WenQuanYi Zen Hei"/>
        <family val="2"/>
      </rPr>
      <t xml:space="preserve">看结论</t>
    </r>
    <r>
      <rPr>
        <sz val="10"/>
        <rFont val="Microsoft YaHei"/>
        <family val="0"/>
        <charset val="1"/>
      </rPr>
      <t xml:space="preserve">)→ </t>
    </r>
    <r>
      <rPr>
        <sz val="10"/>
        <rFont val="WenQuanYi Zen Hei"/>
        <family val="2"/>
      </rPr>
      <t xml:space="preserve">仓位与风险</t>
    </r>
    <r>
      <rPr>
        <sz val="10"/>
        <rFont val="Microsoft YaHei"/>
        <family val="0"/>
        <charset val="1"/>
      </rPr>
      <t xml:space="preserve">(2%/6%)→ </t>
    </r>
    <r>
      <rPr>
        <sz val="10"/>
        <rFont val="WenQuanYi Zen Hei"/>
        <family val="2"/>
      </rPr>
      <t xml:space="preserve">交易评级 → 市场温度 → 图表。</t>
    </r>
  </si>
  <si>
    <t xml:space="preserve">使用步骤</t>
  </si>
  <si>
    <r>
      <rPr>
        <sz val="10"/>
        <rFont val="WenQuanYi Zen Hei"/>
        <family val="2"/>
      </rPr>
      <t xml:space="preserve">① 在</t>
    </r>
    <r>
      <rPr>
        <sz val="10"/>
        <rFont val="Microsoft YaHei"/>
        <family val="0"/>
        <charset val="1"/>
      </rPr>
      <t xml:space="preserve">"</t>
    </r>
    <r>
      <rPr>
        <sz val="10"/>
        <rFont val="WenQuanYi Zen Hei"/>
        <family val="2"/>
      </rPr>
      <t xml:space="preserve">日线</t>
    </r>
    <r>
      <rPr>
        <sz val="10"/>
        <rFont val="Microsoft YaHei"/>
        <family val="0"/>
        <charset val="1"/>
      </rPr>
      <t xml:space="preserve">"A:F </t>
    </r>
    <r>
      <rPr>
        <sz val="10"/>
        <rFont val="WenQuanYi Zen Hei"/>
        <family val="2"/>
      </rPr>
      <t xml:space="preserve">列粘贴自己的日期</t>
    </r>
    <r>
      <rPr>
        <sz val="10"/>
        <rFont val="Microsoft YaHei"/>
        <family val="0"/>
        <charset val="1"/>
      </rPr>
      <t xml:space="preserve">/</t>
    </r>
    <r>
      <rPr>
        <sz val="10"/>
        <rFont val="WenQuanYi Zen Hei"/>
        <family val="2"/>
      </rPr>
      <t xml:space="preserve">开</t>
    </r>
    <r>
      <rPr>
        <sz val="10"/>
        <rFont val="Microsoft YaHei"/>
        <family val="0"/>
        <charset val="1"/>
      </rPr>
      <t xml:space="preserve">/</t>
    </r>
    <r>
      <rPr>
        <sz val="10"/>
        <rFont val="WenQuanYi Zen Hei"/>
        <family val="2"/>
      </rPr>
      <t xml:space="preserve">高</t>
    </r>
    <r>
      <rPr>
        <sz val="10"/>
        <rFont val="Microsoft YaHei"/>
        <family val="0"/>
        <charset val="1"/>
      </rPr>
      <t xml:space="preserve">/</t>
    </r>
    <r>
      <rPr>
        <sz val="10"/>
        <rFont val="WenQuanYi Zen Hei"/>
        <family val="2"/>
      </rPr>
      <t xml:space="preserve">低</t>
    </r>
    <r>
      <rPr>
        <sz val="10"/>
        <rFont val="Microsoft YaHei"/>
        <family val="0"/>
        <charset val="1"/>
      </rPr>
      <t xml:space="preserve">/</t>
    </r>
    <r>
      <rPr>
        <sz val="10"/>
        <rFont val="WenQuanYi Zen Hei"/>
        <family val="2"/>
      </rPr>
      <t xml:space="preserve">收</t>
    </r>
    <r>
      <rPr>
        <sz val="10"/>
        <rFont val="Microsoft YaHei"/>
        <family val="0"/>
        <charset val="1"/>
      </rPr>
      <t xml:space="preserve">/</t>
    </r>
    <r>
      <rPr>
        <sz val="10"/>
        <rFont val="WenQuanYi Zen Hei"/>
        <family val="2"/>
      </rPr>
      <t xml:space="preserve">量</t>
    </r>
    <r>
      <rPr>
        <sz val="10"/>
        <rFont val="Microsoft YaHei"/>
        <family val="0"/>
        <charset val="1"/>
      </rPr>
      <t xml:space="preserve">(</t>
    </r>
    <r>
      <rPr>
        <sz val="10"/>
        <rFont val="WenQuanYi Zen Hei"/>
        <family val="2"/>
      </rPr>
      <t xml:space="preserve">示例为合成数据</t>
    </r>
    <r>
      <rPr>
        <sz val="10"/>
        <rFont val="Microsoft YaHei"/>
        <family val="0"/>
        <charset val="1"/>
      </rPr>
      <t xml:space="preserve">)</t>
    </r>
    <r>
      <rPr>
        <sz val="10"/>
        <rFont val="WenQuanYi Zen Hei"/>
        <family val="2"/>
      </rPr>
      <t xml:space="preserve">。② 必要时在</t>
    </r>
    <r>
      <rPr>
        <sz val="10"/>
        <rFont val="Microsoft YaHei"/>
        <family val="0"/>
        <charset val="1"/>
      </rPr>
      <t xml:space="preserve">"</t>
    </r>
    <r>
      <rPr>
        <sz val="10"/>
        <rFont val="WenQuanYi Zen Hei"/>
        <family val="2"/>
      </rPr>
      <t xml:space="preserve">参数</t>
    </r>
    <r>
      <rPr>
        <sz val="10"/>
        <rFont val="Microsoft YaHei"/>
        <family val="0"/>
        <charset val="1"/>
      </rPr>
      <t xml:space="preserve">"</t>
    </r>
    <r>
      <rPr>
        <sz val="10"/>
        <rFont val="WenQuanYi Zen Hei"/>
        <family val="2"/>
      </rPr>
      <t xml:space="preserve">调通道系数</t>
    </r>
    <r>
      <rPr>
        <sz val="10"/>
        <rFont val="Microsoft YaHei"/>
        <family val="0"/>
        <charset val="1"/>
      </rPr>
      <t xml:space="preserve">(</t>
    </r>
    <r>
      <rPr>
        <sz val="10"/>
        <rFont val="WenQuanYi Zen Hei"/>
        <family val="2"/>
      </rPr>
      <t xml:space="preserve">使近</t>
    </r>
    <r>
      <rPr>
        <sz val="10"/>
        <rFont val="Microsoft YaHei"/>
        <family val="0"/>
        <charset val="1"/>
      </rPr>
      <t xml:space="preserve">100</t>
    </r>
    <r>
      <rPr>
        <sz val="10"/>
        <rFont val="WenQuanYi Zen Hei"/>
        <family val="2"/>
      </rPr>
      <t xml:space="preserve">根</t>
    </r>
    <r>
      <rPr>
        <sz val="10"/>
        <rFont val="Microsoft YaHei"/>
        <family val="0"/>
        <charset val="1"/>
      </rPr>
      <t xml:space="preserve">K</t>
    </r>
    <r>
      <rPr>
        <sz val="10"/>
        <rFont val="WenQuanYi Zen Hei"/>
        <family val="2"/>
      </rPr>
      <t xml:space="preserve">线约</t>
    </r>
    <r>
      <rPr>
        <sz val="10"/>
        <rFont val="Microsoft YaHei"/>
        <family val="0"/>
        <charset val="1"/>
      </rPr>
      <t xml:space="preserve">95%</t>
    </r>
    <r>
      <rPr>
        <sz val="10"/>
        <rFont val="WenQuanYi Zen Hei"/>
        <family val="2"/>
      </rPr>
      <t xml:space="preserve">落在通道内</t>
    </r>
    <r>
      <rPr>
        <sz val="10"/>
        <rFont val="Microsoft YaHei"/>
        <family val="0"/>
        <charset val="1"/>
      </rPr>
      <t xml:space="preserve">)</t>
    </r>
    <r>
      <rPr>
        <sz val="10"/>
        <rFont val="WenQuanYi Zen Hei"/>
        <family val="2"/>
      </rPr>
      <t xml:space="preserve">。③ 在</t>
    </r>
    <r>
      <rPr>
        <sz val="10"/>
        <rFont val="Microsoft YaHei"/>
        <family val="0"/>
        <charset val="1"/>
      </rPr>
      <t xml:space="preserve">"</t>
    </r>
    <r>
      <rPr>
        <sz val="10"/>
        <rFont val="WenQuanYi Zen Hei"/>
        <family val="2"/>
      </rPr>
      <t xml:space="preserve">市场温度</t>
    </r>
    <r>
      <rPr>
        <sz val="10"/>
        <rFont val="Microsoft YaHei"/>
        <family val="0"/>
        <charset val="1"/>
      </rPr>
      <t xml:space="preserve">"</t>
    </r>
    <r>
      <rPr>
        <sz val="10"/>
        <rFont val="WenQuanYi Zen Hei"/>
        <family val="2"/>
      </rPr>
      <t xml:space="preserve">填大盘</t>
    </r>
    <r>
      <rPr>
        <sz val="10"/>
        <rFont val="Microsoft YaHei"/>
        <family val="0"/>
        <charset val="1"/>
      </rPr>
      <t xml:space="preserve">4</t>
    </r>
    <r>
      <rPr>
        <sz val="10"/>
        <rFont val="WenQuanYi Zen Hei"/>
        <family val="2"/>
      </rPr>
      <t xml:space="preserve">个读数。④ 打开</t>
    </r>
    <r>
      <rPr>
        <sz val="10"/>
        <rFont val="Microsoft YaHei"/>
        <family val="0"/>
        <charset val="1"/>
      </rPr>
      <t xml:space="preserve">"</t>
    </r>
    <r>
      <rPr>
        <sz val="10"/>
        <rFont val="WenQuanYi Zen Hei"/>
        <family val="2"/>
      </rPr>
      <t xml:space="preserve">评分卡</t>
    </r>
    <r>
      <rPr>
        <sz val="10"/>
        <rFont val="Microsoft YaHei"/>
        <family val="0"/>
        <charset val="1"/>
      </rPr>
      <t xml:space="preserve">"</t>
    </r>
    <r>
      <rPr>
        <sz val="10"/>
        <rFont val="WenQuanYi Zen Hei"/>
        <family val="2"/>
      </rPr>
      <t xml:space="preserve">看总分、否决项、挂单计划。⑤ 买入后在</t>
    </r>
    <r>
      <rPr>
        <sz val="10"/>
        <rFont val="Microsoft YaHei"/>
        <family val="0"/>
        <charset val="1"/>
      </rPr>
      <t xml:space="preserve">"</t>
    </r>
    <r>
      <rPr>
        <sz val="10"/>
        <rFont val="WenQuanYi Zen Hei"/>
        <family val="2"/>
      </rPr>
      <t xml:space="preserve">仓位与风险</t>
    </r>
    <r>
      <rPr>
        <sz val="10"/>
        <rFont val="Microsoft YaHei"/>
        <family val="0"/>
        <charset val="1"/>
      </rPr>
      <t xml:space="preserve">"</t>
    </r>
    <r>
      <rPr>
        <sz val="10"/>
        <rFont val="WenQuanYi Zen Hei"/>
        <family val="2"/>
      </rPr>
      <t xml:space="preserve">登记</t>
    </r>
    <r>
      <rPr>
        <sz val="10"/>
        <rFont val="Microsoft YaHei"/>
        <family val="0"/>
        <charset val="1"/>
      </rPr>
      <t xml:space="preserve">,</t>
    </r>
    <r>
      <rPr>
        <sz val="10"/>
        <rFont val="WenQuanYi Zen Hei"/>
        <family val="2"/>
      </rPr>
      <t xml:space="preserve">监控</t>
    </r>
    <r>
      <rPr>
        <sz val="10"/>
        <rFont val="Microsoft YaHei"/>
        <family val="0"/>
        <charset val="1"/>
      </rPr>
      <t xml:space="preserve">6%</t>
    </r>
    <r>
      <rPr>
        <sz val="10"/>
        <rFont val="WenQuanYi Zen Hei"/>
        <family val="2"/>
      </rPr>
      <t xml:space="preserve">额度。⑥ 平仓后在</t>
    </r>
    <r>
      <rPr>
        <sz val="10"/>
        <rFont val="Microsoft YaHei"/>
        <family val="0"/>
        <charset val="1"/>
      </rPr>
      <t xml:space="preserve">"</t>
    </r>
    <r>
      <rPr>
        <sz val="10"/>
        <rFont val="WenQuanYi Zen Hei"/>
        <family val="2"/>
      </rPr>
      <t xml:space="preserve">交易评级</t>
    </r>
    <r>
      <rPr>
        <sz val="10"/>
        <rFont val="Microsoft YaHei"/>
        <family val="0"/>
        <charset val="1"/>
      </rPr>
      <t xml:space="preserve">"</t>
    </r>
    <r>
      <rPr>
        <sz val="10"/>
        <rFont val="WenQuanYi Zen Hei"/>
        <family val="2"/>
      </rPr>
      <t xml:space="preserve">打分复盘。</t>
    </r>
  </si>
  <si>
    <t xml:space="preserve">扩展数据</t>
  </si>
  <si>
    <r>
      <rPr>
        <sz val="10"/>
        <rFont val="WenQuanYi Zen Hei"/>
        <family val="2"/>
      </rPr>
      <t xml:space="preserve">行数不够时</t>
    </r>
    <r>
      <rPr>
        <sz val="10"/>
        <rFont val="Microsoft YaHei"/>
        <family val="0"/>
        <charset val="1"/>
      </rPr>
      <t xml:space="preserve">:</t>
    </r>
    <r>
      <rPr>
        <sz val="10"/>
        <rFont val="WenQuanYi Zen Hei"/>
        <family val="2"/>
      </rPr>
      <t xml:space="preserve">选中日线最后一行的公式列</t>
    </r>
    <r>
      <rPr>
        <sz val="10"/>
        <rFont val="Microsoft YaHei"/>
        <family val="0"/>
        <charset val="1"/>
      </rPr>
      <t xml:space="preserve">(G</t>
    </r>
    <r>
      <rPr>
        <sz val="10"/>
        <rFont val="WenQuanYi Zen Hei"/>
        <family val="2"/>
      </rPr>
      <t xml:space="preserve">列起</t>
    </r>
    <r>
      <rPr>
        <sz val="10"/>
        <rFont val="Microsoft YaHei"/>
        <family val="0"/>
        <charset val="1"/>
      </rPr>
      <t xml:space="preserve">)</t>
    </r>
    <r>
      <rPr>
        <sz val="10"/>
        <rFont val="WenQuanYi Zen Hei"/>
        <family val="2"/>
      </rPr>
      <t xml:space="preserve">向下填充即可</t>
    </r>
    <r>
      <rPr>
        <sz val="10"/>
        <rFont val="Microsoft YaHei"/>
        <family val="0"/>
        <charset val="1"/>
      </rPr>
      <t xml:space="preserve">;</t>
    </r>
    <r>
      <rPr>
        <sz val="10"/>
        <rFont val="WenQuanYi Zen Hei"/>
        <family val="2"/>
      </rPr>
      <t xml:space="preserve">周线预留</t>
    </r>
    <r>
      <rPr>
        <sz val="10"/>
        <rFont val="Microsoft YaHei"/>
        <family val="0"/>
        <charset val="1"/>
      </rPr>
      <t xml:space="preserve">80</t>
    </r>
    <r>
      <rPr>
        <sz val="10"/>
        <rFont val="WenQuanYi Zen Hei"/>
        <family val="2"/>
      </rPr>
      <t xml:space="preserve">周。批量处理几千只股票请使用第三步的 </t>
    </r>
    <r>
      <rPr>
        <sz val="10"/>
        <rFont val="Microsoft YaHei"/>
        <family val="0"/>
        <charset val="1"/>
      </rPr>
      <t xml:space="preserve">Python </t>
    </r>
    <r>
      <rPr>
        <sz val="10"/>
        <rFont val="WenQuanYi Zen Hei"/>
        <family val="2"/>
      </rPr>
      <t xml:space="preserve">引擎</t>
    </r>
    <r>
      <rPr>
        <sz val="10"/>
        <rFont val="Microsoft YaHei"/>
        <family val="0"/>
        <charset val="1"/>
      </rPr>
      <t xml:space="preserve">(</t>
    </r>
    <r>
      <rPr>
        <sz val="10"/>
        <rFont val="WenQuanYi Zen Hei"/>
        <family val="2"/>
      </rPr>
      <t xml:space="preserve">与本表同一套定义</t>
    </r>
    <r>
      <rPr>
        <sz val="10"/>
        <rFont val="Microsoft YaHei"/>
        <family val="0"/>
        <charset val="1"/>
      </rPr>
      <t xml:space="preserve">,</t>
    </r>
    <r>
      <rPr>
        <sz val="10"/>
        <rFont val="WenQuanYi Zen Hei"/>
        <family val="2"/>
      </rPr>
      <t xml:space="preserve">已逐行对账</t>
    </r>
    <r>
      <rPr>
        <sz val="10"/>
        <rFont val="Microsoft YaHei"/>
        <family val="0"/>
        <charset val="1"/>
      </rPr>
      <t xml:space="preserve">)</t>
    </r>
    <r>
      <rPr>
        <sz val="10"/>
        <rFont val="WenQuanYi Zen Hei"/>
        <family val="2"/>
      </rPr>
      <t xml:space="preserve">。</t>
    </r>
  </si>
  <si>
    <t xml:space="preserve">信号定义</t>
  </si>
  <si>
    <r>
      <rPr>
        <sz val="10"/>
        <rFont val="WenQuanYi Zen Hei"/>
        <family val="2"/>
      </rPr>
      <t xml:space="preserve">动力系统</t>
    </r>
    <r>
      <rPr>
        <sz val="10"/>
        <rFont val="Microsoft YaHei"/>
        <family val="0"/>
        <charset val="1"/>
      </rPr>
      <t xml:space="preserve">:EMA</t>
    </r>
    <r>
      <rPr>
        <sz val="10"/>
        <rFont val="WenQuanYi Zen Hei"/>
        <family val="2"/>
      </rPr>
      <t xml:space="preserve">快↑且</t>
    </r>
    <r>
      <rPr>
        <sz val="10"/>
        <rFont val="Microsoft YaHei"/>
        <family val="0"/>
        <charset val="1"/>
      </rPr>
      <t xml:space="preserve">MACD</t>
    </r>
    <r>
      <rPr>
        <sz val="10"/>
        <rFont val="WenQuanYi Zen Hei"/>
        <family val="2"/>
      </rPr>
      <t xml:space="preserve">柱↑</t>
    </r>
    <r>
      <rPr>
        <sz val="10"/>
        <rFont val="Microsoft YaHei"/>
        <family val="0"/>
        <charset val="1"/>
      </rPr>
      <t xml:space="preserve">=</t>
    </r>
    <r>
      <rPr>
        <sz val="10"/>
        <rFont val="WenQuanYi Zen Hei"/>
        <family val="2"/>
      </rPr>
      <t xml:space="preserve">绿</t>
    </r>
    <r>
      <rPr>
        <sz val="10"/>
        <rFont val="Microsoft YaHei"/>
        <family val="0"/>
        <charset val="1"/>
      </rPr>
      <t xml:space="preserve">(</t>
    </r>
    <r>
      <rPr>
        <sz val="10"/>
        <rFont val="WenQuanYi Zen Hei"/>
        <family val="2"/>
      </rPr>
      <t xml:space="preserve">禁止卖空</t>
    </r>
    <r>
      <rPr>
        <sz val="10"/>
        <rFont val="Microsoft YaHei"/>
        <family val="0"/>
        <charset val="1"/>
      </rPr>
      <t xml:space="preserve">);EMA</t>
    </r>
    <r>
      <rPr>
        <sz val="10"/>
        <rFont val="WenQuanYi Zen Hei"/>
        <family val="2"/>
      </rPr>
      <t xml:space="preserve">快↓且柱↓</t>
    </r>
    <r>
      <rPr>
        <sz val="10"/>
        <rFont val="Microsoft YaHei"/>
        <family val="0"/>
        <charset val="1"/>
      </rPr>
      <t xml:space="preserve">=</t>
    </r>
    <r>
      <rPr>
        <sz val="10"/>
        <rFont val="WenQuanYi Zen Hei"/>
        <family val="2"/>
      </rPr>
      <t xml:space="preserve">红</t>
    </r>
    <r>
      <rPr>
        <sz val="10"/>
        <rFont val="Microsoft YaHei"/>
        <family val="0"/>
        <charset val="1"/>
      </rPr>
      <t xml:space="preserve">(</t>
    </r>
    <r>
      <rPr>
        <sz val="10"/>
        <rFont val="WenQuanYi Zen Hei"/>
        <family val="2"/>
      </rPr>
      <t xml:space="preserve">禁止买入</t>
    </r>
    <r>
      <rPr>
        <sz val="10"/>
        <rFont val="Microsoft YaHei"/>
        <family val="0"/>
        <charset val="1"/>
      </rPr>
      <t xml:space="preserve">);</t>
    </r>
    <r>
      <rPr>
        <sz val="10"/>
        <rFont val="WenQuanYi Zen Hei"/>
        <family val="2"/>
      </rPr>
      <t xml:space="preserve">否则蓝。形态</t>
    </r>
    <r>
      <rPr>
        <sz val="10"/>
        <rFont val="Microsoft YaHei"/>
        <family val="0"/>
        <charset val="1"/>
      </rPr>
      <t xml:space="preserve">A:</t>
    </r>
    <r>
      <rPr>
        <sz val="10"/>
        <rFont val="WenQuanYi Zen Hei"/>
        <family val="2"/>
      </rPr>
      <t xml:space="preserve">周</t>
    </r>
    <r>
      <rPr>
        <sz val="10"/>
        <rFont val="Microsoft YaHei"/>
        <family val="0"/>
        <charset val="1"/>
      </rPr>
      <t xml:space="preserve">EMA</t>
    </r>
    <r>
      <rPr>
        <sz val="10"/>
        <rFont val="WenQuanYi Zen Hei"/>
        <family val="2"/>
      </rPr>
      <t xml:space="preserve">慢向上、日线非红、</t>
    </r>
    <r>
      <rPr>
        <sz val="10"/>
        <rFont val="Microsoft YaHei"/>
        <family val="0"/>
        <charset val="1"/>
      </rPr>
      <t xml:space="preserve">2</t>
    </r>
    <r>
      <rPr>
        <sz val="10"/>
        <rFont val="WenQuanYi Zen Hei"/>
        <family val="2"/>
      </rPr>
      <t xml:space="preserve">日强力指数</t>
    </r>
    <r>
      <rPr>
        <sz val="10"/>
        <rFont val="Microsoft YaHei"/>
        <family val="0"/>
        <charset val="1"/>
      </rPr>
      <t xml:space="preserve">&lt;0</t>
    </r>
    <r>
      <rPr>
        <sz val="10"/>
        <rFont val="WenQuanYi Zen Hei"/>
        <family val="2"/>
      </rPr>
      <t xml:space="preserve">且非数周新低、收盘≤</t>
    </r>
    <r>
      <rPr>
        <sz val="10"/>
        <rFont val="Microsoft YaHei"/>
        <family val="0"/>
        <charset val="1"/>
      </rPr>
      <t xml:space="preserve">EMA</t>
    </r>
    <r>
      <rPr>
        <sz val="10"/>
        <rFont val="WenQuanYi Zen Hei"/>
        <family val="2"/>
      </rPr>
      <t xml:space="preserve">快且≥通道下轨。形态</t>
    </r>
    <r>
      <rPr>
        <sz val="10"/>
        <rFont val="Microsoft YaHei"/>
        <family val="0"/>
        <charset val="1"/>
      </rPr>
      <t xml:space="preserve">B:MACD</t>
    </r>
    <r>
      <rPr>
        <sz val="10"/>
        <rFont val="WenQuanYi Zen Hei"/>
        <family val="2"/>
      </rPr>
      <t xml:space="preserve">柱两个负区段谷底</t>
    </r>
    <r>
      <rPr>
        <sz val="10"/>
        <rFont val="Microsoft YaHei"/>
        <family val="0"/>
        <charset val="1"/>
      </rPr>
      <t xml:space="preserve">,</t>
    </r>
    <r>
      <rPr>
        <sz val="10"/>
        <rFont val="WenQuanYi Zen Hei"/>
        <family val="2"/>
      </rPr>
      <t xml:space="preserve">价格更低而柱谷更浅、间隔在参数范围内、柱线回升。形态</t>
    </r>
    <r>
      <rPr>
        <sz val="10"/>
        <rFont val="Microsoft YaHei"/>
        <family val="0"/>
        <charset val="1"/>
      </rPr>
      <t xml:space="preserve">C:</t>
    </r>
    <r>
      <rPr>
        <sz val="10"/>
        <rFont val="WenQuanYi Zen Hei"/>
        <family val="2"/>
      </rPr>
      <t xml:space="preserve">价格低于通道下轨且</t>
    </r>
    <r>
      <rPr>
        <sz val="10"/>
        <rFont val="Microsoft YaHei"/>
        <family val="0"/>
        <charset val="1"/>
      </rPr>
      <t xml:space="preserve">2</t>
    </r>
    <r>
      <rPr>
        <sz val="10"/>
        <rFont val="WenQuanYi Zen Hei"/>
        <family val="2"/>
      </rPr>
      <t xml:space="preserve">日强力指数深度超过平均负值的</t>
    </r>
    <r>
      <rPr>
        <sz val="10"/>
        <rFont val="Microsoft YaHei"/>
        <family val="0"/>
        <charset val="1"/>
      </rPr>
      <t xml:space="preserve">5</t>
    </r>
    <r>
      <rPr>
        <sz val="10"/>
        <rFont val="WenQuanYi Zen Hei"/>
        <family val="2"/>
      </rPr>
      <t xml:space="preserve">倍后回升。</t>
    </r>
  </si>
  <si>
    <t xml:space="preserve">买入价</t>
  </si>
  <si>
    <r>
      <rPr>
        <sz val="10"/>
        <rFont val="WenQuanYi Zen Hei"/>
        <family val="2"/>
      </rPr>
      <t xml:space="preserve">三重滤网第三重</t>
    </r>
    <r>
      <rPr>
        <sz val="10"/>
        <rFont val="Microsoft YaHei"/>
        <family val="0"/>
        <charset val="1"/>
      </rPr>
      <t xml:space="preserve">:</t>
    </r>
    <r>
      <rPr>
        <sz val="10"/>
        <rFont val="WenQuanYi Zen Hei"/>
        <family val="2"/>
      </rPr>
      <t xml:space="preserve">明日</t>
    </r>
    <r>
      <rPr>
        <sz val="10"/>
        <rFont val="Microsoft YaHei"/>
        <family val="0"/>
        <charset val="1"/>
      </rPr>
      <t xml:space="preserve">EMA</t>
    </r>
    <r>
      <rPr>
        <sz val="10"/>
        <rFont val="WenQuanYi Zen Hei"/>
        <family val="2"/>
      </rPr>
      <t xml:space="preserve">估计 − 平均下跌穿透</t>
    </r>
    <r>
      <rPr>
        <sz val="10"/>
        <rFont val="Microsoft YaHei"/>
        <family val="0"/>
        <charset val="1"/>
      </rPr>
      <t xml:space="preserve">,</t>
    </r>
    <r>
      <rPr>
        <sz val="10"/>
        <rFont val="WenQuanYi Zen Hei"/>
        <family val="2"/>
      </rPr>
      <t xml:space="preserve">即在回调中以折价挂单</t>
    </r>
    <r>
      <rPr>
        <sz val="10"/>
        <rFont val="Microsoft YaHei"/>
        <family val="0"/>
        <charset val="1"/>
      </rPr>
      <t xml:space="preserve">,</t>
    </r>
    <r>
      <rPr>
        <sz val="10"/>
        <rFont val="WenQuanYi Zen Hei"/>
        <family val="2"/>
      </rPr>
      <t xml:space="preserve">不追高。</t>
    </r>
  </si>
  <si>
    <t xml:space="preserve">止损</t>
  </si>
  <si>
    <r>
      <rPr>
        <sz val="10"/>
        <rFont val="WenQuanYi Zen Hei"/>
        <family val="2"/>
      </rPr>
      <t xml:space="preserve">尼克止损</t>
    </r>
    <r>
      <rPr>
        <sz val="10"/>
        <rFont val="Microsoft YaHei"/>
        <family val="0"/>
        <charset val="1"/>
      </rPr>
      <t xml:space="preserve">:</t>
    </r>
    <r>
      <rPr>
        <sz val="10"/>
        <rFont val="WenQuanYi Zen Hei"/>
        <family val="2"/>
      </rPr>
      <t xml:space="preserve">近期次低点下方</t>
    </r>
    <r>
      <rPr>
        <sz val="10"/>
        <rFont val="Microsoft YaHei"/>
        <family val="0"/>
        <charset val="1"/>
      </rPr>
      <t xml:space="preserve">1</t>
    </r>
    <r>
      <rPr>
        <sz val="10"/>
        <rFont val="WenQuanYi Zen Hei"/>
        <family val="2"/>
      </rPr>
      <t xml:space="preserve">分</t>
    </r>
    <r>
      <rPr>
        <sz val="10"/>
        <rFont val="Microsoft YaHei"/>
        <family val="0"/>
        <charset val="1"/>
      </rPr>
      <t xml:space="preserve">,</t>
    </r>
    <r>
      <rPr>
        <sz val="10"/>
        <rFont val="WenQuanYi Zen Hei"/>
        <family val="2"/>
      </rPr>
      <t xml:space="preserve">且至少离买入价 </t>
    </r>
    <r>
      <rPr>
        <sz val="10"/>
        <rFont val="Microsoft YaHei"/>
        <family val="0"/>
        <charset val="1"/>
      </rPr>
      <t xml:space="preserve">N×ATR,</t>
    </r>
    <r>
      <rPr>
        <sz val="10"/>
        <rFont val="WenQuanYi Zen Hei"/>
        <family val="2"/>
      </rPr>
      <t xml:space="preserve">并避开整数</t>
    </r>
    <r>
      <rPr>
        <sz val="10"/>
        <rFont val="Microsoft YaHei"/>
        <family val="0"/>
        <charset val="1"/>
      </rPr>
      <t xml:space="preserve">/</t>
    </r>
    <r>
      <rPr>
        <sz val="10"/>
        <rFont val="WenQuanYi Zen Hei"/>
        <family val="2"/>
      </rPr>
      <t xml:space="preserve">半整数价位</t>
    </r>
    <r>
      <rPr>
        <sz val="10"/>
        <rFont val="Microsoft YaHei"/>
        <family val="0"/>
        <charset val="1"/>
      </rPr>
      <t xml:space="preserve">,</t>
    </r>
    <r>
      <rPr>
        <sz val="10"/>
        <rFont val="WenQuanYi Zen Hei"/>
        <family val="2"/>
      </rPr>
      <t xml:space="preserve">以免落入拥挤的止损单区域。</t>
    </r>
  </si>
  <si>
    <t xml:space="preserve">目标</t>
  </si>
  <si>
    <r>
      <rPr>
        <sz val="10"/>
        <rFont val="WenQuanYi Zen Hei"/>
        <family val="2"/>
      </rPr>
      <t xml:space="preserve">上通道线</t>
    </r>
    <r>
      <rPr>
        <sz val="10"/>
        <rFont val="Microsoft YaHei"/>
        <family val="0"/>
        <charset val="1"/>
      </rPr>
      <t xml:space="preserve">(</t>
    </r>
    <r>
      <rPr>
        <sz val="10"/>
        <rFont val="WenQuanYi Zen Hei"/>
        <family val="2"/>
      </rPr>
      <t xml:space="preserve">书</t>
    </r>
    <r>
      <rPr>
        <sz val="10"/>
        <rFont val="Microsoft YaHei"/>
        <family val="0"/>
        <charset val="1"/>
      </rPr>
      <t xml:space="preserve">:</t>
    </r>
    <r>
      <rPr>
        <sz val="10"/>
        <rFont val="WenQuanYi Zen Hei"/>
        <family val="2"/>
      </rPr>
      <t xml:space="preserve">在价值区间买入、通道上轨附近兑现</t>
    </r>
    <r>
      <rPr>
        <sz val="10"/>
        <rFont val="Microsoft YaHei"/>
        <family val="0"/>
        <charset val="1"/>
      </rPr>
      <t xml:space="preserve">)</t>
    </r>
    <r>
      <rPr>
        <sz val="10"/>
        <rFont val="WenQuanYi Zen Hei"/>
        <family val="2"/>
      </rPr>
      <t xml:space="preserve">。分批</t>
    </r>
    <r>
      <rPr>
        <sz val="10"/>
        <rFont val="Microsoft YaHei"/>
        <family val="0"/>
        <charset val="1"/>
      </rPr>
      <t xml:space="preserve">:1/3</t>
    </r>
    <r>
      <rPr>
        <sz val="10"/>
        <rFont val="WenQuanYi Zen Hei"/>
        <family val="2"/>
      </rPr>
      <t xml:space="preserve">在</t>
    </r>
    <r>
      <rPr>
        <sz val="10"/>
        <rFont val="Microsoft YaHei"/>
        <family val="0"/>
        <charset val="1"/>
      </rPr>
      <t xml:space="preserve">+1ATR,1/3</t>
    </r>
    <r>
      <rPr>
        <sz val="10"/>
        <rFont val="WenQuanYi Zen Hei"/>
        <family val="2"/>
      </rPr>
      <t xml:space="preserve">在</t>
    </r>
    <r>
      <rPr>
        <sz val="10"/>
        <rFont val="Microsoft YaHei"/>
        <family val="0"/>
        <charset val="1"/>
      </rPr>
      <t xml:space="preserve">+2ATR,</t>
    </r>
    <r>
      <rPr>
        <sz val="10"/>
        <rFont val="WenQuanYi Zen Hei"/>
        <family val="2"/>
      </rPr>
      <t xml:space="preserve">其余在</t>
    </r>
    <r>
      <rPr>
        <sz val="10"/>
        <rFont val="Microsoft YaHei"/>
        <family val="0"/>
        <charset val="1"/>
      </rPr>
      <t xml:space="preserve">+3ATR</t>
    </r>
    <r>
      <rPr>
        <sz val="10"/>
        <rFont val="WenQuanYi Zen Hei"/>
        <family val="2"/>
      </rPr>
      <t xml:space="preserve">或动力系统转蓝</t>
    </r>
    <r>
      <rPr>
        <sz val="10"/>
        <rFont val="Microsoft YaHei"/>
        <family val="0"/>
        <charset val="1"/>
      </rPr>
      <t xml:space="preserve">/</t>
    </r>
    <r>
      <rPr>
        <sz val="10"/>
        <rFont val="WenQuanYi Zen Hei"/>
        <family val="2"/>
      </rPr>
      <t xml:space="preserve">红时离场。</t>
    </r>
  </si>
  <si>
    <t xml:space="preserve">风险</t>
  </si>
  <si>
    <r>
      <rPr>
        <sz val="10"/>
        <rFont val="WenQuanYi Zen Hei"/>
        <family val="2"/>
      </rPr>
      <t xml:space="preserve">单笔风险</t>
    </r>
    <r>
      <rPr>
        <sz val="10"/>
        <rFont val="Microsoft YaHei"/>
        <family val="0"/>
        <charset val="1"/>
      </rPr>
      <t xml:space="preserve">=</t>
    </r>
    <r>
      <rPr>
        <sz val="10"/>
        <rFont val="WenQuanYi Zen Hei"/>
        <family val="2"/>
      </rPr>
      <t xml:space="preserve">资金</t>
    </r>
    <r>
      <rPr>
        <sz val="10"/>
        <rFont val="Microsoft YaHei"/>
        <family val="0"/>
        <charset val="1"/>
      </rPr>
      <t xml:space="preserve">×</t>
    </r>
    <r>
      <rPr>
        <sz val="10"/>
        <rFont val="WenQuanYi Zen Hei"/>
        <family val="2"/>
      </rPr>
      <t xml:space="preserve">风险</t>
    </r>
    <r>
      <rPr>
        <sz val="10"/>
        <rFont val="Microsoft YaHei"/>
        <family val="0"/>
        <charset val="1"/>
      </rPr>
      <t xml:space="preserve">%(</t>
    </r>
    <r>
      <rPr>
        <sz val="10"/>
        <rFont val="WenQuanYi Zen Hei"/>
        <family val="2"/>
      </rPr>
      <t xml:space="preserve">默认</t>
    </r>
    <r>
      <rPr>
        <sz val="10"/>
        <rFont val="Microsoft YaHei"/>
        <family val="0"/>
        <charset val="1"/>
      </rPr>
      <t xml:space="preserve">1%,</t>
    </r>
    <r>
      <rPr>
        <sz val="10"/>
        <rFont val="WenQuanYi Zen Hei"/>
        <family val="2"/>
      </rPr>
      <t xml:space="preserve">上限</t>
    </r>
    <r>
      <rPr>
        <sz val="10"/>
        <rFont val="Microsoft YaHei"/>
        <family val="0"/>
        <charset val="1"/>
      </rPr>
      <t xml:space="preserve">2%);</t>
    </r>
    <r>
      <rPr>
        <sz val="10"/>
        <rFont val="WenQuanYi Zen Hei"/>
        <family val="2"/>
      </rPr>
      <t xml:space="preserve">月度已亏损</t>
    </r>
    <r>
      <rPr>
        <sz val="10"/>
        <rFont val="Microsoft YaHei"/>
        <family val="0"/>
        <charset val="1"/>
      </rPr>
      <t xml:space="preserve">+</t>
    </r>
    <r>
      <rPr>
        <sz val="10"/>
        <rFont val="WenQuanYi Zen Hei"/>
        <family val="2"/>
      </rPr>
      <t xml:space="preserve">持仓风险≥</t>
    </r>
    <r>
      <rPr>
        <sz val="10"/>
        <rFont val="Microsoft YaHei"/>
        <family val="0"/>
        <charset val="1"/>
      </rPr>
      <t xml:space="preserve">6%</t>
    </r>
    <r>
      <rPr>
        <sz val="10"/>
        <rFont val="WenQuanYi Zen Hei"/>
        <family val="2"/>
      </rPr>
      <t xml:space="preserve">停止开新仓</t>
    </r>
    <r>
      <rPr>
        <sz val="10"/>
        <rFont val="Microsoft YaHei"/>
        <family val="0"/>
        <charset val="1"/>
      </rPr>
      <t xml:space="preserve">;</t>
    </r>
    <r>
      <rPr>
        <sz val="10"/>
        <rFont val="WenQuanYi Zen Hei"/>
        <family val="2"/>
      </rPr>
      <t xml:space="preserve">止损上移到保本即释放额度。</t>
    </r>
  </si>
  <si>
    <t xml:space="preserve">免责声明</t>
  </si>
  <si>
    <r>
      <rPr>
        <sz val="10"/>
        <rFont val="WenQuanYi Zen Hei"/>
        <family val="2"/>
      </rPr>
      <t xml:space="preserve">示例数据为合成数据。权重、阈值、大盘系数为本方案设计假设</t>
    </r>
    <r>
      <rPr>
        <sz val="10"/>
        <rFont val="Microsoft YaHei"/>
        <family val="0"/>
        <charset val="1"/>
      </rPr>
      <t xml:space="preserve">,</t>
    </r>
    <r>
      <rPr>
        <sz val="10"/>
        <rFont val="WenQuanYi Zen Hei"/>
        <family val="2"/>
      </rPr>
      <t xml:space="preserve">尚未经真实历史回测验证</t>
    </r>
    <r>
      <rPr>
        <sz val="10"/>
        <rFont val="Microsoft YaHei"/>
        <family val="0"/>
        <charset val="1"/>
      </rPr>
      <t xml:space="preserve">;</t>
    </r>
    <r>
      <rPr>
        <sz val="10"/>
        <rFont val="WenQuanYi Zen Hei"/>
        <family val="2"/>
      </rPr>
      <t xml:space="preserve">模型仅作研究与教育用途</t>
    </r>
    <r>
      <rPr>
        <sz val="10"/>
        <rFont val="Microsoft YaHei"/>
        <family val="0"/>
        <charset val="1"/>
      </rPr>
      <t xml:space="preserve">,</t>
    </r>
    <r>
      <rPr>
        <sz val="10"/>
        <rFont val="WenQuanYi Zen Hei"/>
        <family val="2"/>
      </rPr>
      <t xml:space="preserve">不构成投资建议。</t>
    </r>
  </si>
  <si>
    <r>
      <rPr>
        <b val="true"/>
        <sz val="14"/>
        <color rgb="FF1F3A5F"/>
        <rFont val="WenQuanYi Zen Hei"/>
        <family val="2"/>
      </rPr>
      <t xml:space="preserve">参数表</t>
    </r>
    <r>
      <rPr>
        <b val="true"/>
        <sz val="14"/>
        <color rgb="FF1F3A5F"/>
        <rFont val="Microsoft YaHei"/>
        <family val="0"/>
        <charset val="1"/>
      </rPr>
      <t xml:space="preserve">(</t>
    </r>
    <r>
      <rPr>
        <b val="true"/>
        <sz val="14"/>
        <color rgb="FF1F3A5F"/>
        <rFont val="WenQuanYi Zen Hei"/>
        <family val="2"/>
      </rPr>
      <t xml:space="preserve">浅黄色单元格可修改</t>
    </r>
    <r>
      <rPr>
        <b val="true"/>
        <sz val="14"/>
        <color rgb="FF1F3A5F"/>
        <rFont val="Microsoft YaHei"/>
        <family val="0"/>
        <charset val="1"/>
      </rPr>
      <t xml:space="preserve">,</t>
    </r>
    <r>
      <rPr>
        <b val="true"/>
        <sz val="14"/>
        <color rgb="FF1F3A5F"/>
        <rFont val="WenQuanYi Zen Hei"/>
        <family val="2"/>
      </rPr>
      <t xml:space="preserve">全部公式引用此表</t>
    </r>
    <r>
      <rPr>
        <b val="true"/>
        <sz val="14"/>
        <color rgb="FF1F3A5F"/>
        <rFont val="Microsoft YaHei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</si>
  <si>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名称</t>
    </r>
    <r>
      <rPr>
        <b val="true"/>
        <sz val="10"/>
        <color rgb="FFFFFFFF"/>
        <rFont val="Microsoft YaHe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定义名</t>
    </r>
    <r>
      <rPr>
        <b val="true"/>
        <sz val="10"/>
        <color rgb="FFFFFFFF"/>
        <rFont val="Microsoft YaHei"/>
        <family val="0"/>
        <charset val="1"/>
      </rPr>
      <t xml:space="preserve">)</t>
    </r>
  </si>
  <si>
    <t xml:space="preserve">含义</t>
  </si>
  <si>
    <t xml:space="preserve">取值</t>
  </si>
  <si>
    <r>
      <rPr>
        <b val="true"/>
        <sz val="10"/>
        <color rgb="FFFFFFFF"/>
        <rFont val="WenQuanYi Zen Hei"/>
        <family val="2"/>
      </rPr>
      <t xml:space="preserve">来源 </t>
    </r>
    <r>
      <rPr>
        <b val="true"/>
        <sz val="10"/>
        <color rgb="FFFFFFFF"/>
        <rFont val="Microsoft YaHei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依据</t>
    </r>
  </si>
  <si>
    <t xml:space="preserve">趋势与价值区间</t>
  </si>
  <si>
    <t xml:space="preserve">p_EmaF</t>
  </si>
  <si>
    <r>
      <rPr>
        <sz val="10"/>
        <rFont val="WenQuanYi Zen Hei"/>
        <family val="2"/>
      </rPr>
      <t xml:space="preserve">快速</t>
    </r>
    <r>
      <rPr>
        <sz val="10"/>
        <rFont val="Microsoft YaHei"/>
        <family val="0"/>
        <charset val="1"/>
      </rPr>
      <t xml:space="preserve">EMA</t>
    </r>
    <r>
      <rPr>
        <sz val="10"/>
        <rFont val="WenQuanYi Zen Hei"/>
        <family val="2"/>
      </rPr>
      <t xml:space="preserve">周期</t>
    </r>
    <r>
      <rPr>
        <sz val="10"/>
        <rFont val="Microsoft YaHei"/>
        <family val="0"/>
        <charset val="1"/>
      </rPr>
      <t xml:space="preserve">(</t>
    </r>
    <r>
      <rPr>
        <sz val="10"/>
        <rFont val="WenQuanYi Zen Hei"/>
        <family val="2"/>
      </rPr>
      <t xml:space="preserve">价值区间上沿</t>
    </r>
    <r>
      <rPr>
        <sz val="10"/>
        <rFont val="Microsoft YaHei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</si>
  <si>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第</t>
    </r>
    <r>
      <rPr>
        <sz val="10"/>
        <rFont val="Microsoft YaHei"/>
        <family val="0"/>
        <charset val="1"/>
      </rPr>
      <t xml:space="preserve">22</t>
    </r>
    <r>
      <rPr>
        <sz val="10"/>
        <rFont val="WenQuanYi Zen Hei"/>
        <family val="2"/>
      </rPr>
      <t xml:space="preserve">节</t>
    </r>
    <r>
      <rPr>
        <sz val="10"/>
        <rFont val="Microsoft YaHei"/>
        <family val="0"/>
        <charset val="1"/>
      </rPr>
      <t xml:space="preserve">:</t>
    </r>
    <r>
      <rPr>
        <sz val="10"/>
        <rFont val="WenQuanYi Zen Hei"/>
        <family val="2"/>
      </rPr>
      <t xml:space="preserve">与慢线保持约 </t>
    </r>
    <r>
      <rPr>
        <sz val="10"/>
        <rFont val="Microsoft YaHei"/>
        <family val="0"/>
        <charset val="1"/>
      </rPr>
      <t xml:space="preserve">2:1(13/26)</t>
    </r>
  </si>
  <si>
    <t xml:space="preserve">p_EmaS</t>
  </si>
  <si>
    <r>
      <rPr>
        <sz val="10"/>
        <rFont val="WenQuanYi Zen Hei"/>
        <family val="2"/>
      </rPr>
      <t xml:space="preserve">慢速</t>
    </r>
    <r>
      <rPr>
        <sz val="10"/>
        <rFont val="Microsoft YaHei"/>
        <family val="0"/>
        <charset val="1"/>
      </rPr>
      <t xml:space="preserve">EMA</t>
    </r>
    <r>
      <rPr>
        <sz val="10"/>
        <rFont val="WenQuanYi Zen Hei"/>
        <family val="2"/>
      </rPr>
      <t xml:space="preserve">周期</t>
    </r>
    <r>
      <rPr>
        <sz val="10"/>
        <rFont val="Microsoft YaHei"/>
        <family val="0"/>
        <charset val="1"/>
      </rPr>
      <t xml:space="preserve">(</t>
    </r>
    <r>
      <rPr>
        <sz val="10"/>
        <rFont val="WenQuanYi Zen Hei"/>
        <family val="2"/>
      </rPr>
      <t xml:space="preserve">趋势线</t>
    </r>
    <r>
      <rPr>
        <sz val="10"/>
        <rFont val="Microsoft YaHei"/>
        <family val="0"/>
        <charset val="1"/>
      </rPr>
      <t xml:space="preserve">/</t>
    </r>
    <r>
      <rPr>
        <sz val="10"/>
        <rFont val="WenQuanYi Zen Hei"/>
        <family val="2"/>
      </rPr>
      <t xml:space="preserve">价值区间下沿</t>
    </r>
    <r>
      <rPr>
        <sz val="10"/>
        <rFont val="Microsoft YaHei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</si>
  <si>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第</t>
    </r>
    <r>
      <rPr>
        <sz val="10"/>
        <rFont val="Microsoft YaHei"/>
        <family val="0"/>
        <charset val="1"/>
      </rPr>
      <t xml:space="preserve">22</t>
    </r>
    <r>
      <rPr>
        <sz val="10"/>
        <rFont val="WenQuanYi Zen Hei"/>
        <family val="2"/>
      </rPr>
      <t xml:space="preserve">节</t>
    </r>
    <r>
      <rPr>
        <sz val="10"/>
        <rFont val="Microsoft YaHei"/>
        <family val="0"/>
        <charset val="1"/>
      </rPr>
      <t xml:space="preserve">:26≈</t>
    </r>
    <r>
      <rPr>
        <sz val="10"/>
        <rFont val="WenQuanYi Zen Hei"/>
        <family val="2"/>
      </rPr>
      <t xml:space="preserve">半年周数</t>
    </r>
    <r>
      <rPr>
        <sz val="10"/>
        <rFont val="Microsoft YaHei"/>
        <family val="0"/>
        <charset val="1"/>
      </rPr>
      <t xml:space="preserve">,22≈</t>
    </r>
    <r>
      <rPr>
        <sz val="10"/>
        <rFont val="WenQuanYi Zen Hei"/>
        <family val="2"/>
      </rPr>
      <t xml:space="preserve">月交易日</t>
    </r>
  </si>
  <si>
    <t xml:space="preserve">p_MacdF</t>
  </si>
  <si>
    <r>
      <rPr>
        <sz val="10"/>
        <rFont val="Microsoft YaHei"/>
        <family val="0"/>
        <charset val="1"/>
      </rPr>
      <t xml:space="preserve">MACD </t>
    </r>
    <r>
      <rPr>
        <sz val="10"/>
        <rFont val="WenQuanYi Zen Hei"/>
        <family val="2"/>
      </rPr>
      <t xml:space="preserve">快线周期</t>
    </r>
  </si>
  <si>
    <r>
      <rPr>
        <sz val="10"/>
        <rFont val="WenQuanYi Zen Hei"/>
        <family val="2"/>
      </rPr>
      <t xml:space="preserve">第</t>
    </r>
    <r>
      <rPr>
        <sz val="10"/>
        <rFont val="Microsoft YaHei"/>
        <family val="0"/>
        <charset val="1"/>
      </rPr>
      <t xml:space="preserve">23</t>
    </r>
    <r>
      <rPr>
        <sz val="10"/>
        <rFont val="WenQuanYi Zen Hei"/>
        <family val="2"/>
      </rPr>
      <t xml:space="preserve">节</t>
    </r>
    <r>
      <rPr>
        <sz val="10"/>
        <rFont val="Microsoft YaHei"/>
        <family val="0"/>
        <charset val="1"/>
      </rPr>
      <t xml:space="preserve">(12-26-9)</t>
    </r>
  </si>
  <si>
    <t xml:space="preserve">p_MacdS</t>
  </si>
  <si>
    <r>
      <rPr>
        <sz val="10"/>
        <rFont val="Microsoft YaHei"/>
        <family val="0"/>
        <charset val="1"/>
      </rPr>
      <t xml:space="preserve">MACD </t>
    </r>
    <r>
      <rPr>
        <sz val="10"/>
        <rFont val="WenQuanYi Zen Hei"/>
        <family val="2"/>
      </rPr>
      <t xml:space="preserve">慢线周期</t>
    </r>
  </si>
  <si>
    <r>
      <rPr>
        <sz val="10"/>
        <rFont val="WenQuanYi Zen Hei"/>
        <family val="2"/>
      </rPr>
      <t xml:space="preserve">第</t>
    </r>
    <r>
      <rPr>
        <sz val="10"/>
        <rFont val="Microsoft YaHei"/>
        <family val="0"/>
        <charset val="1"/>
      </rPr>
      <t xml:space="preserve">23</t>
    </r>
    <r>
      <rPr>
        <sz val="10"/>
        <rFont val="WenQuanYi Zen Hei"/>
        <family val="2"/>
      </rPr>
      <t xml:space="preserve">节</t>
    </r>
  </si>
  <si>
    <t xml:space="preserve">p_MacdSig</t>
  </si>
  <si>
    <r>
      <rPr>
        <sz val="10"/>
        <rFont val="Microsoft YaHei"/>
        <family val="0"/>
        <charset val="1"/>
      </rPr>
      <t xml:space="preserve">MACD </t>
    </r>
    <r>
      <rPr>
        <sz val="10"/>
        <rFont val="WenQuanYi Zen Hei"/>
        <family val="2"/>
      </rPr>
      <t xml:space="preserve">信号线周期</t>
    </r>
  </si>
  <si>
    <t xml:space="preserve">p_AdxN</t>
  </si>
  <si>
    <r>
      <rPr>
        <sz val="10"/>
        <rFont val="WenQuanYi Zen Hei"/>
        <family val="2"/>
      </rPr>
      <t xml:space="preserve">趋向系统</t>
    </r>
    <r>
      <rPr>
        <sz val="10"/>
        <rFont val="Microsoft YaHei"/>
        <family val="0"/>
        <charset val="1"/>
      </rPr>
      <t xml:space="preserve">(ADX)</t>
    </r>
    <r>
      <rPr>
        <sz val="10"/>
        <rFont val="WenQuanYi Zen Hei"/>
        <family val="2"/>
      </rPr>
      <t xml:space="preserve">平滑周期</t>
    </r>
  </si>
  <si>
    <r>
      <rPr>
        <sz val="10"/>
        <rFont val="WenQuanYi Zen Hei"/>
        <family val="2"/>
      </rPr>
      <t xml:space="preserve">第</t>
    </r>
    <r>
      <rPr>
        <sz val="10"/>
        <rFont val="Microsoft YaHei"/>
        <family val="0"/>
        <charset val="1"/>
      </rPr>
      <t xml:space="preserve">24</t>
    </r>
    <r>
      <rPr>
        <sz val="10"/>
        <rFont val="WenQuanYi Zen Hei"/>
        <family val="2"/>
      </rPr>
      <t xml:space="preserve">节</t>
    </r>
    <r>
      <rPr>
        <sz val="10"/>
        <rFont val="Microsoft YaHei"/>
        <family val="0"/>
        <charset val="1"/>
      </rPr>
      <t xml:space="preserve">(13)</t>
    </r>
  </si>
  <si>
    <t xml:space="preserve">波动率、通道、止损</t>
  </si>
  <si>
    <t xml:space="preserve">p_AtrN</t>
  </si>
  <si>
    <r>
      <rPr>
        <sz val="10"/>
        <rFont val="Microsoft YaHei"/>
        <family val="0"/>
        <charset val="1"/>
      </rPr>
      <t xml:space="preserve">ATR </t>
    </r>
    <r>
      <rPr>
        <sz val="10"/>
        <rFont val="WenQuanYi Zen Hei"/>
        <family val="2"/>
      </rPr>
      <t xml:space="preserve">平均天数</t>
    </r>
  </si>
  <si>
    <r>
      <rPr>
        <sz val="10"/>
        <rFont val="WenQuanYi Zen Hei"/>
        <family val="2"/>
      </rPr>
      <t xml:space="preserve">第</t>
    </r>
    <r>
      <rPr>
        <sz val="10"/>
        <rFont val="Microsoft YaHei"/>
        <family val="0"/>
        <charset val="1"/>
      </rPr>
      <t xml:space="preserve">24</t>
    </r>
    <r>
      <rPr>
        <sz val="10"/>
        <rFont val="WenQuanYi Zen Hei"/>
        <family val="2"/>
      </rPr>
      <t xml:space="preserve">节</t>
    </r>
    <r>
      <rPr>
        <sz val="10"/>
        <rFont val="Microsoft YaHei"/>
        <family val="0"/>
        <charset val="1"/>
      </rPr>
      <t xml:space="preserve">(13</t>
    </r>
    <r>
      <rPr>
        <sz val="10"/>
        <rFont val="WenQuanYi Zen Hei"/>
        <family val="2"/>
      </rPr>
      <t xml:space="preserve">日</t>
    </r>
    <r>
      <rPr>
        <sz val="10"/>
        <rFont val="Microsoft YaHei"/>
        <family val="0"/>
        <charset val="1"/>
      </rPr>
      <t xml:space="preserve">)</t>
    </r>
  </si>
  <si>
    <t xml:space="preserve">p_ChPct</t>
  </si>
  <si>
    <r>
      <rPr>
        <sz val="10"/>
        <rFont val="WenQuanYi Zen Hei"/>
        <family val="2"/>
      </rPr>
      <t xml:space="preserve">通道系数</t>
    </r>
    <r>
      <rPr>
        <sz val="10"/>
        <rFont val="Microsoft YaHei"/>
        <family val="0"/>
        <charset val="1"/>
      </rPr>
      <t xml:space="preserve">(</t>
    </r>
    <r>
      <rPr>
        <sz val="10"/>
        <rFont val="WenQuanYi Zen Hei"/>
        <family val="2"/>
      </rPr>
      <t xml:space="preserve">占慢</t>
    </r>
    <r>
      <rPr>
        <sz val="10"/>
        <rFont val="Microsoft YaHei"/>
        <family val="0"/>
        <charset val="1"/>
      </rPr>
      <t xml:space="preserve">EMA</t>
    </r>
    <r>
      <rPr>
        <sz val="10"/>
        <rFont val="WenQuanYi Zen Hei"/>
        <family val="2"/>
      </rPr>
      <t xml:space="preserve">比例</t>
    </r>
    <r>
      <rPr>
        <sz val="10"/>
        <rFont val="Microsoft YaHei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</si>
  <si>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第</t>
    </r>
    <r>
      <rPr>
        <sz val="10"/>
        <rFont val="Microsoft YaHei"/>
        <family val="0"/>
        <charset val="1"/>
      </rPr>
      <t xml:space="preserve">22/41</t>
    </r>
    <r>
      <rPr>
        <sz val="10"/>
        <rFont val="WenQuanYi Zen Hei"/>
        <family val="2"/>
      </rPr>
      <t xml:space="preserve">节</t>
    </r>
    <r>
      <rPr>
        <sz val="10"/>
        <rFont val="Microsoft YaHei"/>
        <family val="0"/>
        <charset val="1"/>
      </rPr>
      <t xml:space="preserve">:</t>
    </r>
    <r>
      <rPr>
        <sz val="10"/>
        <rFont val="WenQuanYi Zen Hei"/>
        <family val="2"/>
      </rPr>
      <t xml:space="preserve">调到覆盖近</t>
    </r>
    <r>
      <rPr>
        <sz val="10"/>
        <rFont val="Microsoft YaHei"/>
        <family val="0"/>
        <charset val="1"/>
      </rPr>
      <t xml:space="preserve">100</t>
    </r>
    <r>
      <rPr>
        <sz val="10"/>
        <rFont val="WenQuanYi Zen Hei"/>
        <family val="2"/>
      </rPr>
      <t xml:space="preserve">根</t>
    </r>
    <r>
      <rPr>
        <sz val="10"/>
        <rFont val="Microsoft YaHei"/>
        <family val="0"/>
        <charset val="1"/>
      </rPr>
      <t xml:space="preserve">K</t>
    </r>
    <r>
      <rPr>
        <sz val="10"/>
        <rFont val="WenQuanYi Zen Hei"/>
        <family val="2"/>
      </rPr>
      <t xml:space="preserve">线约</t>
    </r>
    <r>
      <rPr>
        <sz val="10"/>
        <rFont val="Microsoft YaHei"/>
        <family val="0"/>
        <charset val="1"/>
      </rPr>
      <t xml:space="preserve">95%;A</t>
    </r>
    <r>
      <rPr>
        <sz val="10"/>
        <rFont val="WenQuanYi Zen Hei"/>
        <family val="2"/>
      </rPr>
      <t xml:space="preserve">股日线建议先用</t>
    </r>
    <r>
      <rPr>
        <sz val="10"/>
        <rFont val="Microsoft YaHei"/>
        <family val="0"/>
        <charset val="1"/>
      </rPr>
      <t xml:space="preserve">6%,</t>
    </r>
    <r>
      <rPr>
        <sz val="10"/>
        <rFont val="WenQuanYi Zen Hei"/>
        <family val="2"/>
      </rPr>
      <t xml:space="preserve">按个股校准</t>
    </r>
  </si>
  <si>
    <t xml:space="preserve">p_PenLb</t>
  </si>
  <si>
    <r>
      <rPr>
        <sz val="10"/>
        <rFont val="WenQuanYi Zen Hei"/>
        <family val="2"/>
      </rPr>
      <t xml:space="preserve">平均下跌穿透回溯期</t>
    </r>
    <r>
      <rPr>
        <sz val="10"/>
        <rFont val="Microsoft YaHei"/>
        <family val="0"/>
        <charset val="1"/>
      </rPr>
      <t xml:space="preserve">(</t>
    </r>
    <r>
      <rPr>
        <sz val="10"/>
        <rFont val="WenQuanYi Zen Hei"/>
        <family val="2"/>
      </rPr>
      <t xml:space="preserve">根</t>
    </r>
    <r>
      <rPr>
        <sz val="10"/>
        <rFont val="Microsoft YaHei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</si>
  <si>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第</t>
    </r>
    <r>
      <rPr>
        <sz val="10"/>
        <rFont val="Microsoft YaHei"/>
        <family val="0"/>
        <charset val="1"/>
      </rPr>
      <t xml:space="preserve">39</t>
    </r>
    <r>
      <rPr>
        <sz val="10"/>
        <rFont val="WenQuanYi Zen Hei"/>
        <family val="2"/>
      </rPr>
      <t xml:space="preserve">节</t>
    </r>
    <r>
      <rPr>
        <sz val="10"/>
        <rFont val="Microsoft YaHei"/>
        <family val="0"/>
        <charset val="1"/>
      </rPr>
      <t xml:space="preserve">:</t>
    </r>
    <r>
      <rPr>
        <sz val="10"/>
        <rFont val="WenQuanYi Zen Hei"/>
        <family val="2"/>
      </rPr>
      <t xml:space="preserve">回看</t>
    </r>
    <r>
      <rPr>
        <sz val="10"/>
        <rFont val="Microsoft YaHei"/>
        <family val="0"/>
        <charset val="1"/>
      </rPr>
      <t xml:space="preserve">4-6</t>
    </r>
    <r>
      <rPr>
        <sz val="10"/>
        <rFont val="WenQuanYi Zen Hei"/>
        <family val="2"/>
      </rPr>
      <t xml:space="preserve">周日线</t>
    </r>
  </si>
  <si>
    <t xml:space="preserve">p_StopLb</t>
  </si>
  <si>
    <r>
      <rPr>
        <sz val="10"/>
        <rFont val="WenQuanYi Zen Hei"/>
        <family val="2"/>
      </rPr>
      <t xml:space="preserve">尼克止损回溯期</t>
    </r>
    <r>
      <rPr>
        <sz val="10"/>
        <rFont val="Microsoft YaHei"/>
        <family val="0"/>
        <charset val="1"/>
      </rPr>
      <t xml:space="preserve">(</t>
    </r>
    <r>
      <rPr>
        <sz val="10"/>
        <rFont val="WenQuanYi Zen Hei"/>
        <family val="2"/>
      </rPr>
      <t xml:space="preserve">根</t>
    </r>
    <r>
      <rPr>
        <sz val="10"/>
        <rFont val="Microsoft YaHei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</si>
  <si>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第</t>
    </r>
    <r>
      <rPr>
        <sz val="10"/>
        <rFont val="Microsoft YaHei"/>
        <family val="0"/>
        <charset val="1"/>
      </rPr>
      <t xml:space="preserve">54</t>
    </r>
    <r>
      <rPr>
        <sz val="10"/>
        <rFont val="WenQuanYi Zen Hei"/>
        <family val="2"/>
      </rPr>
      <t xml:space="preserve">节</t>
    </r>
    <r>
      <rPr>
        <sz val="10"/>
        <rFont val="Microsoft YaHei"/>
        <family val="0"/>
        <charset val="1"/>
      </rPr>
      <t xml:space="preserve">:</t>
    </r>
    <r>
      <rPr>
        <sz val="10"/>
        <rFont val="WenQuanYi Zen Hei"/>
        <family val="2"/>
      </rPr>
      <t xml:space="preserve">近期次低点</t>
    </r>
  </si>
  <si>
    <t xml:space="preserve">p_StopAtr</t>
  </si>
  <si>
    <r>
      <rPr>
        <sz val="10"/>
        <rFont val="WenQuanYi Zen Hei"/>
        <family val="2"/>
      </rPr>
      <t xml:space="preserve">止损距入场最少 </t>
    </r>
    <r>
      <rPr>
        <sz val="10"/>
        <rFont val="Microsoft YaHei"/>
        <family val="0"/>
        <charset val="1"/>
      </rPr>
      <t xml:space="preserve">ATR </t>
    </r>
    <r>
      <rPr>
        <sz val="10"/>
        <rFont val="WenQuanYi Zen Hei"/>
        <family val="2"/>
      </rPr>
      <t xml:space="preserve">倍数</t>
    </r>
  </si>
  <si>
    <r>
      <rPr>
        <sz val="10"/>
        <rFont val="WenQuanYi Zen Hei"/>
        <family val="2"/>
      </rPr>
      <t xml:space="preserve">第</t>
    </r>
    <r>
      <rPr>
        <sz val="10"/>
        <rFont val="Microsoft YaHei"/>
        <family val="0"/>
        <charset val="1"/>
      </rPr>
      <t xml:space="preserve">24/54</t>
    </r>
    <r>
      <rPr>
        <sz val="10"/>
        <rFont val="WenQuanYi Zen Hei"/>
        <family val="2"/>
      </rPr>
      <t xml:space="preserve">节</t>
    </r>
    <r>
      <rPr>
        <sz val="10"/>
        <rFont val="Microsoft YaHei"/>
        <family val="0"/>
        <charset val="1"/>
      </rPr>
      <t xml:space="preserve">:</t>
    </r>
    <r>
      <rPr>
        <sz val="10"/>
        <rFont val="WenQuanYi Zen Hei"/>
        <family val="2"/>
      </rPr>
      <t xml:space="preserve">至少</t>
    </r>
    <r>
      <rPr>
        <sz val="10"/>
        <rFont val="Microsoft YaHei"/>
        <family val="0"/>
        <charset val="1"/>
      </rPr>
      <t xml:space="preserve">1</t>
    </r>
    <r>
      <rPr>
        <sz val="10"/>
        <rFont val="WenQuanYi Zen Hei"/>
        <family val="2"/>
      </rPr>
      <t xml:space="preserve">倍</t>
    </r>
    <r>
      <rPr>
        <sz val="10"/>
        <rFont val="Microsoft YaHei"/>
        <family val="0"/>
        <charset val="1"/>
      </rPr>
      <t xml:space="preserve">ATR,2</t>
    </r>
    <r>
      <rPr>
        <sz val="10"/>
        <rFont val="WenQuanYi Zen Hei"/>
        <family val="2"/>
      </rPr>
      <t xml:space="preserve">倍更稳</t>
    </r>
  </si>
  <si>
    <t xml:space="preserve">震荡指标</t>
  </si>
  <si>
    <t xml:space="preserve">p_FiS</t>
  </si>
  <si>
    <t xml:space="preserve">强力指数短周期</t>
  </si>
  <si>
    <r>
      <rPr>
        <sz val="10"/>
        <rFont val="WenQuanYi Zen Hei"/>
        <family val="2"/>
      </rPr>
      <t xml:space="preserve">第</t>
    </r>
    <r>
      <rPr>
        <sz val="10"/>
        <rFont val="Microsoft YaHei"/>
        <family val="0"/>
        <charset val="1"/>
      </rPr>
      <t xml:space="preserve">30</t>
    </r>
    <r>
      <rPr>
        <sz val="10"/>
        <rFont val="WenQuanYi Zen Hei"/>
        <family val="2"/>
      </rPr>
      <t xml:space="preserve">节</t>
    </r>
    <r>
      <rPr>
        <sz val="10"/>
        <rFont val="Microsoft YaHei"/>
        <family val="0"/>
        <charset val="1"/>
      </rPr>
      <t xml:space="preserve">(2</t>
    </r>
    <r>
      <rPr>
        <sz val="10"/>
        <rFont val="WenQuanYi Zen Hei"/>
        <family val="2"/>
      </rPr>
      <t xml:space="preserve">日</t>
    </r>
    <r>
      <rPr>
        <sz val="10"/>
        <rFont val="Microsoft YaHei"/>
        <family val="0"/>
        <charset val="1"/>
      </rPr>
      <t xml:space="preserve">EMA,</t>
    </r>
    <r>
      <rPr>
        <sz val="10"/>
        <rFont val="WenQuanYi Zen Hei"/>
        <family val="2"/>
      </rPr>
      <t xml:space="preserve">择时</t>
    </r>
    <r>
      <rPr>
        <sz val="10"/>
        <rFont val="Microsoft YaHei"/>
        <family val="0"/>
        <charset val="1"/>
      </rPr>
      <t xml:space="preserve">)</t>
    </r>
  </si>
  <si>
    <t xml:space="preserve">p_FiL</t>
  </si>
  <si>
    <t xml:space="preserve">强力指数长周期</t>
  </si>
  <si>
    <r>
      <rPr>
        <sz val="10"/>
        <rFont val="WenQuanYi Zen Hei"/>
        <family val="2"/>
      </rPr>
      <t xml:space="preserve">第</t>
    </r>
    <r>
      <rPr>
        <sz val="10"/>
        <rFont val="Microsoft YaHei"/>
        <family val="0"/>
        <charset val="1"/>
      </rPr>
      <t xml:space="preserve">30</t>
    </r>
    <r>
      <rPr>
        <sz val="10"/>
        <rFont val="WenQuanYi Zen Hei"/>
        <family val="2"/>
      </rPr>
      <t xml:space="preserve">节</t>
    </r>
    <r>
      <rPr>
        <sz val="10"/>
        <rFont val="Microsoft YaHei"/>
        <family val="0"/>
        <charset val="1"/>
      </rPr>
      <t xml:space="preserve">(13</t>
    </r>
    <r>
      <rPr>
        <sz val="10"/>
        <rFont val="WenQuanYi Zen Hei"/>
        <family val="2"/>
      </rPr>
      <t xml:space="preserve">日</t>
    </r>
    <r>
      <rPr>
        <sz val="10"/>
        <rFont val="Microsoft YaHei"/>
        <family val="0"/>
        <charset val="1"/>
      </rPr>
      <t xml:space="preserve">EMA,</t>
    </r>
    <r>
      <rPr>
        <sz val="10"/>
        <rFont val="WenQuanYi Zen Hei"/>
        <family val="2"/>
      </rPr>
      <t xml:space="preserve">趋势</t>
    </r>
    <r>
      <rPr>
        <sz val="10"/>
        <rFont val="Microsoft YaHei"/>
        <family val="0"/>
        <charset val="1"/>
      </rPr>
      <t xml:space="preserve">)</t>
    </r>
  </si>
  <si>
    <t xml:space="preserve">p_FiLb</t>
  </si>
  <si>
    <r>
      <rPr>
        <sz val="10"/>
        <rFont val="WenQuanYi Zen Hei"/>
        <family val="2"/>
      </rPr>
      <t xml:space="preserve">强力指数</t>
    </r>
    <r>
      <rPr>
        <sz val="10"/>
        <rFont val="Microsoft YaHei"/>
        <family val="0"/>
        <charset val="1"/>
      </rPr>
      <t xml:space="preserve">"</t>
    </r>
    <r>
      <rPr>
        <sz val="10"/>
        <rFont val="WenQuanYi Zen Hei"/>
        <family val="2"/>
      </rPr>
      <t xml:space="preserve">几周内新低</t>
    </r>
    <r>
      <rPr>
        <sz val="10"/>
        <rFont val="Microsoft YaHei"/>
        <family val="0"/>
        <charset val="1"/>
      </rPr>
      <t xml:space="preserve">"</t>
    </r>
    <r>
      <rPr>
        <sz val="10"/>
        <rFont val="WenQuanYi Zen Hei"/>
        <family val="2"/>
      </rPr>
      <t xml:space="preserve">回溯期</t>
    </r>
    <r>
      <rPr>
        <sz val="10"/>
        <rFont val="Microsoft YaHei"/>
        <family val="0"/>
        <charset val="1"/>
      </rPr>
      <t xml:space="preserve">(</t>
    </r>
    <r>
      <rPr>
        <sz val="10"/>
        <rFont val="WenQuanYi Zen Hei"/>
        <family val="2"/>
      </rPr>
      <t xml:space="preserve">根</t>
    </r>
    <r>
      <rPr>
        <sz val="10"/>
        <rFont val="Microsoft YaHei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</si>
  <si>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第</t>
    </r>
    <r>
      <rPr>
        <sz val="10"/>
        <rFont val="Microsoft YaHei"/>
        <family val="0"/>
        <charset val="1"/>
      </rPr>
      <t xml:space="preserve">39</t>
    </r>
    <r>
      <rPr>
        <sz val="10"/>
        <rFont val="WenQuanYi Zen Hei"/>
        <family val="2"/>
      </rPr>
      <t xml:space="preserve">节</t>
    </r>
    <r>
      <rPr>
        <sz val="10"/>
        <rFont val="Microsoft YaHei"/>
        <family val="0"/>
        <charset val="1"/>
      </rPr>
      <t xml:space="preserve">:2</t>
    </r>
    <r>
      <rPr>
        <sz val="10"/>
        <rFont val="WenQuanYi Zen Hei"/>
        <family val="2"/>
      </rPr>
      <t xml:space="preserve">日</t>
    </r>
    <r>
      <rPr>
        <sz val="10"/>
        <rFont val="Microsoft YaHei"/>
        <family val="0"/>
        <charset val="1"/>
      </rPr>
      <t xml:space="preserve">FI</t>
    </r>
    <r>
      <rPr>
        <sz val="10"/>
        <rFont val="WenQuanYi Zen Hei"/>
        <family val="2"/>
      </rPr>
      <t xml:space="preserve">不能创数周新低</t>
    </r>
  </si>
  <si>
    <t xml:space="preserve">p_StochN</t>
  </si>
  <si>
    <t xml:space="preserve">随机指标周期</t>
  </si>
  <si>
    <r>
      <rPr>
        <sz val="10"/>
        <rFont val="WenQuanYi Zen Hei"/>
        <family val="2"/>
      </rPr>
      <t xml:space="preserve">第</t>
    </r>
    <r>
      <rPr>
        <sz val="10"/>
        <rFont val="Microsoft YaHei"/>
        <family val="0"/>
        <charset val="1"/>
      </rPr>
      <t xml:space="preserve">26</t>
    </r>
    <r>
      <rPr>
        <sz val="10"/>
        <rFont val="WenQuanYi Zen Hei"/>
        <family val="2"/>
      </rPr>
      <t xml:space="preserve">节</t>
    </r>
    <r>
      <rPr>
        <sz val="10"/>
        <rFont val="Microsoft YaHei"/>
        <family val="0"/>
        <charset val="1"/>
      </rPr>
      <t xml:space="preserve">(5)</t>
    </r>
  </si>
  <si>
    <t xml:space="preserve">p_StochSm</t>
  </si>
  <si>
    <t xml:space="preserve">随机指标平滑</t>
  </si>
  <si>
    <r>
      <rPr>
        <sz val="10"/>
        <rFont val="WenQuanYi Zen Hei"/>
        <family val="2"/>
      </rPr>
      <t xml:space="preserve">第</t>
    </r>
    <r>
      <rPr>
        <sz val="10"/>
        <rFont val="Microsoft YaHei"/>
        <family val="0"/>
        <charset val="1"/>
      </rPr>
      <t xml:space="preserve">26</t>
    </r>
    <r>
      <rPr>
        <sz val="10"/>
        <rFont val="WenQuanYi Zen Hei"/>
        <family val="2"/>
      </rPr>
      <t xml:space="preserve">节</t>
    </r>
    <r>
      <rPr>
        <sz val="10"/>
        <rFont val="Microsoft YaHei"/>
        <family val="0"/>
        <charset val="1"/>
      </rPr>
      <t xml:space="preserve">(3)</t>
    </r>
  </si>
  <si>
    <t xml:space="preserve">背离识别</t>
  </si>
  <si>
    <t xml:space="preserve">p_GapMin</t>
  </si>
  <si>
    <r>
      <rPr>
        <sz val="10"/>
        <rFont val="WenQuanYi Zen Hei"/>
        <family val="2"/>
      </rPr>
      <t xml:space="preserve">背离两谷最小间隔</t>
    </r>
    <r>
      <rPr>
        <sz val="10"/>
        <rFont val="Microsoft YaHei"/>
        <family val="0"/>
        <charset val="1"/>
      </rPr>
      <t xml:space="preserve">(</t>
    </r>
    <r>
      <rPr>
        <sz val="10"/>
        <rFont val="WenQuanYi Zen Hei"/>
        <family val="2"/>
      </rPr>
      <t xml:space="preserve">根</t>
    </r>
    <r>
      <rPr>
        <sz val="10"/>
        <rFont val="Microsoft YaHei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</si>
  <si>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第</t>
    </r>
    <r>
      <rPr>
        <sz val="10"/>
        <rFont val="Microsoft YaHei"/>
        <family val="0"/>
        <charset val="1"/>
      </rPr>
      <t xml:space="preserve">23</t>
    </r>
    <r>
      <rPr>
        <sz val="10"/>
        <rFont val="WenQuanYi Zen Hei"/>
        <family val="2"/>
      </rPr>
      <t xml:space="preserve">节</t>
    </r>
    <r>
      <rPr>
        <sz val="10"/>
        <rFont val="Microsoft YaHei"/>
        <family val="0"/>
        <charset val="1"/>
      </rPr>
      <t xml:space="preserve">:20-40</t>
    </r>
    <r>
      <rPr>
        <sz val="10"/>
        <rFont val="WenQuanYi Zen Hei"/>
        <family val="2"/>
      </rPr>
      <t xml:space="preserve">根最佳</t>
    </r>
    <r>
      <rPr>
        <sz val="10"/>
        <rFont val="Microsoft YaHei"/>
        <family val="0"/>
        <charset val="1"/>
      </rPr>
      <t xml:space="preserve">;</t>
    </r>
    <r>
      <rPr>
        <sz val="10"/>
        <rFont val="WenQuanYi Zen Hei"/>
        <family val="2"/>
      </rPr>
      <t xml:space="preserve">此处放宽为</t>
    </r>
    <r>
      <rPr>
        <sz val="10"/>
        <rFont val="Microsoft YaHei"/>
        <family val="0"/>
        <charset val="1"/>
      </rPr>
      <t xml:space="preserve">10-60</t>
    </r>
  </si>
  <si>
    <t xml:space="preserve">p_GapMax</t>
  </si>
  <si>
    <r>
      <rPr>
        <sz val="10"/>
        <rFont val="WenQuanYi Zen Hei"/>
        <family val="2"/>
      </rPr>
      <t xml:space="preserve">背离两谷最大间隔</t>
    </r>
    <r>
      <rPr>
        <sz val="10"/>
        <rFont val="Microsoft YaHei"/>
        <family val="0"/>
        <charset val="1"/>
      </rPr>
      <t xml:space="preserve">(</t>
    </r>
    <r>
      <rPr>
        <sz val="10"/>
        <rFont val="WenQuanYi Zen Hei"/>
        <family val="2"/>
      </rPr>
      <t xml:space="preserve">根</t>
    </r>
    <r>
      <rPr>
        <sz val="10"/>
        <rFont val="Microsoft YaHei"/>
        <family val="0"/>
        <charset val="1"/>
      </rPr>
      <t xml:space="preserve">)</t>
    </r>
  </si>
  <si>
    <t xml:space="preserve">同上</t>
  </si>
  <si>
    <t xml:space="preserve">评级与风险</t>
  </si>
  <si>
    <t xml:space="preserve">p_RRmin</t>
  </si>
  <si>
    <t xml:space="preserve">最小盈亏比</t>
  </si>
  <si>
    <r>
      <rPr>
        <sz val="10"/>
        <rFont val="WenQuanYi Zen Hei"/>
        <family val="2"/>
      </rPr>
      <t xml:space="preserve">第</t>
    </r>
    <r>
      <rPr>
        <sz val="10"/>
        <rFont val="Microsoft YaHei"/>
        <family val="0"/>
        <charset val="1"/>
      </rPr>
      <t xml:space="preserve">38/53</t>
    </r>
    <r>
      <rPr>
        <sz val="10"/>
        <rFont val="WenQuanYi Zen Hei"/>
        <family val="2"/>
      </rPr>
      <t xml:space="preserve">节</t>
    </r>
    <r>
      <rPr>
        <sz val="10"/>
        <rFont val="Microsoft YaHei"/>
        <family val="0"/>
        <charset val="1"/>
      </rPr>
      <t xml:space="preserve">:</t>
    </r>
    <r>
      <rPr>
        <sz val="10"/>
        <rFont val="WenQuanYi Zen Hei"/>
        <family val="2"/>
      </rPr>
      <t xml:space="preserve">至少</t>
    </r>
    <r>
      <rPr>
        <sz val="10"/>
        <rFont val="Microsoft YaHei"/>
        <family val="0"/>
        <charset val="1"/>
      </rPr>
      <t xml:space="preserve">2:1</t>
    </r>
  </si>
  <si>
    <t xml:space="preserve">p_GradeA</t>
  </si>
  <si>
    <r>
      <rPr>
        <sz val="10"/>
        <rFont val="Microsoft YaHei"/>
        <family val="0"/>
        <charset val="1"/>
      </rPr>
      <t xml:space="preserve">A</t>
    </r>
    <r>
      <rPr>
        <sz val="10"/>
        <rFont val="WenQuanYi Zen Hei"/>
        <family val="2"/>
      </rPr>
      <t xml:space="preserve">级评分阈值</t>
    </r>
  </si>
  <si>
    <r>
      <rPr>
        <sz val="10"/>
        <rFont val="WenQuanYi Zen Hei"/>
        <family val="2"/>
      </rPr>
      <t xml:space="preserve">设计假设</t>
    </r>
    <r>
      <rPr>
        <sz val="10"/>
        <rFont val="Microsoft YaHei"/>
        <family val="0"/>
        <charset val="1"/>
      </rPr>
      <t xml:space="preserve">,</t>
    </r>
    <r>
      <rPr>
        <sz val="10"/>
        <rFont val="WenQuanYi Zen Hei"/>
        <family val="2"/>
      </rPr>
      <t xml:space="preserve">待第三步回测校准</t>
    </r>
  </si>
  <si>
    <t xml:space="preserve">p_GradeB</t>
  </si>
  <si>
    <r>
      <rPr>
        <sz val="10"/>
        <rFont val="Microsoft YaHei"/>
        <family val="0"/>
        <charset val="1"/>
      </rPr>
      <t xml:space="preserve">B</t>
    </r>
    <r>
      <rPr>
        <sz val="10"/>
        <rFont val="WenQuanYi Zen Hei"/>
        <family val="2"/>
      </rPr>
      <t xml:space="preserve">级评分阈值</t>
    </r>
  </si>
  <si>
    <t xml:space="preserve">p_Equity</t>
  </si>
  <si>
    <r>
      <rPr>
        <sz val="10"/>
        <rFont val="WenQuanYi Zen Hei"/>
        <family val="2"/>
      </rPr>
      <t xml:space="preserve">交易账户资金</t>
    </r>
    <r>
      <rPr>
        <sz val="10"/>
        <rFont val="Microsoft YaHei"/>
        <family val="0"/>
        <charset val="1"/>
      </rPr>
      <t xml:space="preserve">(</t>
    </r>
    <r>
      <rPr>
        <sz val="10"/>
        <rFont val="WenQuanYi Zen Hei"/>
        <family val="2"/>
      </rPr>
      <t xml:space="preserve">元</t>
    </r>
    <r>
      <rPr>
        <sz val="10"/>
        <rFont val="Microsoft YaHei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</si>
  <si>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第</t>
    </r>
    <r>
      <rPr>
        <sz val="10"/>
        <rFont val="Microsoft YaHei"/>
        <family val="0"/>
        <charset val="1"/>
      </rPr>
      <t xml:space="preserve">50</t>
    </r>
    <r>
      <rPr>
        <sz val="10"/>
        <rFont val="WenQuanYi Zen Hei"/>
        <family val="2"/>
      </rPr>
      <t xml:space="preserve">节</t>
    </r>
    <r>
      <rPr>
        <sz val="10"/>
        <rFont val="Microsoft YaHei"/>
        <family val="0"/>
        <charset val="1"/>
      </rPr>
      <t xml:space="preserve">:</t>
    </r>
    <r>
      <rPr>
        <sz val="10"/>
        <rFont val="WenQuanYi Zen Hei"/>
        <family val="2"/>
      </rPr>
      <t xml:space="preserve">仅指交易账户</t>
    </r>
    <r>
      <rPr>
        <sz val="10"/>
        <rFont val="Microsoft YaHei"/>
        <family val="0"/>
        <charset val="1"/>
      </rPr>
      <t xml:space="preserve">,</t>
    </r>
    <r>
      <rPr>
        <sz val="10"/>
        <rFont val="WenQuanYi Zen Hei"/>
        <family val="2"/>
      </rPr>
      <t xml:space="preserve">不含储蓄</t>
    </r>
    <r>
      <rPr>
        <sz val="10"/>
        <rFont val="Microsoft YaHei"/>
        <family val="0"/>
        <charset val="1"/>
      </rPr>
      <t xml:space="preserve">/</t>
    </r>
    <r>
      <rPr>
        <sz val="10"/>
        <rFont val="WenQuanYi Zen Hei"/>
        <family val="2"/>
      </rPr>
      <t xml:space="preserve">退休金</t>
    </r>
  </si>
  <si>
    <t xml:space="preserve">p_RiskTrade</t>
  </si>
  <si>
    <r>
      <rPr>
        <sz val="10"/>
        <rFont val="WenQuanYi Zen Hei"/>
        <family val="2"/>
      </rPr>
      <t xml:space="preserve">单笔风险比例</t>
    </r>
    <r>
      <rPr>
        <sz val="10"/>
        <rFont val="Microsoft YaHei"/>
        <family val="0"/>
        <charset val="1"/>
      </rPr>
      <t xml:space="preserve">(</t>
    </r>
    <r>
      <rPr>
        <sz val="10"/>
        <rFont val="WenQuanYi Zen Hei"/>
        <family val="2"/>
      </rPr>
      <t xml:space="preserve">默认</t>
    </r>
    <r>
      <rPr>
        <sz val="10"/>
        <rFont val="Microsoft YaHei"/>
        <family val="0"/>
        <charset val="1"/>
      </rPr>
      <t xml:space="preserve">1%)</t>
    </r>
  </si>
  <si>
    <r>
      <rPr>
        <sz val="10"/>
        <rFont val="WenQuanYi Zen Hei"/>
        <family val="2"/>
      </rPr>
      <t xml:space="preserve">第</t>
    </r>
    <r>
      <rPr>
        <sz val="10"/>
        <rFont val="Microsoft YaHei"/>
        <family val="0"/>
        <charset val="1"/>
      </rPr>
      <t xml:space="preserve">50</t>
    </r>
    <r>
      <rPr>
        <sz val="10"/>
        <rFont val="WenQuanYi Zen Hei"/>
        <family val="2"/>
      </rPr>
      <t xml:space="preserve">节</t>
    </r>
    <r>
      <rPr>
        <sz val="10"/>
        <rFont val="Microsoft YaHei"/>
        <family val="0"/>
        <charset val="1"/>
      </rPr>
      <t xml:space="preserve">:</t>
    </r>
    <r>
      <rPr>
        <sz val="10"/>
        <rFont val="WenQuanYi Zen Hei"/>
        <family val="2"/>
      </rPr>
      <t xml:space="preserve">专业人士常用≤</t>
    </r>
    <r>
      <rPr>
        <sz val="10"/>
        <rFont val="Microsoft YaHei"/>
        <family val="0"/>
        <charset val="1"/>
      </rPr>
      <t xml:space="preserve">1%</t>
    </r>
  </si>
  <si>
    <t xml:space="preserve">p_RiskCap</t>
  </si>
  <si>
    <r>
      <rPr>
        <sz val="10"/>
        <rFont val="WenQuanYi Zen Hei"/>
        <family val="2"/>
      </rPr>
      <t xml:space="preserve">单笔风险上限</t>
    </r>
    <r>
      <rPr>
        <sz val="10"/>
        <rFont val="Microsoft YaHei"/>
        <family val="0"/>
        <charset val="1"/>
      </rPr>
      <t xml:space="preserve">(2%</t>
    </r>
    <r>
      <rPr>
        <sz val="10"/>
        <rFont val="WenQuanYi Zen Hei"/>
        <family val="2"/>
      </rPr>
      <t xml:space="preserve">法则</t>
    </r>
    <r>
      <rPr>
        <sz val="10"/>
        <rFont val="Microsoft YaHei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</si>
  <si>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第</t>
    </r>
    <r>
      <rPr>
        <sz val="10"/>
        <rFont val="Microsoft YaHei"/>
        <family val="0"/>
        <charset val="1"/>
      </rPr>
      <t xml:space="preserve">50</t>
    </r>
    <r>
      <rPr>
        <sz val="10"/>
        <rFont val="WenQuanYi Zen Hei"/>
        <family val="2"/>
      </rPr>
      <t xml:space="preserve">节</t>
    </r>
    <r>
      <rPr>
        <sz val="10"/>
        <rFont val="Microsoft YaHei"/>
        <family val="0"/>
        <charset val="1"/>
      </rPr>
      <t xml:space="preserve">:</t>
    </r>
    <r>
      <rPr>
        <sz val="10"/>
        <rFont val="WenQuanYi Zen Hei"/>
        <family val="2"/>
      </rPr>
      <t xml:space="preserve">绝对上限</t>
    </r>
    <r>
      <rPr>
        <sz val="10"/>
        <rFont val="Microsoft YaHei"/>
        <family val="0"/>
        <charset val="1"/>
      </rPr>
      <t xml:space="preserve">2%</t>
    </r>
  </si>
  <si>
    <t xml:space="preserve">p_RiskMonth</t>
  </si>
  <si>
    <r>
      <rPr>
        <sz val="10"/>
        <rFont val="WenQuanYi Zen Hei"/>
        <family val="2"/>
      </rPr>
      <t xml:space="preserve">月度总风险上限</t>
    </r>
    <r>
      <rPr>
        <sz val="10"/>
        <rFont val="Microsoft YaHei"/>
        <family val="0"/>
        <charset val="1"/>
      </rPr>
      <t xml:space="preserve">(6%</t>
    </r>
    <r>
      <rPr>
        <sz val="10"/>
        <rFont val="WenQuanYi Zen Hei"/>
        <family val="2"/>
      </rPr>
      <t xml:space="preserve">法则</t>
    </r>
    <r>
      <rPr>
        <sz val="10"/>
        <rFont val="Microsoft YaHei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</si>
  <si>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第</t>
    </r>
    <r>
      <rPr>
        <sz val="10"/>
        <rFont val="Microsoft YaHei"/>
        <family val="0"/>
        <charset val="1"/>
      </rPr>
      <t xml:space="preserve">51</t>
    </r>
    <r>
      <rPr>
        <sz val="10"/>
        <rFont val="WenQuanYi Zen Hei"/>
        <family val="2"/>
      </rPr>
      <t xml:space="preserve">节</t>
    </r>
    <r>
      <rPr>
        <sz val="10"/>
        <rFont val="Microsoft YaHei"/>
        <family val="0"/>
        <charset val="1"/>
      </rPr>
      <t xml:space="preserve">:</t>
    </r>
    <r>
      <rPr>
        <sz val="10"/>
        <rFont val="WenQuanYi Zen Hei"/>
        <family val="2"/>
      </rPr>
      <t xml:space="preserve">已亏损</t>
    </r>
    <r>
      <rPr>
        <sz val="10"/>
        <rFont val="Microsoft YaHei"/>
        <family val="0"/>
        <charset val="1"/>
      </rPr>
      <t xml:space="preserve">+</t>
    </r>
    <r>
      <rPr>
        <sz val="10"/>
        <rFont val="WenQuanYi Zen Hei"/>
        <family val="2"/>
      </rPr>
      <t xml:space="preserve">持仓风险≥</t>
    </r>
    <r>
      <rPr>
        <sz val="10"/>
        <rFont val="Microsoft YaHei"/>
        <family val="0"/>
        <charset val="1"/>
      </rPr>
      <t xml:space="preserve">6%</t>
    </r>
    <r>
      <rPr>
        <sz val="10"/>
        <rFont val="WenQuanYi Zen Hei"/>
        <family val="2"/>
      </rPr>
      <t xml:space="preserve">停止开新仓</t>
    </r>
  </si>
  <si>
    <t xml:space="preserve">p_PosCap</t>
  </si>
  <si>
    <t xml:space="preserve">单只股票最大仓位占比</t>
  </si>
  <si>
    <r>
      <rPr>
        <sz val="10"/>
        <rFont val="WenQuanYi Zen Hei"/>
        <family val="2"/>
      </rPr>
      <t xml:space="preserve">设计假设</t>
    </r>
    <r>
      <rPr>
        <sz val="10"/>
        <rFont val="Microsoft YaHei"/>
        <family val="0"/>
        <charset val="1"/>
      </rPr>
      <t xml:space="preserve">:A</t>
    </r>
    <r>
      <rPr>
        <sz val="10"/>
        <rFont val="WenQuanYi Zen Hei"/>
        <family val="2"/>
      </rPr>
      <t xml:space="preserve">股</t>
    </r>
    <r>
      <rPr>
        <sz val="10"/>
        <rFont val="Microsoft YaHei"/>
        <family val="0"/>
        <charset val="1"/>
      </rPr>
      <t xml:space="preserve">T+1</t>
    </r>
    <r>
      <rPr>
        <sz val="10"/>
        <rFont val="WenQuanYi Zen Hei"/>
        <family val="2"/>
      </rPr>
      <t xml:space="preserve">、涨跌停缺口会放大实际亏损</t>
    </r>
    <r>
      <rPr>
        <sz val="10"/>
        <rFont val="Microsoft YaHei"/>
        <family val="0"/>
        <charset val="1"/>
      </rPr>
      <t xml:space="preserve">,</t>
    </r>
    <r>
      <rPr>
        <sz val="10"/>
        <rFont val="WenQuanYi Zen Hei"/>
        <family val="2"/>
      </rPr>
      <t xml:space="preserve">限制集中度</t>
    </r>
  </si>
  <si>
    <t xml:space="preserve">p_Lot</t>
  </si>
  <si>
    <r>
      <rPr>
        <sz val="10"/>
        <rFont val="WenQuanYi Zen Hei"/>
        <family val="2"/>
      </rPr>
      <t xml:space="preserve">最小交易单位</t>
    </r>
    <r>
      <rPr>
        <sz val="10"/>
        <rFont val="Microsoft YaHei"/>
        <family val="0"/>
        <charset val="1"/>
      </rPr>
      <t xml:space="preserve">(</t>
    </r>
    <r>
      <rPr>
        <sz val="10"/>
        <rFont val="WenQuanYi Zen Hei"/>
        <family val="2"/>
      </rPr>
      <t xml:space="preserve">股</t>
    </r>
    <r>
      <rPr>
        <sz val="10"/>
        <rFont val="Microsoft YaHei"/>
        <family val="0"/>
        <charset val="1"/>
      </rPr>
      <t xml:space="preserve">)</t>
    </r>
  </si>
  <si>
    <r>
      <rPr>
        <sz val="10"/>
        <rFont val="Microsoft YaHei"/>
        <family val="0"/>
        <charset val="1"/>
      </rPr>
      <t xml:space="preserve">A</t>
    </r>
    <r>
      <rPr>
        <sz val="10"/>
        <rFont val="WenQuanYi Zen Hei"/>
        <family val="2"/>
      </rPr>
      <t xml:space="preserve">股</t>
    </r>
    <r>
      <rPr>
        <sz val="10"/>
        <rFont val="Microsoft YaHei"/>
        <family val="0"/>
        <charset val="1"/>
      </rPr>
      <t xml:space="preserve">:100</t>
    </r>
    <r>
      <rPr>
        <sz val="10"/>
        <rFont val="WenQuanYi Zen Hei"/>
        <family val="2"/>
      </rPr>
      <t xml:space="preserve">股</t>
    </r>
    <r>
      <rPr>
        <sz val="10"/>
        <rFont val="Microsoft YaHei"/>
        <family val="0"/>
        <charset val="1"/>
      </rPr>
      <t xml:space="preserve">/</t>
    </r>
    <r>
      <rPr>
        <sz val="10"/>
        <rFont val="WenQuanYi Zen Hei"/>
        <family val="2"/>
      </rPr>
      <t xml:space="preserve">手</t>
    </r>
  </si>
  <si>
    <t xml:space="preserve">评分卡 —— 单只股票打分与次日挂单计划</t>
  </si>
  <si>
    <t xml:space="preserve">标的</t>
  </si>
  <si>
    <r>
      <rPr>
        <b val="true"/>
        <sz val="10"/>
        <rFont val="Microsoft YaHei"/>
        <family val="0"/>
        <charset val="1"/>
      </rPr>
      <t xml:space="preserve">DEMO </t>
    </r>
    <r>
      <rPr>
        <b val="true"/>
        <sz val="10"/>
        <rFont val="WenQuanYi Zen Hei"/>
        <family val="2"/>
      </rPr>
      <t xml:space="preserve">示例股份</t>
    </r>
    <r>
      <rPr>
        <b val="true"/>
        <sz val="10"/>
        <rFont val="Microsoft YaHei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合成数据</t>
    </r>
    <r>
      <rPr>
        <b val="true"/>
        <sz val="10"/>
        <rFont val="Microsoft YaHei"/>
        <family val="0"/>
        <charset val="1"/>
      </rPr>
      <t xml:space="preserve">)</t>
    </r>
  </si>
  <si>
    <t xml:space="preserve">评分日期</t>
  </si>
  <si>
    <t xml:space="preserve">可改为历史任意交易日回看</t>
  </si>
  <si>
    <r>
      <rPr>
        <sz val="10"/>
        <rFont val="WenQuanYi Zen Hei"/>
        <family val="2"/>
      </rPr>
      <t xml:space="preserve">行号</t>
    </r>
    <r>
      <rPr>
        <sz val="10"/>
        <rFont val="Microsoft YaHei"/>
        <family val="0"/>
        <charset val="1"/>
      </rPr>
      <t xml:space="preserve">(</t>
    </r>
    <r>
      <rPr>
        <sz val="10"/>
        <rFont val="WenQuanYi Zen Hei"/>
        <family val="2"/>
      </rPr>
      <t xml:space="preserve">内部</t>
    </r>
    <r>
      <rPr>
        <sz val="10"/>
        <rFont val="Microsoft YaHei"/>
        <family val="0"/>
        <charset val="1"/>
      </rPr>
      <t xml:space="preserve">)</t>
    </r>
  </si>
  <si>
    <t xml:space="preserve">维度</t>
  </si>
  <si>
    <t xml:space="preserve">项目</t>
  </si>
  <si>
    <t xml:space="preserve">当前值</t>
  </si>
  <si>
    <t xml:space="preserve">规则</t>
  </si>
  <si>
    <t xml:space="preserve">得分</t>
  </si>
  <si>
    <t xml:space="preserve">满分</t>
  </si>
  <si>
    <r>
      <rPr>
        <b val="true"/>
        <sz val="10"/>
        <rFont val="WenQuanYi Zen Hei"/>
        <family val="2"/>
      </rPr>
      <t xml:space="preserve">① 趋势</t>
    </r>
    <r>
      <rPr>
        <b val="true"/>
        <sz val="10"/>
        <rFont val="Microsoft YaHei"/>
        <family val="0"/>
        <charset val="1"/>
      </rPr>
      <t xml:space="preserve">(25)</t>
    </r>
  </si>
  <si>
    <r>
      <rPr>
        <sz val="10"/>
        <rFont val="WenQuanYi Zen Hei"/>
        <family val="2"/>
      </rPr>
      <t xml:space="preserve">上周 </t>
    </r>
    <r>
      <rPr>
        <sz val="10"/>
        <rFont val="Microsoft YaHei"/>
        <family val="0"/>
        <charset val="1"/>
      </rPr>
      <t xml:space="preserve">EMA</t>
    </r>
    <r>
      <rPr>
        <sz val="10"/>
        <rFont val="WenQuanYi Zen Hei"/>
        <family val="2"/>
      </rPr>
      <t xml:space="preserve">慢是否向上</t>
    </r>
  </si>
  <si>
    <r>
      <rPr>
        <sz val="10"/>
        <rFont val="WenQuanYi Zen Hei"/>
        <family val="2"/>
      </rPr>
      <t xml:space="preserve">向上</t>
    </r>
    <r>
      <rPr>
        <sz val="10"/>
        <rFont val="Microsoft YaHei"/>
        <family val="0"/>
        <charset val="1"/>
      </rPr>
      <t xml:space="preserve">=10</t>
    </r>
    <r>
      <rPr>
        <sz val="10"/>
        <rFont val="WenQuanYi Zen Hei"/>
        <family val="2"/>
      </rPr>
      <t xml:space="preserve">分</t>
    </r>
    <r>
      <rPr>
        <sz val="10"/>
        <rFont val="Microsoft YaHei"/>
        <family val="0"/>
        <charset val="1"/>
      </rPr>
      <t xml:space="preserve">(</t>
    </r>
    <r>
      <rPr>
        <sz val="10"/>
        <rFont val="WenQuanYi Zen Hei"/>
        <family val="2"/>
      </rPr>
      <t xml:space="preserve">第一重滤网</t>
    </r>
    <r>
      <rPr>
        <sz val="10"/>
        <rFont val="Microsoft YaHei"/>
        <family val="0"/>
        <charset val="1"/>
      </rPr>
      <t xml:space="preserve">)</t>
    </r>
  </si>
  <si>
    <t xml:space="preserve">上周动力系统</t>
  </si>
  <si>
    <r>
      <rPr>
        <sz val="10"/>
        <rFont val="WenQuanYi Zen Hei"/>
        <family val="2"/>
      </rPr>
      <t xml:space="preserve">绿</t>
    </r>
    <r>
      <rPr>
        <sz val="10"/>
        <rFont val="Microsoft YaHei"/>
        <family val="0"/>
        <charset val="1"/>
      </rPr>
      <t xml:space="preserve">=5 / </t>
    </r>
    <r>
      <rPr>
        <sz val="10"/>
        <rFont val="WenQuanYi Zen Hei"/>
        <family val="2"/>
      </rPr>
      <t xml:space="preserve">蓝</t>
    </r>
    <r>
      <rPr>
        <sz val="10"/>
        <rFont val="Microsoft YaHei"/>
        <family val="0"/>
        <charset val="1"/>
      </rPr>
      <t xml:space="preserve">=3 / </t>
    </r>
    <r>
      <rPr>
        <sz val="10"/>
        <rFont val="WenQuanYi Zen Hei"/>
        <family val="2"/>
      </rPr>
      <t xml:space="preserve">红</t>
    </r>
    <r>
      <rPr>
        <sz val="10"/>
        <rFont val="Microsoft YaHei"/>
        <family val="0"/>
        <charset val="1"/>
      </rPr>
      <t xml:space="preserve">=0(</t>
    </r>
    <r>
      <rPr>
        <sz val="10"/>
        <rFont val="WenQuanYi Zen Hei"/>
        <family val="2"/>
      </rPr>
      <t xml:space="preserve">红色禁止买入</t>
    </r>
    <r>
      <rPr>
        <sz val="10"/>
        <rFont val="Microsoft YaHei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</si>
  <si>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上周 </t>
    </r>
    <r>
      <rPr>
        <sz val="10"/>
        <rFont val="Microsoft YaHei"/>
        <family val="0"/>
        <charset val="1"/>
      </rPr>
      <t xml:space="preserve">MACD </t>
    </r>
    <r>
      <rPr>
        <sz val="10"/>
        <rFont val="WenQuanYi Zen Hei"/>
        <family val="2"/>
      </rPr>
      <t xml:space="preserve">柱斜率向上</t>
    </r>
  </si>
  <si>
    <r>
      <rPr>
        <sz val="10"/>
        <rFont val="WenQuanYi Zen Hei"/>
        <family val="2"/>
      </rPr>
      <t xml:space="preserve">向上</t>
    </r>
    <r>
      <rPr>
        <sz val="10"/>
        <rFont val="Microsoft YaHei"/>
        <family val="0"/>
        <charset val="1"/>
      </rPr>
      <t xml:space="preserve">=5</t>
    </r>
  </si>
  <si>
    <r>
      <rPr>
        <sz val="10"/>
        <rFont val="Microsoft YaHei"/>
        <family val="0"/>
        <charset val="1"/>
      </rPr>
      <t xml:space="preserve">ADX </t>
    </r>
    <r>
      <rPr>
        <sz val="10"/>
        <rFont val="WenQuanYi Zen Hei"/>
        <family val="2"/>
      </rPr>
      <t xml:space="preserve">上升且 </t>
    </r>
    <r>
      <rPr>
        <sz val="10"/>
        <rFont val="Microsoft YaHei"/>
        <family val="0"/>
        <charset val="1"/>
      </rPr>
      <t xml:space="preserve">+DI&gt;-DI</t>
    </r>
  </si>
  <si>
    <r>
      <rPr>
        <sz val="10"/>
        <rFont val="WenQuanYi Zen Hei"/>
        <family val="2"/>
      </rPr>
      <t xml:space="preserve">趋势有劲</t>
    </r>
    <r>
      <rPr>
        <sz val="10"/>
        <rFont val="Microsoft YaHei"/>
        <family val="0"/>
        <charset val="1"/>
      </rPr>
      <t xml:space="preserve">=5(</t>
    </r>
    <r>
      <rPr>
        <sz val="10"/>
        <rFont val="WenQuanYi Zen Hei"/>
        <family val="2"/>
      </rPr>
      <t xml:space="preserve">第</t>
    </r>
    <r>
      <rPr>
        <sz val="10"/>
        <rFont val="Microsoft YaHei"/>
        <family val="0"/>
        <charset val="1"/>
      </rPr>
      <t xml:space="preserve">24</t>
    </r>
    <r>
      <rPr>
        <sz val="10"/>
        <rFont val="WenQuanYi Zen Hei"/>
        <family val="2"/>
      </rPr>
      <t xml:space="preserve">节</t>
    </r>
    <r>
      <rPr>
        <sz val="10"/>
        <rFont val="Microsoft YaHei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</si>
  <si>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② 回调质量</t>
    </r>
    <r>
      <rPr>
        <b val="true"/>
        <sz val="10"/>
        <rFont val="Microsoft YaHei"/>
        <family val="0"/>
        <charset val="1"/>
      </rPr>
      <t xml:space="preserve">(25)</t>
    </r>
  </si>
  <si>
    <t xml:space="preserve">价格相对价值区间</t>
  </si>
  <si>
    <r>
      <rPr>
        <sz val="10"/>
        <rFont val="WenQuanYi Zen Hei"/>
        <family val="2"/>
      </rPr>
      <t xml:space="preserve">区间内</t>
    </r>
    <r>
      <rPr>
        <sz val="10"/>
        <rFont val="Microsoft YaHei"/>
        <family val="0"/>
        <charset val="1"/>
      </rPr>
      <t xml:space="preserve">=10 / </t>
    </r>
    <r>
      <rPr>
        <sz val="10"/>
        <rFont val="WenQuanYi Zen Hei"/>
        <family val="2"/>
      </rPr>
      <t xml:space="preserve">慢线下方但在通道内</t>
    </r>
    <r>
      <rPr>
        <sz val="10"/>
        <rFont val="Microsoft YaHei"/>
        <family val="0"/>
        <charset val="1"/>
      </rPr>
      <t xml:space="preserve">=6 / </t>
    </r>
    <r>
      <rPr>
        <sz val="10"/>
        <rFont val="WenQuanYi Zen Hei"/>
        <family val="2"/>
      </rPr>
      <t xml:space="preserve">其他</t>
    </r>
    <r>
      <rPr>
        <sz val="10"/>
        <rFont val="Microsoft YaHei"/>
        <family val="0"/>
        <charset val="1"/>
      </rPr>
      <t xml:space="preserve">=0(</t>
    </r>
    <r>
      <rPr>
        <sz val="10"/>
        <rFont val="WenQuanYi Zen Hei"/>
        <family val="2"/>
      </rPr>
      <t xml:space="preserve">不追高</t>
    </r>
    <r>
      <rPr>
        <sz val="10"/>
        <rFont val="Microsoft YaHei"/>
        <family val="0"/>
        <charset val="1"/>
      </rPr>
      <t xml:space="preserve">)</t>
    </r>
  </si>
  <si>
    <r>
      <rPr>
        <sz val="10"/>
        <rFont val="Microsoft YaHei"/>
        <family val="0"/>
        <charset val="1"/>
      </rPr>
      <t xml:space="preserve">2</t>
    </r>
    <r>
      <rPr>
        <sz val="10"/>
        <rFont val="WenQuanYi Zen Hei"/>
        <family val="2"/>
      </rPr>
      <t xml:space="preserve">日强力指数</t>
    </r>
    <r>
      <rPr>
        <sz val="10"/>
        <rFont val="Microsoft YaHei"/>
        <family val="0"/>
        <charset val="1"/>
      </rPr>
      <t xml:space="preserve">&lt;0 </t>
    </r>
    <r>
      <rPr>
        <sz val="10"/>
        <rFont val="WenQuanYi Zen Hei"/>
        <family val="2"/>
      </rPr>
      <t xml:space="preserve">且非数周新低</t>
    </r>
  </si>
  <si>
    <r>
      <rPr>
        <sz val="10"/>
        <rFont val="WenQuanYi Zen Hei"/>
        <family val="2"/>
      </rPr>
      <t xml:space="preserve">满足</t>
    </r>
    <r>
      <rPr>
        <sz val="10"/>
        <rFont val="Microsoft YaHei"/>
        <family val="0"/>
        <charset val="1"/>
      </rPr>
      <t xml:space="preserve">=8(</t>
    </r>
    <r>
      <rPr>
        <sz val="10"/>
        <rFont val="WenQuanYi Zen Hei"/>
        <family val="2"/>
      </rPr>
      <t xml:space="preserve">第二重滤网</t>
    </r>
    <r>
      <rPr>
        <sz val="10"/>
        <rFont val="Microsoft YaHei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</si>
  <si>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慢速随机指标 </t>
    </r>
    <r>
      <rPr>
        <sz val="10"/>
        <rFont val="Microsoft YaHei"/>
        <family val="0"/>
        <charset val="1"/>
      </rPr>
      <t xml:space="preserve">%K</t>
    </r>
  </si>
  <si>
    <t xml:space="preserve">&lt;30=7 / &lt;50=3</t>
  </si>
  <si>
    <r>
      <rPr>
        <b val="true"/>
        <sz val="10"/>
        <rFont val="WenQuanYi Zen Hei"/>
        <family val="2"/>
      </rPr>
      <t xml:space="preserve">③ 买入形态</t>
    </r>
    <r>
      <rPr>
        <b val="true"/>
        <sz val="10"/>
        <rFont val="Microsoft YaHei"/>
        <family val="0"/>
        <charset val="1"/>
      </rPr>
      <t xml:space="preserve">(25)</t>
    </r>
  </si>
  <si>
    <r>
      <rPr>
        <sz val="10"/>
        <rFont val="WenQuanYi Zen Hei"/>
        <family val="2"/>
      </rPr>
      <t xml:space="preserve">形态</t>
    </r>
    <r>
      <rPr>
        <sz val="10"/>
        <rFont val="Microsoft YaHei"/>
        <family val="0"/>
        <charset val="1"/>
      </rPr>
      <t xml:space="preserve">A </t>
    </r>
    <r>
      <rPr>
        <sz val="10"/>
        <rFont val="WenQuanYi Zen Hei"/>
        <family val="2"/>
      </rPr>
      <t xml:space="preserve">回调到价值区</t>
    </r>
    <r>
      <rPr>
        <sz val="10"/>
        <rFont val="Microsoft YaHei"/>
        <family val="0"/>
        <charset val="1"/>
      </rPr>
      <t xml:space="preserve">(</t>
    </r>
    <r>
      <rPr>
        <sz val="10"/>
        <rFont val="WenQuanYi Zen Hei"/>
        <family val="2"/>
      </rPr>
      <t xml:space="preserve">顺势</t>
    </r>
    <r>
      <rPr>
        <sz val="10"/>
        <rFont val="Microsoft YaHei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</si>
  <si>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仅</t>
    </r>
    <r>
      <rPr>
        <sz val="10"/>
        <rFont val="Microsoft YaHei"/>
        <family val="0"/>
        <charset val="1"/>
      </rPr>
      <t xml:space="preserve">A=15</t>
    </r>
  </si>
  <si>
    <r>
      <rPr>
        <sz val="10"/>
        <rFont val="WenQuanYi Zen Hei"/>
        <family val="2"/>
      </rPr>
      <t xml:space="preserve">形态</t>
    </r>
    <r>
      <rPr>
        <sz val="10"/>
        <rFont val="Microsoft YaHei"/>
        <family val="0"/>
        <charset val="1"/>
      </rPr>
      <t xml:space="preserve">B MACD</t>
    </r>
    <r>
      <rPr>
        <sz val="10"/>
        <rFont val="WenQuanYi Zen Hei"/>
        <family val="2"/>
      </rPr>
      <t xml:space="preserve">柱牛市背离</t>
    </r>
    <r>
      <rPr>
        <sz val="10"/>
        <rFont val="Microsoft YaHei"/>
        <family val="0"/>
        <charset val="1"/>
      </rPr>
      <t xml:space="preserve">/</t>
    </r>
    <r>
      <rPr>
        <sz val="10"/>
        <rFont val="WenQuanYi Zen Hei"/>
        <family val="2"/>
      </rPr>
      <t xml:space="preserve">假突破</t>
    </r>
  </si>
  <si>
    <r>
      <rPr>
        <sz val="10"/>
        <rFont val="WenQuanYi Zen Hei"/>
        <family val="2"/>
      </rPr>
      <t xml:space="preserve">仅</t>
    </r>
    <r>
      <rPr>
        <sz val="10"/>
        <rFont val="Microsoft YaHei"/>
        <family val="0"/>
        <charset val="1"/>
      </rPr>
      <t xml:space="preserve">B=22,A+B=25</t>
    </r>
  </si>
  <si>
    <r>
      <rPr>
        <sz val="10"/>
        <rFont val="WenQuanYi Zen Hei"/>
        <family val="2"/>
      </rPr>
      <t xml:space="preserve">形态</t>
    </r>
    <r>
      <rPr>
        <sz val="10"/>
        <rFont val="Microsoft YaHei"/>
        <family val="0"/>
        <charset val="1"/>
      </rPr>
      <t xml:space="preserve">C </t>
    </r>
    <r>
      <rPr>
        <sz val="10"/>
        <rFont val="WenQuanYi Zen Hei"/>
        <family val="2"/>
      </rPr>
      <t xml:space="preserve">极端超卖反弹</t>
    </r>
  </si>
  <si>
    <r>
      <rPr>
        <sz val="10"/>
        <rFont val="WenQuanYi Zen Hei"/>
        <family val="2"/>
      </rPr>
      <t xml:space="preserve">仅</t>
    </r>
    <r>
      <rPr>
        <sz val="10"/>
        <rFont val="Microsoft YaHei"/>
        <family val="0"/>
        <charset val="1"/>
      </rPr>
      <t xml:space="preserve">C=12</t>
    </r>
  </si>
  <si>
    <r>
      <rPr>
        <b val="true"/>
        <sz val="10"/>
        <rFont val="WenQuanYi Zen Hei"/>
        <family val="2"/>
      </rPr>
      <t xml:space="preserve">④ 量能</t>
    </r>
    <r>
      <rPr>
        <b val="true"/>
        <sz val="10"/>
        <rFont val="Microsoft YaHei"/>
        <family val="0"/>
        <charset val="1"/>
      </rPr>
      <t xml:space="preserve">(10)</t>
    </r>
  </si>
  <si>
    <r>
      <rPr>
        <sz val="10"/>
        <rFont val="Microsoft YaHei"/>
        <family val="0"/>
        <charset val="1"/>
      </rPr>
      <t xml:space="preserve">13</t>
    </r>
    <r>
      <rPr>
        <sz val="10"/>
        <rFont val="WenQuanYi Zen Hei"/>
        <family val="2"/>
      </rPr>
      <t xml:space="preserve">日强力指数</t>
    </r>
    <r>
      <rPr>
        <sz val="10"/>
        <rFont val="Microsoft YaHei"/>
        <family val="0"/>
        <charset val="1"/>
      </rPr>
      <t xml:space="preserve">&gt;0</t>
    </r>
  </si>
  <si>
    <r>
      <rPr>
        <sz val="10"/>
        <rFont val="WenQuanYi Zen Hei"/>
        <family val="2"/>
      </rPr>
      <t xml:space="preserve">多头占优</t>
    </r>
    <r>
      <rPr>
        <sz val="10"/>
        <rFont val="Microsoft YaHei"/>
        <family val="0"/>
        <charset val="1"/>
      </rPr>
      <t xml:space="preserve">=6</t>
    </r>
  </si>
  <si>
    <r>
      <rPr>
        <sz val="10"/>
        <rFont val="WenQuanYi Zen Hei"/>
        <family val="2"/>
      </rPr>
      <t xml:space="preserve">今日量</t>
    </r>
    <r>
      <rPr>
        <sz val="10"/>
        <rFont val="Microsoft YaHei"/>
        <family val="0"/>
        <charset val="1"/>
      </rPr>
      <t xml:space="preserve">&lt;5</t>
    </r>
    <r>
      <rPr>
        <sz val="10"/>
        <rFont val="WenQuanYi Zen Hei"/>
        <family val="2"/>
      </rPr>
      <t xml:space="preserve">日均量</t>
    </r>
    <r>
      <rPr>
        <sz val="10"/>
        <rFont val="Microsoft YaHei"/>
        <family val="0"/>
        <charset val="1"/>
      </rPr>
      <t xml:space="preserve">(</t>
    </r>
    <r>
      <rPr>
        <sz val="10"/>
        <rFont val="WenQuanYi Zen Hei"/>
        <family val="2"/>
      </rPr>
      <t xml:space="preserve">缩量回调</t>
    </r>
    <r>
      <rPr>
        <sz val="10"/>
        <rFont val="Microsoft YaHei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</si>
  <si>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缩量</t>
    </r>
    <r>
      <rPr>
        <sz val="10"/>
        <rFont val="Microsoft YaHei"/>
        <family val="0"/>
        <charset val="1"/>
      </rPr>
      <t xml:space="preserve">=4</t>
    </r>
  </si>
  <si>
    <r>
      <rPr>
        <b val="true"/>
        <sz val="10"/>
        <rFont val="WenQuanYi Zen Hei"/>
        <family val="2"/>
      </rPr>
      <t xml:space="preserve">⑤ 盈亏比</t>
    </r>
    <r>
      <rPr>
        <b val="true"/>
        <sz val="10"/>
        <rFont val="Microsoft YaHei"/>
        <family val="0"/>
        <charset val="1"/>
      </rPr>
      <t xml:space="preserve">(15)</t>
    </r>
  </si>
  <si>
    <r>
      <rPr>
        <sz val="10"/>
        <rFont val="WenQuanYi Zen Hei"/>
        <family val="2"/>
      </rPr>
      <t xml:space="preserve">盈亏比 </t>
    </r>
    <r>
      <rPr>
        <sz val="10"/>
        <rFont val="Microsoft YaHei"/>
        <family val="0"/>
        <charset val="1"/>
      </rPr>
      <t xml:space="preserve">(</t>
    </r>
    <r>
      <rPr>
        <sz val="10"/>
        <rFont val="WenQuanYi Zen Hei"/>
        <family val="2"/>
      </rPr>
      <t xml:space="preserve">目标−买入</t>
    </r>
    <r>
      <rPr>
        <sz val="10"/>
        <rFont val="Microsoft YaHei"/>
        <family val="0"/>
        <charset val="1"/>
      </rPr>
      <t xml:space="preserve">)/(</t>
    </r>
    <r>
      <rPr>
        <sz val="10"/>
        <rFont val="WenQuanYi Zen Hei"/>
        <family val="2"/>
      </rPr>
      <t xml:space="preserve">买入−止损</t>
    </r>
    <r>
      <rPr>
        <sz val="10"/>
        <rFont val="Microsoft YaHei"/>
        <family val="0"/>
        <charset val="1"/>
      </rPr>
      <t xml:space="preserve">)</t>
    </r>
  </si>
  <si>
    <r>
      <rPr>
        <sz val="10"/>
        <rFont val="Microsoft YaHei"/>
        <family val="0"/>
        <charset val="1"/>
      </rPr>
      <t xml:space="preserve">≥3=15 / ≥</t>
    </r>
    <r>
      <rPr>
        <sz val="10"/>
        <rFont val="WenQuanYi Zen Hei"/>
        <family val="2"/>
      </rPr>
      <t xml:space="preserve">参数</t>
    </r>
    <r>
      <rPr>
        <sz val="10"/>
        <rFont val="Microsoft YaHei"/>
        <family val="0"/>
        <charset val="1"/>
      </rPr>
      <t xml:space="preserve">=10 / ≥1.5=4</t>
    </r>
  </si>
  <si>
    <t xml:space="preserve">总分</t>
  </si>
  <si>
    <r>
      <rPr>
        <b val="true"/>
        <sz val="10"/>
        <color rgb="FFFFFFFF"/>
        <rFont val="WenQuanYi Zen Hei"/>
        <family val="2"/>
      </rPr>
      <t xml:space="preserve">硬性否决</t>
    </r>
    <r>
      <rPr>
        <b val="true"/>
        <sz val="10"/>
        <color rgb="FFFFFFFF"/>
        <rFont val="Microsoft YaHe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任一触发则不得买入</t>
    </r>
    <r>
      <rPr>
        <b val="true"/>
        <sz val="10"/>
        <color rgb="FFFFFFFF"/>
        <rFont val="Microsoft YaHei"/>
        <family val="0"/>
        <charset val="1"/>
      </rPr>
      <t xml:space="preserve">)</t>
    </r>
  </si>
  <si>
    <t xml:space="preserve">状态</t>
  </si>
  <si>
    <r>
      <rPr>
        <b val="true"/>
        <sz val="10"/>
        <color rgb="FFFFFFFF"/>
        <rFont val="WenQuanYi Zen Hei"/>
        <family val="2"/>
      </rPr>
      <t xml:space="preserve">触发</t>
    </r>
    <r>
      <rPr>
        <b val="true"/>
        <sz val="10"/>
        <color rgb="FFFFFFFF"/>
        <rFont val="Microsoft YaHei"/>
        <family val="0"/>
        <charset val="1"/>
      </rPr>
      <t xml:space="preserve">(1)</t>
    </r>
  </si>
  <si>
    <t xml:space="preserve">说明</t>
  </si>
  <si>
    <t xml:space="preserve">周趋势闸门</t>
  </si>
  <si>
    <r>
      <rPr>
        <sz val="10"/>
        <rFont val="WenQuanYi Zen Hei"/>
        <family val="2"/>
      </rPr>
      <t xml:space="preserve">形态</t>
    </r>
    <r>
      <rPr>
        <sz val="10"/>
        <rFont val="Microsoft YaHei"/>
        <family val="0"/>
        <charset val="1"/>
      </rPr>
      <t xml:space="preserve">A</t>
    </r>
    <r>
      <rPr>
        <sz val="10"/>
        <rFont val="WenQuanYi Zen Hei"/>
        <family val="2"/>
      </rPr>
      <t xml:space="preserve">要求周</t>
    </r>
    <r>
      <rPr>
        <sz val="10"/>
        <rFont val="Microsoft YaHei"/>
        <family val="0"/>
        <charset val="1"/>
      </rPr>
      <t xml:space="preserve">EMA</t>
    </r>
    <r>
      <rPr>
        <sz val="10"/>
        <rFont val="WenQuanYi Zen Hei"/>
        <family val="2"/>
      </rPr>
      <t xml:space="preserve">慢向上</t>
    </r>
    <r>
      <rPr>
        <sz val="10"/>
        <rFont val="Microsoft YaHei"/>
        <family val="0"/>
        <charset val="1"/>
      </rPr>
      <t xml:space="preserve">;</t>
    </r>
    <r>
      <rPr>
        <sz val="10"/>
        <rFont val="WenQuanYi Zen Hei"/>
        <family val="2"/>
      </rPr>
      <t xml:space="preserve">背离</t>
    </r>
    <r>
      <rPr>
        <sz val="10"/>
        <rFont val="Microsoft YaHei"/>
        <family val="0"/>
        <charset val="1"/>
      </rPr>
      <t xml:space="preserve">/</t>
    </r>
    <r>
      <rPr>
        <sz val="10"/>
        <rFont val="WenQuanYi Zen Hei"/>
        <family val="2"/>
      </rPr>
      <t xml:space="preserve">极端形态</t>
    </r>
    <r>
      <rPr>
        <sz val="10"/>
        <rFont val="Microsoft YaHei"/>
        <family val="0"/>
        <charset val="1"/>
      </rPr>
      <t xml:space="preserve">B</t>
    </r>
    <r>
      <rPr>
        <sz val="10"/>
        <rFont val="WenQuanYi Zen Hei"/>
        <family val="2"/>
      </rPr>
      <t xml:space="preserve">、</t>
    </r>
    <r>
      <rPr>
        <sz val="10"/>
        <rFont val="Microsoft YaHei"/>
        <family val="0"/>
        <charset val="1"/>
      </rPr>
      <t xml:space="preserve">C</t>
    </r>
    <r>
      <rPr>
        <sz val="10"/>
        <rFont val="WenQuanYi Zen Hei"/>
        <family val="2"/>
      </rPr>
      <t xml:space="preserve">不受此限</t>
    </r>
    <r>
      <rPr>
        <sz val="10"/>
        <rFont val="Microsoft YaHei"/>
        <family val="0"/>
        <charset val="1"/>
      </rPr>
      <t xml:space="preserve">(</t>
    </r>
    <r>
      <rPr>
        <sz val="10"/>
        <rFont val="WenQuanYi Zen Hei"/>
        <family val="2"/>
      </rPr>
      <t xml:space="preserve">第</t>
    </r>
    <r>
      <rPr>
        <sz val="10"/>
        <rFont val="Microsoft YaHei"/>
        <family val="0"/>
        <charset val="1"/>
      </rPr>
      <t xml:space="preserve">39</t>
    </r>
    <r>
      <rPr>
        <sz val="10"/>
        <rFont val="WenQuanYi Zen Hei"/>
        <family val="2"/>
      </rPr>
      <t xml:space="preserve">节</t>
    </r>
    <r>
      <rPr>
        <sz val="10"/>
        <rFont val="Microsoft YaHei"/>
        <family val="0"/>
        <charset val="1"/>
      </rPr>
      <t xml:space="preserve">)</t>
    </r>
  </si>
  <si>
    <t xml:space="preserve">周线动力系统红色</t>
  </si>
  <si>
    <r>
      <rPr>
        <sz val="10"/>
        <rFont val="WenQuanYi Zen Hei"/>
        <family val="2"/>
      </rPr>
      <t xml:space="preserve">红色禁止买入</t>
    </r>
    <r>
      <rPr>
        <sz val="10"/>
        <rFont val="Microsoft YaHei"/>
        <family val="0"/>
        <charset val="1"/>
      </rPr>
      <t xml:space="preserve">(</t>
    </r>
    <r>
      <rPr>
        <sz val="10"/>
        <rFont val="WenQuanYi Zen Hei"/>
        <family val="2"/>
      </rPr>
      <t xml:space="preserve">第</t>
    </r>
    <r>
      <rPr>
        <sz val="10"/>
        <rFont val="Microsoft YaHei"/>
        <family val="0"/>
        <charset val="1"/>
      </rPr>
      <t xml:space="preserve">40</t>
    </r>
    <r>
      <rPr>
        <sz val="10"/>
        <rFont val="WenQuanYi Zen Hei"/>
        <family val="2"/>
      </rPr>
      <t xml:space="preserve">节</t>
    </r>
    <r>
      <rPr>
        <sz val="10"/>
        <rFont val="Microsoft YaHei"/>
        <family val="0"/>
        <charset val="1"/>
      </rPr>
      <t xml:space="preserve">)</t>
    </r>
  </si>
  <si>
    <t xml:space="preserve">日线动力系统红色</t>
  </si>
  <si>
    <t xml:space="preserve">无有效买入形态</t>
  </si>
  <si>
    <r>
      <rPr>
        <sz val="10"/>
        <rFont val="Microsoft YaHei"/>
        <family val="0"/>
        <charset val="1"/>
      </rPr>
      <t xml:space="preserve">A/B/C </t>
    </r>
    <r>
      <rPr>
        <sz val="10"/>
        <rFont val="WenQuanYi Zen Hei"/>
        <family val="2"/>
      </rPr>
      <t xml:space="preserve">都不满足 </t>
    </r>
    <r>
      <rPr>
        <sz val="10"/>
        <rFont val="Microsoft YaHei"/>
        <family val="0"/>
        <charset val="1"/>
      </rPr>
      <t xml:space="preserve">= </t>
    </r>
    <r>
      <rPr>
        <sz val="10"/>
        <rFont val="WenQuanYi Zen Hei"/>
        <family val="2"/>
      </rPr>
      <t xml:space="preserve">不是</t>
    </r>
    <r>
      <rPr>
        <sz val="10"/>
        <rFont val="Microsoft YaHei"/>
        <family val="0"/>
        <charset val="1"/>
      </rPr>
      <t xml:space="preserve">"A</t>
    </r>
    <r>
      <rPr>
        <sz val="10"/>
        <rFont val="WenQuanYi Zen Hei"/>
        <family val="2"/>
      </rPr>
      <t xml:space="preserve">级交易</t>
    </r>
    <r>
      <rPr>
        <sz val="10"/>
        <rFont val="Microsoft YaHei"/>
        <family val="0"/>
        <charset val="1"/>
      </rPr>
      <t xml:space="preserve">"(</t>
    </r>
    <r>
      <rPr>
        <sz val="10"/>
        <rFont val="WenQuanYi Zen Hei"/>
        <family val="2"/>
      </rPr>
      <t xml:space="preserve">第</t>
    </r>
    <r>
      <rPr>
        <sz val="10"/>
        <rFont val="Microsoft YaHei"/>
        <family val="0"/>
        <charset val="1"/>
      </rPr>
      <t xml:space="preserve">55</t>
    </r>
    <r>
      <rPr>
        <sz val="10"/>
        <rFont val="WenQuanYi Zen Hei"/>
        <family val="2"/>
      </rPr>
      <t xml:space="preserve">节</t>
    </r>
    <r>
      <rPr>
        <sz val="10"/>
        <rFont val="Microsoft YaHei"/>
        <family val="0"/>
        <charset val="1"/>
      </rPr>
      <t xml:space="preserve">)</t>
    </r>
  </si>
  <si>
    <t xml:space="preserve">盈亏比不足</t>
  </si>
  <si>
    <r>
      <rPr>
        <sz val="10"/>
        <rFont val="WenQuanYi Zen Hei"/>
        <family val="2"/>
      </rPr>
      <t xml:space="preserve">盈亏比必须≥参数</t>
    </r>
    <r>
      <rPr>
        <sz val="10"/>
        <rFont val="Microsoft YaHei"/>
        <family val="0"/>
        <charset val="1"/>
      </rPr>
      <t xml:space="preserve">(</t>
    </r>
    <r>
      <rPr>
        <sz val="10"/>
        <rFont val="WenQuanYi Zen Hei"/>
        <family val="2"/>
      </rPr>
      <t xml:space="preserve">默认</t>
    </r>
    <r>
      <rPr>
        <sz val="10"/>
        <rFont val="Microsoft YaHei"/>
        <family val="0"/>
        <charset val="1"/>
      </rPr>
      <t xml:space="preserve">2:1)(</t>
    </r>
    <r>
      <rPr>
        <sz val="10"/>
        <rFont val="WenQuanYi Zen Hei"/>
        <family val="2"/>
      </rPr>
      <t xml:space="preserve">第</t>
    </r>
    <r>
      <rPr>
        <sz val="10"/>
        <rFont val="Microsoft YaHei"/>
        <family val="0"/>
        <charset val="1"/>
      </rPr>
      <t xml:space="preserve">38/53</t>
    </r>
    <r>
      <rPr>
        <sz val="10"/>
        <rFont val="WenQuanYi Zen Hei"/>
        <family val="2"/>
      </rPr>
      <t xml:space="preserve">节</t>
    </r>
    <r>
      <rPr>
        <sz val="10"/>
        <rFont val="Microsoft YaHei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</si>
  <si>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评级</t>
    </r>
    <r>
      <rPr>
        <b val="true"/>
        <sz val="10"/>
        <rFont val="Microsoft YaHei"/>
        <family val="0"/>
        <charset val="1"/>
      </rPr>
      <t xml:space="preserve">(A/B/C)</t>
    </r>
  </si>
  <si>
    <t xml:space="preserve">次日挂单计划</t>
  </si>
  <si>
    <t xml:space="preserve">数值</t>
  </si>
  <si>
    <t xml:space="preserve">算法</t>
  </si>
  <si>
    <t xml:space="preserve">买入限价</t>
  </si>
  <si>
    <r>
      <rPr>
        <sz val="10"/>
        <rFont val="WenQuanYi Zen Hei"/>
        <family val="2"/>
      </rPr>
      <t xml:space="preserve">明日</t>
    </r>
    <r>
      <rPr>
        <sz val="10"/>
        <rFont val="Microsoft YaHei"/>
        <family val="0"/>
        <charset val="1"/>
      </rPr>
      <t xml:space="preserve">EMA</t>
    </r>
    <r>
      <rPr>
        <sz val="10"/>
        <rFont val="WenQuanYi Zen Hei"/>
        <family val="2"/>
      </rPr>
      <t xml:space="preserve">估计 − 平均下跌穿透</t>
    </r>
    <r>
      <rPr>
        <sz val="10"/>
        <rFont val="Microsoft YaHei"/>
        <family val="0"/>
        <charset val="1"/>
      </rPr>
      <t xml:space="preserve">(</t>
    </r>
    <r>
      <rPr>
        <sz val="10"/>
        <rFont val="WenQuanYi Zen Hei"/>
        <family val="2"/>
      </rPr>
      <t xml:space="preserve">第</t>
    </r>
    <r>
      <rPr>
        <sz val="10"/>
        <rFont val="Microsoft YaHei"/>
        <family val="0"/>
        <charset val="1"/>
      </rPr>
      <t xml:space="preserve">39</t>
    </r>
    <r>
      <rPr>
        <sz val="10"/>
        <rFont val="WenQuanYi Zen Hei"/>
        <family val="2"/>
      </rPr>
      <t xml:space="preserve">节</t>
    </r>
    <r>
      <rPr>
        <sz val="10"/>
        <rFont val="Microsoft YaHei"/>
        <family val="0"/>
        <charset val="1"/>
      </rPr>
      <t xml:space="preserve">,</t>
    </r>
    <r>
      <rPr>
        <sz val="10"/>
        <rFont val="WenQuanYi Zen Hei"/>
        <family val="2"/>
      </rPr>
      <t xml:space="preserve">以折价回调买入</t>
    </r>
    <r>
      <rPr>
        <sz val="10"/>
        <rFont val="Microsoft YaHei"/>
        <family val="0"/>
        <charset val="1"/>
      </rPr>
      <t xml:space="preserve">,</t>
    </r>
    <r>
      <rPr>
        <sz val="10"/>
        <rFont val="WenQuanYi Zen Hei"/>
        <family val="2"/>
      </rPr>
      <t xml:space="preserve">不追高</t>
    </r>
    <r>
      <rPr>
        <sz val="10"/>
        <rFont val="Microsoft YaHei"/>
        <family val="0"/>
        <charset val="1"/>
      </rPr>
      <t xml:space="preserve">)</t>
    </r>
  </si>
  <si>
    <t xml:space="preserve">止损价</t>
  </si>
  <si>
    <r>
      <rPr>
        <sz val="10"/>
        <rFont val="Microsoft YaHei"/>
        <family val="0"/>
        <charset val="1"/>
      </rPr>
      <t xml:space="preserve">min(</t>
    </r>
    <r>
      <rPr>
        <sz val="10"/>
        <rFont val="WenQuanYi Zen Hei"/>
        <family val="2"/>
      </rPr>
      <t xml:space="preserve">近期次低点−</t>
    </r>
    <r>
      <rPr>
        <sz val="10"/>
        <rFont val="Microsoft YaHei"/>
        <family val="0"/>
        <charset val="1"/>
      </rPr>
      <t xml:space="preserve">0.01, </t>
    </r>
    <r>
      <rPr>
        <sz val="10"/>
        <rFont val="WenQuanYi Zen Hei"/>
        <family val="2"/>
      </rPr>
      <t xml:space="preserve">买入价−</t>
    </r>
    <r>
      <rPr>
        <sz val="10"/>
        <rFont val="Microsoft YaHei"/>
        <family val="0"/>
        <charset val="1"/>
      </rPr>
      <t xml:space="preserve">N×ATR),</t>
    </r>
    <r>
      <rPr>
        <sz val="10"/>
        <rFont val="WenQuanYi Zen Hei"/>
        <family val="2"/>
      </rPr>
      <t xml:space="preserve">避开整数位</t>
    </r>
    <r>
      <rPr>
        <sz val="10"/>
        <rFont val="Microsoft YaHei"/>
        <family val="0"/>
        <charset val="1"/>
      </rPr>
      <t xml:space="preserve">(</t>
    </r>
    <r>
      <rPr>
        <sz val="10"/>
        <rFont val="WenQuanYi Zen Hei"/>
        <family val="2"/>
      </rPr>
      <t xml:space="preserve">第</t>
    </r>
    <r>
      <rPr>
        <sz val="10"/>
        <rFont val="Microsoft YaHei"/>
        <family val="0"/>
        <charset val="1"/>
      </rPr>
      <t xml:space="preserve">54</t>
    </r>
    <r>
      <rPr>
        <sz val="10"/>
        <rFont val="WenQuanYi Zen Hei"/>
        <family val="2"/>
      </rPr>
      <t xml:space="preserve">节尼克止损</t>
    </r>
    <r>
      <rPr>
        <sz val="10"/>
        <rFont val="Microsoft YaHei"/>
        <family val="0"/>
        <charset val="1"/>
      </rPr>
      <t xml:space="preserve">)</t>
    </r>
  </si>
  <si>
    <t xml:space="preserve">目标价</t>
  </si>
  <si>
    <r>
      <rPr>
        <sz val="10"/>
        <rFont val="WenQuanYi Zen Hei"/>
        <family val="2"/>
      </rPr>
      <t xml:space="preserve">上通道线</t>
    </r>
    <r>
      <rPr>
        <sz val="10"/>
        <rFont val="Microsoft YaHei"/>
        <family val="0"/>
        <charset val="1"/>
      </rPr>
      <t xml:space="preserve">(</t>
    </r>
    <r>
      <rPr>
        <sz val="10"/>
        <rFont val="WenQuanYi Zen Hei"/>
        <family val="2"/>
      </rPr>
      <t xml:space="preserve">第</t>
    </r>
    <r>
      <rPr>
        <sz val="10"/>
        <rFont val="Microsoft YaHei"/>
        <family val="0"/>
        <charset val="1"/>
      </rPr>
      <t xml:space="preserve">53</t>
    </r>
    <r>
      <rPr>
        <sz val="10"/>
        <rFont val="WenQuanYi Zen Hei"/>
        <family val="2"/>
      </rPr>
      <t xml:space="preserve">节</t>
    </r>
    <r>
      <rPr>
        <sz val="10"/>
        <rFont val="Microsoft YaHei"/>
        <family val="0"/>
        <charset val="1"/>
      </rPr>
      <t xml:space="preserve">:</t>
    </r>
    <r>
      <rPr>
        <sz val="10"/>
        <rFont val="WenQuanYi Zen Hei"/>
        <family val="2"/>
      </rPr>
      <t xml:space="preserve">在价值区间下方买、通道上轨获利</t>
    </r>
    <r>
      <rPr>
        <sz val="10"/>
        <rFont val="Microsoft YaHei"/>
        <family val="0"/>
        <charset val="1"/>
      </rPr>
      <t xml:space="preserve">)</t>
    </r>
  </si>
  <si>
    <t xml:space="preserve">每股风险</t>
  </si>
  <si>
    <t xml:space="preserve">买入价−止损价</t>
  </si>
  <si>
    <t xml:space="preserve">盈亏比</t>
  </si>
  <si>
    <r>
      <rPr>
        <sz val="10"/>
        <rFont val="Microsoft YaHei"/>
        <family val="0"/>
        <charset val="1"/>
      </rPr>
      <t xml:space="preserve">(</t>
    </r>
    <r>
      <rPr>
        <sz val="10"/>
        <rFont val="WenQuanYi Zen Hei"/>
        <family val="2"/>
      </rPr>
      <t xml:space="preserve">目标−买入</t>
    </r>
    <r>
      <rPr>
        <sz val="10"/>
        <rFont val="Microsoft YaHei"/>
        <family val="0"/>
        <charset val="1"/>
      </rPr>
      <t xml:space="preserve">)/(</t>
    </r>
    <r>
      <rPr>
        <sz val="10"/>
        <rFont val="WenQuanYi Zen Hei"/>
        <family val="2"/>
      </rPr>
      <t xml:space="preserve">买入−止损</t>
    </r>
    <r>
      <rPr>
        <sz val="10"/>
        <rFont val="Microsoft YaHei"/>
        <family val="0"/>
        <charset val="1"/>
      </rPr>
      <t xml:space="preserve">)</t>
    </r>
  </si>
  <si>
    <t xml:space="preserve">大盘风险系数</t>
  </si>
  <si>
    <r>
      <rPr>
        <sz val="10"/>
        <rFont val="WenQuanYi Zen Hei"/>
        <family val="2"/>
      </rPr>
      <t xml:space="preserve">来自</t>
    </r>
    <r>
      <rPr>
        <sz val="10"/>
        <rFont val="Microsoft YaHei"/>
        <family val="0"/>
        <charset val="1"/>
      </rPr>
      <t xml:space="preserve">"</t>
    </r>
    <r>
      <rPr>
        <sz val="10"/>
        <rFont val="WenQuanYi Zen Hei"/>
        <family val="2"/>
      </rPr>
      <t xml:space="preserve">市场温度</t>
    </r>
    <r>
      <rPr>
        <sz val="10"/>
        <rFont val="Microsoft YaHei"/>
        <family val="0"/>
        <charset val="1"/>
      </rPr>
      <t xml:space="preserve">"</t>
    </r>
  </si>
  <si>
    <r>
      <rPr>
        <b val="true"/>
        <sz val="10"/>
        <rFont val="WenQuanYi Zen Hei"/>
        <family val="2"/>
      </rPr>
      <t xml:space="preserve">风险额度</t>
    </r>
    <r>
      <rPr>
        <b val="true"/>
        <sz val="10"/>
        <rFont val="Microsoft YaHei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元</t>
    </r>
    <r>
      <rPr>
        <b val="true"/>
        <sz val="10"/>
        <rFont val="Microsoft YaHei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</si>
  <si>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资金</t>
    </r>
    <r>
      <rPr>
        <sz val="10"/>
        <rFont val="Microsoft YaHei"/>
        <family val="0"/>
        <charset val="1"/>
      </rPr>
      <t xml:space="preserve">×</t>
    </r>
    <r>
      <rPr>
        <sz val="10"/>
        <rFont val="WenQuanYi Zen Hei"/>
        <family val="2"/>
      </rPr>
      <t xml:space="preserve">单笔风险</t>
    </r>
    <r>
      <rPr>
        <sz val="10"/>
        <rFont val="Microsoft YaHei"/>
        <family val="0"/>
        <charset val="1"/>
      </rPr>
      <t xml:space="preserve">%×</t>
    </r>
    <r>
      <rPr>
        <sz val="10"/>
        <rFont val="WenQuanYi Zen Hei"/>
        <family val="2"/>
      </rPr>
      <t xml:space="preserve">大盘系数</t>
    </r>
    <r>
      <rPr>
        <sz val="10"/>
        <rFont val="Microsoft YaHei"/>
        <family val="0"/>
        <charset val="1"/>
      </rPr>
      <t xml:space="preserve">,</t>
    </r>
    <r>
      <rPr>
        <sz val="10"/>
        <rFont val="WenQuanYi Zen Hei"/>
        <family val="2"/>
      </rPr>
      <t xml:space="preserve">且不超过</t>
    </r>
    <r>
      <rPr>
        <sz val="10"/>
        <rFont val="Microsoft YaHei"/>
        <family val="0"/>
        <charset val="1"/>
      </rPr>
      <t xml:space="preserve">6%</t>
    </r>
    <r>
      <rPr>
        <sz val="10"/>
        <rFont val="WenQuanYi Zen Hei"/>
        <family val="2"/>
      </rPr>
      <t xml:space="preserve">法则剩余额度</t>
    </r>
  </si>
  <si>
    <t xml:space="preserve">建议股数</t>
  </si>
  <si>
    <r>
      <rPr>
        <sz val="10"/>
        <rFont val="WenQuanYi Zen Hei"/>
        <family val="2"/>
      </rPr>
      <t xml:space="preserve">铁三角</t>
    </r>
    <r>
      <rPr>
        <sz val="10"/>
        <rFont val="Microsoft YaHei"/>
        <family val="0"/>
        <charset val="1"/>
      </rPr>
      <t xml:space="preserve">:</t>
    </r>
    <r>
      <rPr>
        <sz val="10"/>
        <rFont val="WenQuanYi Zen Hei"/>
        <family val="2"/>
      </rPr>
      <t xml:space="preserve">风险额度</t>
    </r>
    <r>
      <rPr>
        <sz val="10"/>
        <rFont val="Microsoft YaHei"/>
        <family val="0"/>
        <charset val="1"/>
      </rPr>
      <t xml:space="preserve">÷</t>
    </r>
    <r>
      <rPr>
        <sz val="10"/>
        <rFont val="WenQuanYi Zen Hei"/>
        <family val="2"/>
      </rPr>
      <t xml:space="preserve">每股风险</t>
    </r>
    <r>
      <rPr>
        <sz val="10"/>
        <rFont val="Microsoft YaHei"/>
        <family val="0"/>
        <charset val="1"/>
      </rPr>
      <t xml:space="preserve">,</t>
    </r>
    <r>
      <rPr>
        <sz val="10"/>
        <rFont val="WenQuanYi Zen Hei"/>
        <family val="2"/>
      </rPr>
      <t xml:space="preserve">并受单只仓位上限约束</t>
    </r>
    <r>
      <rPr>
        <sz val="10"/>
        <rFont val="Microsoft YaHei"/>
        <family val="0"/>
        <charset val="1"/>
      </rPr>
      <t xml:space="preserve">,</t>
    </r>
    <r>
      <rPr>
        <sz val="10"/>
        <rFont val="WenQuanYi Zen Hei"/>
        <family val="2"/>
      </rPr>
      <t xml:space="preserve">按手取整</t>
    </r>
  </si>
  <si>
    <r>
      <rPr>
        <b val="true"/>
        <sz val="10"/>
        <rFont val="WenQuanYi Zen Hei"/>
        <family val="2"/>
      </rPr>
      <t xml:space="preserve">占用资金</t>
    </r>
    <r>
      <rPr>
        <b val="true"/>
        <sz val="10"/>
        <rFont val="Microsoft YaHei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元</t>
    </r>
    <r>
      <rPr>
        <b val="true"/>
        <sz val="10"/>
        <rFont val="Microsoft YaHei"/>
        <family val="0"/>
        <charset val="1"/>
      </rPr>
      <t xml:space="preserve">)</t>
    </r>
  </si>
  <si>
    <t xml:space="preserve">占账户比例</t>
  </si>
  <si>
    <r>
      <rPr>
        <sz val="9"/>
        <color rgb="FFB00020"/>
        <rFont val="WenQuanYi Zen Hei"/>
        <family val="2"/>
      </rPr>
      <t xml:space="preserve">提示</t>
    </r>
    <r>
      <rPr>
        <sz val="9"/>
        <color rgb="FFB00020"/>
        <rFont val="Microsoft YaHei"/>
        <family val="0"/>
        <charset val="1"/>
      </rPr>
      <t xml:space="preserve">:</t>
    </r>
    <r>
      <rPr>
        <sz val="9"/>
        <color rgb="FFB00020"/>
        <rFont val="WenQuanYi Zen Hei"/>
        <family val="2"/>
      </rPr>
      <t xml:space="preserve">分数阈值、权重与市场温度系数是本方案的设计假设</t>
    </r>
    <r>
      <rPr>
        <sz val="9"/>
        <color rgb="FFB00020"/>
        <rFont val="Microsoft YaHei"/>
        <family val="0"/>
        <charset val="1"/>
      </rPr>
      <t xml:space="preserve">(</t>
    </r>
    <r>
      <rPr>
        <sz val="9"/>
        <color rgb="FFB00020"/>
        <rFont val="WenQuanYi Zen Hei"/>
        <family val="2"/>
      </rPr>
      <t xml:space="preserve">非书中原文</t>
    </r>
    <r>
      <rPr>
        <sz val="9"/>
        <color rgb="FFB00020"/>
        <rFont val="Microsoft YaHei"/>
        <family val="0"/>
        <charset val="1"/>
      </rPr>
      <t xml:space="preserve">),</t>
    </r>
    <r>
      <rPr>
        <sz val="9"/>
        <color rgb="FFB00020"/>
        <rFont val="WenQuanYi Zen Hei"/>
        <family val="2"/>
      </rPr>
      <t xml:space="preserve">将在第三步用 </t>
    </r>
    <r>
      <rPr>
        <sz val="9"/>
        <color rgb="FFB00020"/>
        <rFont val="Microsoft YaHei"/>
        <family val="0"/>
        <charset val="1"/>
      </rPr>
      <t xml:space="preserve">2026 </t>
    </r>
    <r>
      <rPr>
        <sz val="9"/>
        <color rgb="FFB00020"/>
        <rFont val="WenQuanYi Zen Hei"/>
        <family val="2"/>
      </rPr>
      <t xml:space="preserve">年 </t>
    </r>
    <r>
      <rPr>
        <sz val="9"/>
        <color rgb="FFB00020"/>
        <rFont val="Microsoft YaHei"/>
        <family val="0"/>
        <charset val="1"/>
      </rPr>
      <t xml:space="preserve">1 </t>
    </r>
    <r>
      <rPr>
        <sz val="9"/>
        <color rgb="FFB00020"/>
        <rFont val="WenQuanYi Zen Hei"/>
        <family val="2"/>
      </rPr>
      <t xml:space="preserve">月起的历史数据回测校准。</t>
    </r>
  </si>
  <si>
    <r>
      <rPr>
        <b val="true"/>
        <sz val="12"/>
        <color rgb="FF1F3A5F"/>
        <rFont val="WenQuanYi Zen Hei"/>
        <family val="2"/>
      </rPr>
      <t xml:space="preserve">日线数据与指标</t>
    </r>
    <r>
      <rPr>
        <b val="true"/>
        <sz val="12"/>
        <color rgb="FF1F3A5F"/>
        <rFont val="Microsoft YaHei"/>
        <family val="0"/>
        <charset val="1"/>
      </rPr>
      <t xml:space="preserve">(A:F </t>
    </r>
    <r>
      <rPr>
        <b val="true"/>
        <sz val="12"/>
        <color rgb="FF1F3A5F"/>
        <rFont val="WenQuanYi Zen Hei"/>
        <family val="2"/>
      </rPr>
      <t xml:space="preserve">粘贴自己的 </t>
    </r>
    <r>
      <rPr>
        <b val="true"/>
        <sz val="12"/>
        <color rgb="FF1F3A5F"/>
        <rFont val="Microsoft YaHei"/>
        <family val="0"/>
        <charset val="1"/>
      </rPr>
      <t xml:space="preserve">OHLCV;</t>
    </r>
    <r>
      <rPr>
        <b val="true"/>
        <sz val="12"/>
        <color rgb="FF1F3A5F"/>
        <rFont val="WenQuanYi Zen Hei"/>
        <family val="2"/>
      </rPr>
      <t xml:space="preserve">其余列全部为公式。向下追加数据时</t>
    </r>
    <r>
      <rPr>
        <b val="true"/>
        <sz val="12"/>
        <color rgb="FF1F3A5F"/>
        <rFont val="Microsoft YaHei"/>
        <family val="0"/>
        <charset val="1"/>
      </rPr>
      <t xml:space="preserve">,</t>
    </r>
    <r>
      <rPr>
        <b val="true"/>
        <sz val="12"/>
        <color rgb="FF1F3A5F"/>
        <rFont val="WenQuanYi Zen Hei"/>
        <family val="2"/>
      </rPr>
      <t xml:space="preserve">把最后一行公式整行下拉复制</t>
    </r>
    <r>
      <rPr>
        <b val="true"/>
        <sz val="12"/>
        <color rgb="FF1F3A5F"/>
        <rFont val="Microsoft YaHei"/>
        <family val="0"/>
        <charset val="1"/>
      </rPr>
      <t xml:space="preserve">)</t>
    </r>
  </si>
  <si>
    <r>
      <rPr>
        <b val="true"/>
        <sz val="10"/>
        <color rgb="FFB00020"/>
        <rFont val="WenQuanYi Zen Hei"/>
        <family val="2"/>
      </rPr>
      <t xml:space="preserve">※ 当前为合成示例数据</t>
    </r>
    <r>
      <rPr>
        <b val="true"/>
        <sz val="10"/>
        <color rgb="FFB00020"/>
        <rFont val="Microsoft YaHei"/>
        <family val="0"/>
        <charset val="1"/>
      </rPr>
      <t xml:space="preserve">(DEMO),</t>
    </r>
    <r>
      <rPr>
        <b val="true"/>
        <sz val="10"/>
        <color rgb="FFB00020"/>
        <rFont val="WenQuanYi Zen Hei"/>
        <family val="2"/>
      </rPr>
      <t xml:space="preserve">仅用于演示公式</t>
    </r>
    <r>
      <rPr>
        <b val="true"/>
        <sz val="10"/>
        <color rgb="FFB00020"/>
        <rFont val="Microsoft YaHei"/>
        <family val="0"/>
        <charset val="1"/>
      </rPr>
      <t xml:space="preserve">,</t>
    </r>
    <r>
      <rPr>
        <b val="true"/>
        <sz val="10"/>
        <color rgb="FFB00020"/>
        <rFont val="WenQuanYi Zen Hei"/>
        <family val="2"/>
      </rPr>
      <t xml:space="preserve">不是真实行情。</t>
    </r>
  </si>
  <si>
    <r>
      <rPr>
        <b val="true"/>
        <sz val="9"/>
        <color rgb="FF1F3A5F"/>
        <rFont val="WenQuanYi Zen Hei"/>
        <family val="2"/>
      </rPr>
      <t xml:space="preserve">行情</t>
    </r>
    <r>
      <rPr>
        <b val="true"/>
        <sz val="9"/>
        <color rgb="FF1F3A5F"/>
        <rFont val="Microsoft YaHei"/>
        <family val="0"/>
        <charset val="1"/>
      </rPr>
      <t xml:space="preserve">(</t>
    </r>
    <r>
      <rPr>
        <b val="true"/>
        <sz val="9"/>
        <color rgb="FF1F3A5F"/>
        <rFont val="WenQuanYi Zen Hei"/>
        <family val="2"/>
      </rPr>
      <t xml:space="preserve">粘贴区</t>
    </r>
    <r>
      <rPr>
        <b val="true"/>
        <sz val="9"/>
        <color rgb="FF1F3A5F"/>
        <rFont val="Microsoft YaHei"/>
        <family val="0"/>
        <charset val="1"/>
      </rPr>
      <t xml:space="preserve">)</t>
    </r>
  </si>
  <si>
    <t xml:space="preserve">趋势</t>
  </si>
  <si>
    <t xml:space="preserve">MACD</t>
  </si>
  <si>
    <t xml:space="preserve">动力系统</t>
  </si>
  <si>
    <t xml:space="preserve">强力指数</t>
  </si>
  <si>
    <r>
      <rPr>
        <b val="true"/>
        <sz val="9"/>
        <color rgb="FF1F3A5F"/>
        <rFont val="WenQuanYi Zen Hei"/>
        <family val="2"/>
      </rPr>
      <t xml:space="preserve">波动率</t>
    </r>
    <r>
      <rPr>
        <b val="true"/>
        <sz val="9"/>
        <color rgb="FF1F3A5F"/>
        <rFont val="Microsoft YaHei"/>
        <family val="0"/>
        <charset val="1"/>
      </rPr>
      <t xml:space="preserve">/ADX</t>
    </r>
  </si>
  <si>
    <t xml:space="preserve">通道</t>
  </si>
  <si>
    <t xml:space="preserve">随机指标</t>
  </si>
  <si>
    <r>
      <rPr>
        <b val="true"/>
        <sz val="9"/>
        <color rgb="FF1F3A5F"/>
        <rFont val="WenQuanYi Zen Hei"/>
        <family val="2"/>
      </rPr>
      <t xml:space="preserve">挂单</t>
    </r>
    <r>
      <rPr>
        <b val="true"/>
        <sz val="9"/>
        <color rgb="FF1F3A5F"/>
        <rFont val="Microsoft YaHei"/>
        <family val="0"/>
        <charset val="1"/>
      </rPr>
      <t xml:space="preserve">/</t>
    </r>
    <r>
      <rPr>
        <b val="true"/>
        <sz val="9"/>
        <color rgb="FF1F3A5F"/>
        <rFont val="WenQuanYi Zen Hei"/>
        <family val="2"/>
      </rPr>
      <t xml:space="preserve">止损</t>
    </r>
  </si>
  <si>
    <t xml:space="preserve">背离</t>
  </si>
  <si>
    <t xml:space="preserve">信号</t>
  </si>
  <si>
    <r>
      <rPr>
        <b val="true"/>
        <sz val="9"/>
        <color rgb="FF1F3A5F"/>
        <rFont val="WenQuanYi Zen Hei"/>
        <family val="2"/>
      </rPr>
      <t xml:space="preserve">周线状态</t>
    </r>
    <r>
      <rPr>
        <b val="true"/>
        <sz val="9"/>
        <color rgb="FF1F3A5F"/>
        <rFont val="Microsoft YaHei"/>
        <family val="0"/>
        <charset val="1"/>
      </rPr>
      <t xml:space="preserve">(</t>
    </r>
    <r>
      <rPr>
        <b val="true"/>
        <sz val="9"/>
        <color rgb="FF1F3A5F"/>
        <rFont val="WenQuanYi Zen Hei"/>
        <family val="2"/>
      </rPr>
      <t xml:space="preserve">上一完整周</t>
    </r>
    <r>
      <rPr>
        <b val="true"/>
        <sz val="9"/>
        <color rgb="FF1F3A5F"/>
        <rFont val="Microsoft YaHei"/>
        <family val="0"/>
        <charset val="1"/>
      </rPr>
      <t xml:space="preserve">)</t>
    </r>
  </si>
  <si>
    <t xml:space="preserve">评分</t>
  </si>
  <si>
    <t xml:space="preserve">日期</t>
  </si>
  <si>
    <t xml:space="preserve">开盘</t>
  </si>
  <si>
    <t xml:space="preserve">最高</t>
  </si>
  <si>
    <t xml:space="preserve">最低</t>
  </si>
  <si>
    <t xml:space="preserve">收盘</t>
  </si>
  <si>
    <t xml:space="preserve">成交量</t>
  </si>
  <si>
    <r>
      <rPr>
        <b val="true"/>
        <sz val="10"/>
        <color rgb="FFFFFFFF"/>
        <rFont val="WenQuanYi Zen Hei"/>
        <family val="2"/>
      </rPr>
      <t xml:space="preserve">周键</t>
    </r>
    <r>
      <rPr>
        <b val="true"/>
        <sz val="10"/>
        <color rgb="FFFFFFFF"/>
        <rFont val="Microsoft YaHe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周一</t>
    </r>
    <r>
      <rPr>
        <b val="true"/>
        <sz val="10"/>
        <color rgb="FFFFFFFF"/>
        <rFont val="Microsoft YaHei"/>
        <family val="0"/>
        <charset val="1"/>
      </rPr>
      <t xml:space="preserve">)</t>
    </r>
  </si>
  <si>
    <r>
      <rPr>
        <b val="true"/>
        <sz val="10"/>
        <color rgb="FFFFFFFF"/>
        <rFont val="Microsoft YaHei"/>
        <family val="0"/>
        <charset val="1"/>
      </rPr>
      <t xml:space="preserve">EMA</t>
    </r>
    <r>
      <rPr>
        <b val="true"/>
        <sz val="10"/>
        <color rgb="FFFFFFFF"/>
        <rFont val="WenQuanYi Zen Hei"/>
        <family val="2"/>
      </rPr>
      <t xml:space="preserve">快</t>
    </r>
  </si>
  <si>
    <r>
      <rPr>
        <b val="true"/>
        <sz val="10"/>
        <color rgb="FFFFFFFF"/>
        <rFont val="Microsoft YaHei"/>
        <family val="0"/>
        <charset val="1"/>
      </rPr>
      <t xml:space="preserve">EMA</t>
    </r>
    <r>
      <rPr>
        <b val="true"/>
        <sz val="10"/>
        <color rgb="FFFFFFFF"/>
        <rFont val="WenQuanYi Zen Hei"/>
        <family val="2"/>
      </rPr>
      <t xml:space="preserve">慢</t>
    </r>
  </si>
  <si>
    <t xml:space="preserve">EMA12</t>
  </si>
  <si>
    <t xml:space="preserve">EMA26</t>
  </si>
  <si>
    <r>
      <rPr>
        <b val="true"/>
        <sz val="10"/>
        <color rgb="FFFFFFFF"/>
        <rFont val="Microsoft YaHei"/>
        <family val="0"/>
        <charset val="1"/>
      </rPr>
      <t xml:space="preserve">MACD</t>
    </r>
    <r>
      <rPr>
        <b val="true"/>
        <sz val="10"/>
        <color rgb="FFFFFFFF"/>
        <rFont val="WenQuanYi Zen Hei"/>
        <family val="2"/>
      </rPr>
      <t xml:space="preserve">线</t>
    </r>
  </si>
  <si>
    <t xml:space="preserve">信号线</t>
  </si>
  <si>
    <r>
      <rPr>
        <b val="true"/>
        <sz val="10"/>
        <color rgb="FFFFFFFF"/>
        <rFont val="Microsoft YaHei"/>
        <family val="0"/>
        <charset val="1"/>
      </rPr>
      <t xml:space="preserve">MACD</t>
    </r>
    <r>
      <rPr>
        <b val="true"/>
        <sz val="10"/>
        <color rgb="FFFFFFFF"/>
        <rFont val="WenQuanYi Zen Hei"/>
        <family val="2"/>
      </rPr>
      <t xml:space="preserve">柱</t>
    </r>
  </si>
  <si>
    <r>
      <rPr>
        <b val="true"/>
        <sz val="10"/>
        <color rgb="FFFFFFFF"/>
        <rFont val="Microsoft YaHei"/>
        <family val="0"/>
        <charset val="1"/>
      </rPr>
      <t xml:space="preserve">EMA</t>
    </r>
    <r>
      <rPr>
        <b val="true"/>
        <sz val="10"/>
        <color rgb="FFFFFFFF"/>
        <rFont val="WenQuanYi Zen Hei"/>
        <family val="2"/>
      </rPr>
      <t xml:space="preserve">快↑</t>
    </r>
  </si>
  <si>
    <r>
      <rPr>
        <b val="true"/>
        <sz val="10"/>
        <color rgb="FFFFFFFF"/>
        <rFont val="Microsoft YaHei"/>
        <family val="0"/>
        <charset val="1"/>
      </rPr>
      <t xml:space="preserve">EMA</t>
    </r>
    <r>
      <rPr>
        <b val="true"/>
        <sz val="10"/>
        <color rgb="FFFFFFFF"/>
        <rFont val="WenQuanYi Zen Hei"/>
        <family val="2"/>
      </rPr>
      <t xml:space="preserve">快↓</t>
    </r>
  </si>
  <si>
    <t xml:space="preserve">柱↑</t>
  </si>
  <si>
    <t xml:space="preserve">柱↓</t>
  </si>
  <si>
    <r>
      <rPr>
        <b val="true"/>
        <sz val="10"/>
        <color rgb="FFFFFFFF"/>
        <rFont val="WenQuanYi Zen Hei"/>
        <family val="2"/>
      </rPr>
      <t xml:space="preserve">动力系统</t>
    </r>
    <r>
      <rPr>
        <b val="true"/>
        <sz val="10"/>
        <color rgb="FFFFFFFF"/>
        <rFont val="Microsoft YaHei"/>
        <family val="0"/>
        <charset val="1"/>
      </rPr>
      <t xml:space="preserve">(1</t>
    </r>
    <r>
      <rPr>
        <b val="true"/>
        <sz val="10"/>
        <color rgb="FFFFFFFF"/>
        <rFont val="WenQuanYi Zen Hei"/>
        <family val="2"/>
      </rPr>
      <t xml:space="preserve">绿</t>
    </r>
    <r>
      <rPr>
        <b val="true"/>
        <sz val="10"/>
        <color rgb="FFFFFFFF"/>
        <rFont val="Microsoft YaHei"/>
        <family val="0"/>
        <charset val="1"/>
      </rPr>
      <t xml:space="preserve">/-1</t>
    </r>
    <r>
      <rPr>
        <b val="true"/>
        <sz val="10"/>
        <color rgb="FFFFFFFF"/>
        <rFont val="WenQuanYi Zen Hei"/>
        <family val="2"/>
      </rPr>
      <t xml:space="preserve">红</t>
    </r>
    <r>
      <rPr>
        <b val="true"/>
        <sz val="10"/>
        <color rgb="FFFFFFFF"/>
        <rFont val="Microsoft YaHei"/>
        <family val="0"/>
        <charset val="1"/>
      </rPr>
      <t xml:space="preserve">/0</t>
    </r>
    <r>
      <rPr>
        <b val="true"/>
        <sz val="10"/>
        <color rgb="FFFFFFFF"/>
        <rFont val="WenQuanYi Zen Hei"/>
        <family val="2"/>
      </rPr>
      <t xml:space="preserve">蓝</t>
    </r>
    <r>
      <rPr>
        <b val="true"/>
        <sz val="10"/>
        <color rgb="FFFFFFFF"/>
        <rFont val="Microsoft YaHei"/>
        <family val="0"/>
        <charset val="1"/>
      </rPr>
      <t xml:space="preserve">)</t>
    </r>
  </si>
  <si>
    <t xml:space="preserve">颜色</t>
  </si>
  <si>
    <r>
      <rPr>
        <b val="true"/>
        <sz val="10"/>
        <color rgb="FFFFFFFF"/>
        <rFont val="Microsoft YaHei"/>
        <family val="0"/>
        <charset val="1"/>
      </rPr>
      <t xml:space="preserve">FI-2</t>
    </r>
    <r>
      <rPr>
        <b val="true"/>
        <sz val="10"/>
        <color rgb="FFFFFFFF"/>
        <rFont val="WenQuanYi Zen Hei"/>
        <family val="2"/>
      </rPr>
      <t xml:space="preserve">日</t>
    </r>
    <r>
      <rPr>
        <b val="true"/>
        <sz val="10"/>
        <color rgb="FFFFFFFF"/>
        <rFont val="Microsoft YaHei"/>
        <family val="0"/>
        <charset val="1"/>
      </rPr>
      <t xml:space="preserve">EMA</t>
    </r>
  </si>
  <si>
    <r>
      <rPr>
        <b val="true"/>
        <sz val="10"/>
        <color rgb="FFFFFFFF"/>
        <rFont val="Microsoft YaHei"/>
        <family val="0"/>
        <charset val="1"/>
      </rPr>
      <t xml:space="preserve">FI-13</t>
    </r>
    <r>
      <rPr>
        <b val="true"/>
        <sz val="10"/>
        <color rgb="FFFFFFFF"/>
        <rFont val="WenQuanYi Zen Hei"/>
        <family val="2"/>
      </rPr>
      <t xml:space="preserve">日</t>
    </r>
    <r>
      <rPr>
        <b val="true"/>
        <sz val="10"/>
        <color rgb="FFFFFFFF"/>
        <rFont val="Microsoft YaHei"/>
        <family val="0"/>
        <charset val="1"/>
      </rPr>
      <t xml:space="preserve">EMA</t>
    </r>
  </si>
  <si>
    <r>
      <rPr>
        <b val="true"/>
        <sz val="10"/>
        <color rgb="FFFFFFFF"/>
        <rFont val="WenQuanYi Zen Hei"/>
        <family val="2"/>
      </rPr>
      <t xml:space="preserve">真实波幅</t>
    </r>
    <r>
      <rPr>
        <b val="true"/>
        <sz val="10"/>
        <color rgb="FFFFFFFF"/>
        <rFont val="Microsoft YaHei"/>
        <family val="0"/>
        <charset val="1"/>
      </rPr>
      <t xml:space="preserve">TR</t>
    </r>
  </si>
  <si>
    <t xml:space="preserve">ATR</t>
  </si>
  <si>
    <t xml:space="preserve">+DM</t>
  </si>
  <si>
    <t xml:space="preserve">-DM</t>
  </si>
  <si>
    <r>
      <rPr>
        <b val="true"/>
        <sz val="10"/>
        <color rgb="FFFFFFFF"/>
        <rFont val="WenQuanYi Zen Hei"/>
        <family val="2"/>
      </rPr>
      <t xml:space="preserve">平滑</t>
    </r>
    <r>
      <rPr>
        <b val="true"/>
        <sz val="10"/>
        <color rgb="FFFFFFFF"/>
        <rFont val="Microsoft YaHei"/>
        <family val="0"/>
        <charset val="1"/>
      </rPr>
      <t xml:space="preserve">TR</t>
    </r>
  </si>
  <si>
    <r>
      <rPr>
        <b val="true"/>
        <sz val="10"/>
        <color rgb="FFFFFFFF"/>
        <rFont val="WenQuanYi Zen Hei"/>
        <family val="2"/>
      </rPr>
      <t xml:space="preserve">平滑</t>
    </r>
    <r>
      <rPr>
        <b val="true"/>
        <sz val="10"/>
        <color rgb="FFFFFFFF"/>
        <rFont val="Microsoft YaHei"/>
        <family val="0"/>
        <charset val="1"/>
      </rPr>
      <t xml:space="preserve">+DM</t>
    </r>
  </si>
  <si>
    <r>
      <rPr>
        <b val="true"/>
        <sz val="10"/>
        <color rgb="FFFFFFFF"/>
        <rFont val="WenQuanYi Zen Hei"/>
        <family val="2"/>
      </rPr>
      <t xml:space="preserve">平滑</t>
    </r>
    <r>
      <rPr>
        <b val="true"/>
        <sz val="10"/>
        <color rgb="FFFFFFFF"/>
        <rFont val="Microsoft YaHei"/>
        <family val="0"/>
        <charset val="1"/>
      </rPr>
      <t xml:space="preserve">-DM</t>
    </r>
  </si>
  <si>
    <t xml:space="preserve">+DI</t>
  </si>
  <si>
    <t xml:space="preserve">-DI</t>
  </si>
  <si>
    <t xml:space="preserve">DX</t>
  </si>
  <si>
    <t xml:space="preserve">ADX</t>
  </si>
  <si>
    <t xml:space="preserve">通道上轨</t>
  </si>
  <si>
    <t xml:space="preserve">通道下轨</t>
  </si>
  <si>
    <t xml:space="preserve">ATR+1</t>
  </si>
  <si>
    <t xml:space="preserve">ATR+2</t>
  </si>
  <si>
    <t xml:space="preserve">ATR+3</t>
  </si>
  <si>
    <t xml:space="preserve">ATR-1</t>
  </si>
  <si>
    <t xml:space="preserve">ATR-2</t>
  </si>
  <si>
    <t xml:space="preserve">ATR-3</t>
  </si>
  <si>
    <r>
      <rPr>
        <b val="true"/>
        <sz val="10"/>
        <color rgb="FFFFFFFF"/>
        <rFont val="Microsoft YaHei"/>
        <family val="0"/>
        <charset val="1"/>
      </rPr>
      <t xml:space="preserve">N</t>
    </r>
    <r>
      <rPr>
        <b val="true"/>
        <sz val="10"/>
        <color rgb="FFFFFFFF"/>
        <rFont val="WenQuanYi Zen Hei"/>
        <family val="2"/>
      </rPr>
      <t xml:space="preserve">日最高</t>
    </r>
  </si>
  <si>
    <r>
      <rPr>
        <b val="true"/>
        <sz val="10"/>
        <color rgb="FFFFFFFF"/>
        <rFont val="Microsoft YaHei"/>
        <family val="0"/>
        <charset val="1"/>
      </rPr>
      <t xml:space="preserve">N</t>
    </r>
    <r>
      <rPr>
        <b val="true"/>
        <sz val="10"/>
        <color rgb="FFFFFFFF"/>
        <rFont val="WenQuanYi Zen Hei"/>
        <family val="2"/>
      </rPr>
      <t xml:space="preserve">日最低</t>
    </r>
  </si>
  <si>
    <r>
      <rPr>
        <b val="true"/>
        <sz val="10"/>
        <color rgb="FFFFFFFF"/>
        <rFont val="WenQuanYi Zen Hei"/>
        <family val="2"/>
      </rPr>
      <t xml:space="preserve">原始</t>
    </r>
    <r>
      <rPr>
        <b val="true"/>
        <sz val="10"/>
        <color rgb="FFFFFFFF"/>
        <rFont val="Microsoft YaHei"/>
        <family val="0"/>
        <charset val="1"/>
      </rPr>
      <t xml:space="preserve">%K</t>
    </r>
  </si>
  <si>
    <r>
      <rPr>
        <b val="true"/>
        <sz val="10"/>
        <color rgb="FFFFFFFF"/>
        <rFont val="WenQuanYi Zen Hei"/>
        <family val="2"/>
      </rPr>
      <t xml:space="preserve">慢</t>
    </r>
    <r>
      <rPr>
        <b val="true"/>
        <sz val="10"/>
        <color rgb="FFFFFFFF"/>
        <rFont val="Microsoft YaHei"/>
        <family val="0"/>
        <charset val="1"/>
      </rPr>
      <t xml:space="preserve">%K</t>
    </r>
  </si>
  <si>
    <r>
      <rPr>
        <b val="true"/>
        <sz val="10"/>
        <color rgb="FFFFFFFF"/>
        <rFont val="WenQuanYi Zen Hei"/>
        <family val="2"/>
      </rPr>
      <t xml:space="preserve">慢</t>
    </r>
    <r>
      <rPr>
        <b val="true"/>
        <sz val="10"/>
        <color rgb="FFFFFFFF"/>
        <rFont val="Microsoft YaHei"/>
        <family val="0"/>
        <charset val="1"/>
      </rPr>
      <t xml:space="preserve">%D</t>
    </r>
  </si>
  <si>
    <r>
      <rPr>
        <b val="true"/>
        <sz val="10"/>
        <color rgb="FFFFFFFF"/>
        <rFont val="WenQuanYi Zen Hei"/>
        <family val="2"/>
      </rPr>
      <t xml:space="preserve">下穿</t>
    </r>
    <r>
      <rPr>
        <b val="true"/>
        <sz val="10"/>
        <color rgb="FFFFFFFF"/>
        <rFont val="Microsoft YaHei"/>
        <family val="0"/>
        <charset val="1"/>
      </rPr>
      <t xml:space="preserve">EMA</t>
    </r>
    <r>
      <rPr>
        <b val="true"/>
        <sz val="10"/>
        <color rgb="FFFFFFFF"/>
        <rFont val="WenQuanYi Zen Hei"/>
        <family val="2"/>
      </rPr>
      <t xml:space="preserve">快深度</t>
    </r>
  </si>
  <si>
    <t xml:space="preserve">平均下跌穿透</t>
  </si>
  <si>
    <r>
      <rPr>
        <b val="true"/>
        <sz val="10"/>
        <color rgb="FFFFFFFF"/>
        <rFont val="WenQuanYi Zen Hei"/>
        <family val="2"/>
      </rPr>
      <t xml:space="preserve">明日</t>
    </r>
    <r>
      <rPr>
        <b val="true"/>
        <sz val="10"/>
        <color rgb="FFFFFFFF"/>
        <rFont val="Microsoft YaHei"/>
        <family val="0"/>
        <charset val="1"/>
      </rPr>
      <t xml:space="preserve">EMA</t>
    </r>
    <r>
      <rPr>
        <b val="true"/>
        <sz val="10"/>
        <color rgb="FFFFFFFF"/>
        <rFont val="WenQuanYi Zen Hei"/>
        <family val="2"/>
      </rPr>
      <t xml:space="preserve">估计</t>
    </r>
  </si>
  <si>
    <t xml:space="preserve">买入挂单价</t>
  </si>
  <si>
    <t xml:space="preserve">近期次低点</t>
  </si>
  <si>
    <r>
      <rPr>
        <b val="true"/>
        <sz val="10"/>
        <color rgb="FFFFFFFF"/>
        <rFont val="WenQuanYi Zen Hei"/>
        <family val="2"/>
      </rPr>
      <t xml:space="preserve">目标价</t>
    </r>
    <r>
      <rPr>
        <b val="true"/>
        <sz val="10"/>
        <color rgb="FFFFFFFF"/>
        <rFont val="Microsoft YaHe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上轨</t>
    </r>
    <r>
      <rPr>
        <b val="true"/>
        <sz val="10"/>
        <color rgb="FFFFFFFF"/>
        <rFont val="Microsoft YaHei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</si>
  <si>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柱</t>
    </r>
    <r>
      <rPr>
        <b val="true"/>
        <sz val="10"/>
        <color rgb="FFFFFFFF"/>
        <rFont val="Microsoft YaHei"/>
        <family val="0"/>
        <charset val="1"/>
      </rPr>
      <t xml:space="preserve">&lt;0</t>
    </r>
  </si>
  <si>
    <t xml:space="preserve">当前区段柱谷</t>
  </si>
  <si>
    <t xml:space="preserve">当前区段价低</t>
  </si>
  <si>
    <t xml:space="preserve">谷位置</t>
  </si>
  <si>
    <t xml:space="preserve">前一谷柱值</t>
  </si>
  <si>
    <t xml:space="preserve">前一谷价低</t>
  </si>
  <si>
    <t xml:space="preserve">前谷位置</t>
  </si>
  <si>
    <t xml:space="preserve">两谷间隔</t>
  </si>
  <si>
    <t xml:space="preserve">牛市背离</t>
  </si>
  <si>
    <t xml:space="preserve">向下假突破</t>
  </si>
  <si>
    <t xml:space="preserve">强背离</t>
  </si>
  <si>
    <r>
      <rPr>
        <b val="true"/>
        <sz val="10"/>
        <color rgb="FFFFFFFF"/>
        <rFont val="Microsoft YaHei"/>
        <family val="0"/>
        <charset val="1"/>
      </rPr>
      <t xml:space="preserve">FI2</t>
    </r>
    <r>
      <rPr>
        <b val="true"/>
        <sz val="10"/>
        <color rgb="FFFFFFFF"/>
        <rFont val="WenQuanYi Zen Hei"/>
        <family val="2"/>
      </rPr>
      <t xml:space="preserve">非新低</t>
    </r>
  </si>
  <si>
    <r>
      <rPr>
        <b val="true"/>
        <sz val="10"/>
        <color rgb="FFFFFFFF"/>
        <rFont val="Microsoft YaHei"/>
        <family val="0"/>
        <charset val="1"/>
      </rPr>
      <t xml:space="preserve">FI2</t>
    </r>
    <r>
      <rPr>
        <b val="true"/>
        <sz val="10"/>
        <color rgb="FFFFFFFF"/>
        <rFont val="WenQuanYi Zen Hei"/>
        <family val="2"/>
      </rPr>
      <t xml:space="preserve">负值均值</t>
    </r>
  </si>
  <si>
    <t xml:space="preserve">极端超卖反弹</t>
  </si>
  <si>
    <r>
      <rPr>
        <b val="true"/>
        <sz val="10"/>
        <color rgb="FFFFFFFF"/>
        <rFont val="Microsoft YaHei"/>
        <family val="0"/>
        <charset val="1"/>
      </rPr>
      <t xml:space="preserve">5</t>
    </r>
    <r>
      <rPr>
        <b val="true"/>
        <sz val="10"/>
        <color rgb="FFFFFFFF"/>
        <rFont val="WenQuanYi Zen Hei"/>
        <family val="2"/>
      </rPr>
      <t xml:space="preserve">日均量</t>
    </r>
  </si>
  <si>
    <r>
      <rPr>
        <b val="true"/>
        <sz val="10"/>
        <color rgb="FFFFFFFF"/>
        <rFont val="WenQuanYi Zen Hei"/>
        <family val="2"/>
      </rPr>
      <t xml:space="preserve">上周</t>
    </r>
    <r>
      <rPr>
        <b val="true"/>
        <sz val="10"/>
        <color rgb="FFFFFFFF"/>
        <rFont val="Microsoft YaHei"/>
        <family val="0"/>
        <charset val="1"/>
      </rPr>
      <t xml:space="preserve">EMA</t>
    </r>
    <r>
      <rPr>
        <b val="true"/>
        <sz val="10"/>
        <color rgb="FFFFFFFF"/>
        <rFont val="WenQuanYi Zen Hei"/>
        <family val="2"/>
      </rPr>
      <t xml:space="preserve">慢↑</t>
    </r>
  </si>
  <si>
    <t xml:space="preserve">上周柱↑</t>
  </si>
  <si>
    <t xml:space="preserve">上周动力</t>
  </si>
  <si>
    <r>
      <rPr>
        <b val="true"/>
        <sz val="10"/>
        <color rgb="FFFFFFFF"/>
        <rFont val="WenQuanYi Zen Hei"/>
        <family val="2"/>
      </rPr>
      <t xml:space="preserve">形态</t>
    </r>
    <r>
      <rPr>
        <b val="true"/>
        <sz val="10"/>
        <color rgb="FFFFFFFF"/>
        <rFont val="Microsoft YaHei"/>
        <family val="0"/>
        <charset val="1"/>
      </rPr>
      <t xml:space="preserve">A</t>
    </r>
    <r>
      <rPr>
        <b val="true"/>
        <sz val="10"/>
        <color rgb="FFFFFFFF"/>
        <rFont val="WenQuanYi Zen Hei"/>
        <family val="2"/>
      </rPr>
      <t xml:space="preserve">回调到价值区</t>
    </r>
  </si>
  <si>
    <r>
      <rPr>
        <b val="true"/>
        <sz val="10"/>
        <color rgb="FFFFFFFF"/>
        <rFont val="WenQuanYi Zen Hei"/>
        <family val="2"/>
      </rPr>
      <t xml:space="preserve">形态</t>
    </r>
    <r>
      <rPr>
        <b val="true"/>
        <sz val="10"/>
        <color rgb="FFFFFFFF"/>
        <rFont val="Microsoft YaHei"/>
        <family val="0"/>
        <charset val="1"/>
      </rPr>
      <t xml:space="preserve">B</t>
    </r>
    <r>
      <rPr>
        <b val="true"/>
        <sz val="10"/>
        <color rgb="FFFFFFFF"/>
        <rFont val="WenQuanYi Zen Hei"/>
        <family val="2"/>
      </rPr>
      <t xml:space="preserve">背离</t>
    </r>
  </si>
  <si>
    <r>
      <rPr>
        <b val="true"/>
        <sz val="10"/>
        <color rgb="FFFFFFFF"/>
        <rFont val="WenQuanYi Zen Hei"/>
        <family val="2"/>
      </rPr>
      <t xml:space="preserve">形态</t>
    </r>
    <r>
      <rPr>
        <b val="true"/>
        <sz val="10"/>
        <color rgb="FFFFFFFF"/>
        <rFont val="Microsoft YaHei"/>
        <family val="0"/>
        <charset val="1"/>
      </rPr>
      <t xml:space="preserve">C</t>
    </r>
    <r>
      <rPr>
        <b val="true"/>
        <sz val="10"/>
        <color rgb="FFFFFFFF"/>
        <rFont val="WenQuanYi Zen Hei"/>
        <family val="2"/>
      </rPr>
      <t xml:space="preserve">极端</t>
    </r>
  </si>
  <si>
    <r>
      <rPr>
        <b val="true"/>
        <sz val="10"/>
        <color rgb="FFFFFFFF"/>
        <rFont val="WenQuanYi Zen Hei"/>
        <family val="2"/>
      </rPr>
      <t xml:space="preserve">趋势</t>
    </r>
    <r>
      <rPr>
        <b val="true"/>
        <sz val="10"/>
        <color rgb="FFFFFFFF"/>
        <rFont val="Microsoft YaHei"/>
        <family val="0"/>
        <charset val="1"/>
      </rPr>
      <t xml:space="preserve">25</t>
    </r>
  </si>
  <si>
    <r>
      <rPr>
        <b val="true"/>
        <sz val="10"/>
        <color rgb="FFFFFFFF"/>
        <rFont val="WenQuanYi Zen Hei"/>
        <family val="2"/>
      </rPr>
      <t xml:space="preserve">回调</t>
    </r>
    <r>
      <rPr>
        <b val="true"/>
        <sz val="10"/>
        <color rgb="FFFFFFFF"/>
        <rFont val="Microsoft YaHei"/>
        <family val="0"/>
        <charset val="1"/>
      </rPr>
      <t xml:space="preserve">25</t>
    </r>
  </si>
  <si>
    <r>
      <rPr>
        <b val="true"/>
        <sz val="10"/>
        <color rgb="FFFFFFFF"/>
        <rFont val="WenQuanYi Zen Hei"/>
        <family val="2"/>
      </rPr>
      <t xml:space="preserve">形态</t>
    </r>
    <r>
      <rPr>
        <b val="true"/>
        <sz val="10"/>
        <color rgb="FFFFFFFF"/>
        <rFont val="Microsoft YaHei"/>
        <family val="0"/>
        <charset val="1"/>
      </rPr>
      <t xml:space="preserve">25</t>
    </r>
  </si>
  <si>
    <r>
      <rPr>
        <b val="true"/>
        <sz val="10"/>
        <color rgb="FFFFFFFF"/>
        <rFont val="WenQuanYi Zen Hei"/>
        <family val="2"/>
      </rPr>
      <t xml:space="preserve">量能</t>
    </r>
    <r>
      <rPr>
        <b val="true"/>
        <sz val="10"/>
        <color rgb="FFFFFFFF"/>
        <rFont val="Microsoft YaHei"/>
        <family val="0"/>
        <charset val="1"/>
      </rPr>
      <t xml:space="preserve">10</t>
    </r>
  </si>
  <si>
    <r>
      <rPr>
        <b val="true"/>
        <sz val="10"/>
        <color rgb="FFFFFFFF"/>
        <rFont val="WenQuanYi Zen Hei"/>
        <family val="2"/>
      </rPr>
      <t xml:space="preserve">盈亏</t>
    </r>
    <r>
      <rPr>
        <b val="true"/>
        <sz val="10"/>
        <color rgb="FFFFFFFF"/>
        <rFont val="Microsoft YaHei"/>
        <family val="0"/>
        <charset val="1"/>
      </rPr>
      <t xml:space="preserve">15</t>
    </r>
  </si>
  <si>
    <r>
      <rPr>
        <b val="true"/>
        <sz val="10"/>
        <color rgb="FFFFFFFF"/>
        <rFont val="WenQuanYi Zen Hei"/>
        <family val="2"/>
      </rPr>
      <t xml:space="preserve">否决</t>
    </r>
    <r>
      <rPr>
        <b val="true"/>
        <sz val="10"/>
        <color rgb="FFFFFFFF"/>
        <rFont val="Microsoft YaHei"/>
        <family val="0"/>
        <charset val="1"/>
      </rPr>
      <t xml:space="preserve">:</t>
    </r>
    <r>
      <rPr>
        <b val="true"/>
        <sz val="10"/>
        <color rgb="FFFFFFFF"/>
        <rFont val="WenQuanYi Zen Hei"/>
        <family val="2"/>
      </rPr>
      <t xml:space="preserve">周趋势</t>
    </r>
  </si>
  <si>
    <r>
      <rPr>
        <b val="true"/>
        <sz val="10"/>
        <color rgb="FFFFFFFF"/>
        <rFont val="WenQuanYi Zen Hei"/>
        <family val="2"/>
      </rPr>
      <t xml:space="preserve">否决</t>
    </r>
    <r>
      <rPr>
        <b val="true"/>
        <sz val="10"/>
        <color rgb="FFFFFFFF"/>
        <rFont val="Microsoft YaHei"/>
        <family val="0"/>
        <charset val="1"/>
      </rPr>
      <t xml:space="preserve">:</t>
    </r>
    <r>
      <rPr>
        <b val="true"/>
        <sz val="10"/>
        <color rgb="FFFFFFFF"/>
        <rFont val="WenQuanYi Zen Hei"/>
        <family val="2"/>
      </rPr>
      <t xml:space="preserve">周红</t>
    </r>
  </si>
  <si>
    <r>
      <rPr>
        <b val="true"/>
        <sz val="10"/>
        <color rgb="FFFFFFFF"/>
        <rFont val="WenQuanYi Zen Hei"/>
        <family val="2"/>
      </rPr>
      <t xml:space="preserve">否决</t>
    </r>
    <r>
      <rPr>
        <b val="true"/>
        <sz val="10"/>
        <color rgb="FFFFFFFF"/>
        <rFont val="Microsoft YaHei"/>
        <family val="0"/>
        <charset val="1"/>
      </rPr>
      <t xml:space="preserve">:</t>
    </r>
    <r>
      <rPr>
        <b val="true"/>
        <sz val="10"/>
        <color rgb="FFFFFFFF"/>
        <rFont val="WenQuanYi Zen Hei"/>
        <family val="2"/>
      </rPr>
      <t xml:space="preserve">日红</t>
    </r>
  </si>
  <si>
    <r>
      <rPr>
        <b val="true"/>
        <sz val="10"/>
        <color rgb="FFFFFFFF"/>
        <rFont val="WenQuanYi Zen Hei"/>
        <family val="2"/>
      </rPr>
      <t xml:space="preserve">否决</t>
    </r>
    <r>
      <rPr>
        <b val="true"/>
        <sz val="10"/>
        <color rgb="FFFFFFFF"/>
        <rFont val="Microsoft YaHei"/>
        <family val="0"/>
        <charset val="1"/>
      </rPr>
      <t xml:space="preserve">:</t>
    </r>
    <r>
      <rPr>
        <b val="true"/>
        <sz val="10"/>
        <color rgb="FFFFFFFF"/>
        <rFont val="WenQuanYi Zen Hei"/>
        <family val="2"/>
      </rPr>
      <t xml:space="preserve">无形态</t>
    </r>
  </si>
  <si>
    <r>
      <rPr>
        <b val="true"/>
        <sz val="10"/>
        <color rgb="FFFFFFFF"/>
        <rFont val="WenQuanYi Zen Hei"/>
        <family val="2"/>
      </rPr>
      <t xml:space="preserve">否决</t>
    </r>
    <r>
      <rPr>
        <b val="true"/>
        <sz val="10"/>
        <color rgb="FFFFFFFF"/>
        <rFont val="Microsoft YaHei"/>
        <family val="0"/>
        <charset val="1"/>
      </rPr>
      <t xml:space="preserve">:RR&lt;2</t>
    </r>
  </si>
  <si>
    <t xml:space="preserve">评级</t>
  </si>
  <si>
    <r>
      <rPr>
        <b val="true"/>
        <sz val="12"/>
        <color rgb="FF1F3A5F"/>
        <rFont val="WenQuanYi Zen Hei"/>
        <family val="2"/>
      </rPr>
      <t xml:space="preserve">周线</t>
    </r>
    <r>
      <rPr>
        <b val="true"/>
        <sz val="12"/>
        <color rgb="FF1F3A5F"/>
        <rFont val="Microsoft YaHei"/>
        <family val="0"/>
        <charset val="1"/>
      </rPr>
      <t xml:space="preserve">(</t>
    </r>
    <r>
      <rPr>
        <b val="true"/>
        <sz val="12"/>
        <color rgb="FF1F3A5F"/>
        <rFont val="WenQuanYi Zen Hei"/>
        <family val="2"/>
      </rPr>
      <t xml:space="preserve">由日线按周一为键用公式汇总</t>
    </r>
    <r>
      <rPr>
        <b val="true"/>
        <sz val="12"/>
        <color rgb="FF1F3A5F"/>
        <rFont val="Microsoft YaHei"/>
        <family val="0"/>
        <charset val="1"/>
      </rPr>
      <t xml:space="preserve">;</t>
    </r>
    <r>
      <rPr>
        <b val="true"/>
        <sz val="12"/>
        <color rgb="FF1F3A5F"/>
        <rFont val="WenQuanYi Zen Hei"/>
        <family val="2"/>
      </rPr>
      <t xml:space="preserve">动力系统</t>
    </r>
    <r>
      <rPr>
        <b val="true"/>
        <sz val="12"/>
        <color rgb="FF1F3A5F"/>
        <rFont val="Microsoft YaHei"/>
        <family val="0"/>
        <charset val="1"/>
      </rPr>
      <t xml:space="preserve">/EMA </t>
    </r>
    <r>
      <rPr>
        <b val="true"/>
        <sz val="12"/>
        <color rgb="FF1F3A5F"/>
        <rFont val="WenQuanYi Zen Hei"/>
        <family val="2"/>
      </rPr>
      <t xml:space="preserve">与日线同参数</t>
    </r>
    <r>
      <rPr>
        <b val="true"/>
        <sz val="12"/>
        <color rgb="FF1F3A5F"/>
        <rFont val="Microsoft YaHei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</si>
  <si>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日线评分引用</t>
    </r>
    <r>
      <rPr>
        <sz val="10"/>
        <rFont val="Microsoft YaHei"/>
        <family val="0"/>
        <charset val="1"/>
      </rPr>
      <t xml:space="preserve">"</t>
    </r>
    <r>
      <rPr>
        <sz val="10"/>
        <rFont val="WenQuanYi Zen Hei"/>
        <family val="2"/>
      </rPr>
      <t xml:space="preserve">上一完整周</t>
    </r>
    <r>
      <rPr>
        <sz val="10"/>
        <rFont val="Microsoft YaHei"/>
        <family val="0"/>
        <charset val="1"/>
      </rPr>
      <t xml:space="preserve">"</t>
    </r>
    <r>
      <rPr>
        <sz val="10"/>
        <rFont val="WenQuanYi Zen Hei"/>
        <family val="2"/>
      </rPr>
      <t xml:space="preserve">的周线状态</t>
    </r>
    <r>
      <rPr>
        <sz val="10"/>
        <rFont val="Microsoft YaHei"/>
        <family val="0"/>
        <charset val="1"/>
      </rPr>
      <t xml:space="preserve">,</t>
    </r>
    <r>
      <rPr>
        <sz val="10"/>
        <rFont val="WenQuanYi Zen Hei"/>
        <family val="2"/>
      </rPr>
      <t xml:space="preserve">避免用未收盘周造成前视偏差</t>
    </r>
    <r>
      <rPr>
        <sz val="10"/>
        <rFont val="Microsoft YaHei"/>
        <family val="0"/>
        <charset val="1"/>
      </rPr>
      <t xml:space="preserve">(</t>
    </r>
    <r>
      <rPr>
        <sz val="10"/>
        <rFont val="WenQuanYi Zen Hei"/>
        <family val="2"/>
      </rPr>
      <t xml:space="preserve">书中允许用未完成周线并提示打折</t>
    </r>
    <r>
      <rPr>
        <sz val="10"/>
        <rFont val="Microsoft YaHei"/>
        <family val="0"/>
        <charset val="1"/>
      </rPr>
      <t xml:space="preserve">,</t>
    </r>
    <r>
      <rPr>
        <sz val="10"/>
        <rFont val="WenQuanYi Zen Hei"/>
        <family val="2"/>
      </rPr>
      <t xml:space="preserve">此处取更保守的做法</t>
    </r>
    <r>
      <rPr>
        <sz val="10"/>
        <rFont val="Microsoft YaHei"/>
        <family val="0"/>
        <charset val="1"/>
      </rPr>
      <t xml:space="preserve">)</t>
    </r>
    <r>
      <rPr>
        <sz val="10"/>
        <rFont val="WenQuanYi Zen Hei"/>
        <family val="2"/>
      </rPr>
      <t xml:space="preserve">。</t>
    </r>
  </si>
  <si>
    <r>
      <rPr>
        <b val="true"/>
        <sz val="10"/>
        <color rgb="FFFFFFFF"/>
        <rFont val="Microsoft YaHei"/>
        <family val="0"/>
        <charset val="1"/>
      </rPr>
      <t xml:space="preserve">EMA</t>
    </r>
    <r>
      <rPr>
        <b val="true"/>
        <sz val="10"/>
        <color rgb="FFFFFFFF"/>
        <rFont val="WenQuanYi Zen Hei"/>
        <family val="2"/>
      </rPr>
      <t xml:space="preserve">慢↑</t>
    </r>
  </si>
  <si>
    <r>
      <rPr>
        <b val="true"/>
        <sz val="10"/>
        <color rgb="FFFFFFFF"/>
        <rFont val="WenQuanYi Zen Hei"/>
        <family val="2"/>
      </rPr>
      <t xml:space="preserve">柱↑</t>
    </r>
    <r>
      <rPr>
        <b val="true"/>
        <sz val="10"/>
        <color rgb="FFFFFFFF"/>
        <rFont val="Microsoft YaHe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周</t>
    </r>
    <r>
      <rPr>
        <b val="true"/>
        <sz val="10"/>
        <color rgb="FFFFFFFF"/>
        <rFont val="Microsoft YaHei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</si>
  <si>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柱↓</t>
    </r>
    <r>
      <rPr>
        <b val="true"/>
        <sz val="10"/>
        <color rgb="FFFFFFFF"/>
        <rFont val="Microsoft YaHe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周</t>
    </r>
    <r>
      <rPr>
        <b val="true"/>
        <sz val="10"/>
        <color rgb="FFFFFFFF"/>
        <rFont val="Microsoft YaHei"/>
        <family val="0"/>
        <charset val="1"/>
      </rPr>
      <t xml:space="preserve">)</t>
    </r>
  </si>
  <si>
    <r>
      <rPr>
        <b val="true"/>
        <sz val="14"/>
        <color rgb="FF1F3A5F"/>
        <rFont val="WenQuanYi Zen Hei"/>
        <family val="2"/>
      </rPr>
      <t xml:space="preserve">仓位与风险</t>
    </r>
    <r>
      <rPr>
        <b val="true"/>
        <sz val="14"/>
        <color rgb="FF1F3A5F"/>
        <rFont val="Microsoft YaHei"/>
        <family val="0"/>
        <charset val="1"/>
      </rPr>
      <t xml:space="preserve">(2%</t>
    </r>
    <r>
      <rPr>
        <b val="true"/>
        <sz val="14"/>
        <color rgb="FF1F3A5F"/>
        <rFont val="WenQuanYi Zen Hei"/>
        <family val="2"/>
      </rPr>
      <t xml:space="preserve">法则 </t>
    </r>
    <r>
      <rPr>
        <b val="true"/>
        <sz val="14"/>
        <color rgb="FF1F3A5F"/>
        <rFont val="Microsoft YaHei"/>
        <family val="0"/>
        <charset val="1"/>
      </rPr>
      <t xml:space="preserve">+ 6%</t>
    </r>
    <r>
      <rPr>
        <b val="true"/>
        <sz val="14"/>
        <color rgb="FF1F3A5F"/>
        <rFont val="WenQuanYi Zen Hei"/>
        <family val="2"/>
      </rPr>
      <t xml:space="preserve">法则 </t>
    </r>
    <r>
      <rPr>
        <b val="true"/>
        <sz val="14"/>
        <color rgb="FF1F3A5F"/>
        <rFont val="Microsoft YaHei"/>
        <family val="0"/>
        <charset val="1"/>
      </rPr>
      <t xml:space="preserve">+ </t>
    </r>
    <r>
      <rPr>
        <b val="true"/>
        <sz val="14"/>
        <color rgb="FF1F3A5F"/>
        <rFont val="WenQuanYi Zen Hei"/>
        <family val="2"/>
      </rPr>
      <t xml:space="preserve">铁三角</t>
    </r>
    <r>
      <rPr>
        <b val="true"/>
        <sz val="14"/>
        <color rgb="FF1F3A5F"/>
        <rFont val="Microsoft YaHei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</si>
  <si>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① 铁三角计算器</t>
    </r>
    <r>
      <rPr>
        <b val="true"/>
        <sz val="10"/>
        <rFont val="Microsoft YaHei"/>
        <family val="0"/>
        <charset val="1"/>
      </rPr>
      <t xml:space="preserve">:</t>
    </r>
    <r>
      <rPr>
        <b val="true"/>
        <sz val="10"/>
        <rFont val="WenQuanYi Zen Hei"/>
        <family val="2"/>
      </rPr>
      <t xml:space="preserve">股数 </t>
    </r>
    <r>
      <rPr>
        <b val="true"/>
        <sz val="10"/>
        <rFont val="Microsoft YaHei"/>
        <family val="0"/>
        <charset val="1"/>
      </rPr>
      <t xml:space="preserve">= </t>
    </r>
    <r>
      <rPr>
        <b val="true"/>
        <sz val="10"/>
        <rFont val="WenQuanYi Zen Hei"/>
        <family val="2"/>
      </rPr>
      <t xml:space="preserve">风险额度 </t>
    </r>
    <r>
      <rPr>
        <b val="true"/>
        <sz val="10"/>
        <rFont val="Microsoft YaHei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每股风险</t>
    </r>
    <r>
      <rPr>
        <b val="true"/>
        <sz val="10"/>
        <rFont val="Microsoft YaHei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买入价−止损价</t>
    </r>
    <r>
      <rPr>
        <b val="true"/>
        <sz val="10"/>
        <rFont val="Microsoft YaHei"/>
        <family val="0"/>
        <charset val="1"/>
      </rPr>
      <t xml:space="preserve">),</t>
    </r>
    <r>
      <rPr>
        <b val="true"/>
        <sz val="10"/>
        <rFont val="WenQuanYi Zen Hei"/>
        <family val="2"/>
      </rPr>
      <t xml:space="preserve">向下取整到手</t>
    </r>
  </si>
  <si>
    <t xml:space="preserve">账户资金</t>
  </si>
  <si>
    <r>
      <rPr>
        <sz val="10"/>
        <rFont val="WenQuanYi Zen Hei"/>
        <family val="2"/>
      </rPr>
      <t xml:space="preserve">单笔风险比例</t>
    </r>
    <r>
      <rPr>
        <sz val="10"/>
        <rFont val="Microsoft YaHei"/>
        <family val="0"/>
        <charset val="1"/>
      </rPr>
      <t xml:space="preserve">(≤2%)</t>
    </r>
  </si>
  <si>
    <r>
      <rPr>
        <sz val="10"/>
        <rFont val="Microsoft YaHei"/>
        <family val="0"/>
        <charset val="1"/>
      </rPr>
      <t xml:space="preserve">A </t>
    </r>
    <r>
      <rPr>
        <sz val="10"/>
        <rFont val="WenQuanYi Zen Hei"/>
        <family val="2"/>
      </rPr>
      <t xml:space="preserve">单笔最大风险额度</t>
    </r>
    <r>
      <rPr>
        <sz val="10"/>
        <rFont val="Microsoft YaHei"/>
        <family val="0"/>
        <charset val="1"/>
      </rPr>
      <t xml:space="preserve">(</t>
    </r>
    <r>
      <rPr>
        <sz val="10"/>
        <rFont val="WenQuanYi Zen Hei"/>
        <family val="2"/>
      </rPr>
      <t xml:space="preserve">元</t>
    </r>
    <r>
      <rPr>
        <sz val="10"/>
        <rFont val="Microsoft YaHei"/>
        <family val="0"/>
        <charset val="1"/>
      </rPr>
      <t xml:space="preserve">)</t>
    </r>
  </si>
  <si>
    <r>
      <rPr>
        <sz val="10"/>
        <rFont val="Microsoft YaHei"/>
        <family val="0"/>
        <charset val="1"/>
      </rPr>
      <t xml:space="preserve">B </t>
    </r>
    <r>
      <rPr>
        <sz val="10"/>
        <rFont val="WenQuanYi Zen Hei"/>
        <family val="2"/>
      </rPr>
      <t xml:space="preserve">每股风险</t>
    </r>
    <r>
      <rPr>
        <sz val="10"/>
        <rFont val="Microsoft YaHei"/>
        <family val="0"/>
        <charset val="1"/>
      </rPr>
      <t xml:space="preserve">(</t>
    </r>
    <r>
      <rPr>
        <sz val="10"/>
        <rFont val="WenQuanYi Zen Hei"/>
        <family val="2"/>
      </rPr>
      <t xml:space="preserve">元</t>
    </r>
    <r>
      <rPr>
        <sz val="10"/>
        <rFont val="Microsoft YaHei"/>
        <family val="0"/>
        <charset val="1"/>
      </rPr>
      <t xml:space="preserve">)</t>
    </r>
  </si>
  <si>
    <r>
      <rPr>
        <sz val="10"/>
        <rFont val="Microsoft YaHei"/>
        <family val="0"/>
        <charset val="1"/>
      </rPr>
      <t xml:space="preserve">C=A/B </t>
    </r>
    <r>
      <rPr>
        <sz val="10"/>
        <rFont val="WenQuanYi Zen Hei"/>
        <family val="2"/>
      </rPr>
      <t xml:space="preserve">最大可买股数</t>
    </r>
    <r>
      <rPr>
        <sz val="10"/>
        <rFont val="Microsoft YaHei"/>
        <family val="0"/>
        <charset val="1"/>
      </rPr>
      <t xml:space="preserve">(</t>
    </r>
    <r>
      <rPr>
        <sz val="10"/>
        <rFont val="WenQuanYi Zen Hei"/>
        <family val="2"/>
      </rPr>
      <t xml:space="preserve">按手取整</t>
    </r>
    <r>
      <rPr>
        <sz val="10"/>
        <rFont val="Microsoft YaHei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</si>
  <si>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若结果为</t>
    </r>
    <r>
      <rPr>
        <sz val="10"/>
        <rFont val="Microsoft YaHei"/>
        <family val="0"/>
        <charset val="1"/>
      </rPr>
      <t xml:space="preserve">0:</t>
    </r>
    <r>
      <rPr>
        <sz val="10"/>
        <rFont val="WenQuanYi Zen Hei"/>
        <family val="2"/>
      </rPr>
      <t xml:space="preserve">单手风险已超过额度</t>
    </r>
    <r>
      <rPr>
        <sz val="10"/>
        <rFont val="Microsoft YaHei"/>
        <family val="0"/>
        <charset val="1"/>
      </rPr>
      <t xml:space="preserve">,</t>
    </r>
    <r>
      <rPr>
        <sz val="10"/>
        <rFont val="WenQuanYi Zen Hei"/>
        <family val="2"/>
      </rPr>
      <t xml:space="preserve">不要交易</t>
    </r>
    <r>
      <rPr>
        <sz val="10"/>
        <rFont val="Microsoft YaHei"/>
        <family val="0"/>
        <charset val="1"/>
      </rPr>
      <t xml:space="preserve">(</t>
    </r>
    <r>
      <rPr>
        <sz val="10"/>
        <rFont val="WenQuanYi Zen Hei"/>
        <family val="2"/>
      </rPr>
      <t xml:space="preserve">第</t>
    </r>
    <r>
      <rPr>
        <sz val="10"/>
        <rFont val="Microsoft YaHei"/>
        <family val="0"/>
        <charset val="1"/>
      </rPr>
      <t xml:space="preserve">50</t>
    </r>
    <r>
      <rPr>
        <sz val="10"/>
        <rFont val="WenQuanYi Zen Hei"/>
        <family val="2"/>
      </rPr>
      <t xml:space="preserve">节</t>
    </r>
    <r>
      <rPr>
        <sz val="10"/>
        <rFont val="Microsoft YaHei"/>
        <family val="0"/>
        <charset val="1"/>
      </rPr>
      <t xml:space="preserve">);</t>
    </r>
    <r>
      <rPr>
        <sz val="10"/>
        <rFont val="WenQuanYi Zen Hei"/>
        <family val="2"/>
      </rPr>
      <t xml:space="preserve">同时受</t>
    </r>
    <r>
      <rPr>
        <sz val="10"/>
        <rFont val="Microsoft YaHei"/>
        <family val="0"/>
        <charset val="1"/>
      </rPr>
      <t xml:space="preserve">"</t>
    </r>
    <r>
      <rPr>
        <sz val="10"/>
        <rFont val="WenQuanYi Zen Hei"/>
        <family val="2"/>
      </rPr>
      <t xml:space="preserve">单只股票最大仓位占比</t>
    </r>
    <r>
      <rPr>
        <sz val="10"/>
        <rFont val="Microsoft YaHei"/>
        <family val="0"/>
        <charset val="1"/>
      </rPr>
      <t xml:space="preserve">"</t>
    </r>
    <r>
      <rPr>
        <sz val="10"/>
        <rFont val="WenQuanYi Zen Hei"/>
        <family val="2"/>
      </rPr>
      <t xml:space="preserve">约束</t>
    </r>
  </si>
  <si>
    <r>
      <rPr>
        <sz val="10"/>
        <rFont val="WenQuanYi Zen Hei"/>
        <family val="2"/>
      </rPr>
      <t xml:space="preserve">占用资金</t>
    </r>
    <r>
      <rPr>
        <sz val="10"/>
        <rFont val="Microsoft YaHei"/>
        <family val="0"/>
        <charset val="1"/>
      </rPr>
      <t xml:space="preserve">(</t>
    </r>
    <r>
      <rPr>
        <sz val="10"/>
        <rFont val="WenQuanYi Zen Hei"/>
        <family val="2"/>
      </rPr>
      <t xml:space="preserve">元</t>
    </r>
    <r>
      <rPr>
        <sz val="10"/>
        <rFont val="Microsoft YaHei"/>
        <family val="0"/>
        <charset val="1"/>
      </rPr>
      <t xml:space="preserve">)</t>
    </r>
  </si>
  <si>
    <r>
      <rPr>
        <b val="true"/>
        <sz val="10"/>
        <rFont val="Microsoft YaHei"/>
        <family val="0"/>
        <charset val="1"/>
      </rPr>
      <t xml:space="preserve">② 6%</t>
    </r>
    <r>
      <rPr>
        <b val="true"/>
        <sz val="10"/>
        <rFont val="WenQuanYi Zen Hei"/>
        <family val="2"/>
      </rPr>
      <t xml:space="preserve">法则</t>
    </r>
    <r>
      <rPr>
        <b val="true"/>
        <sz val="10"/>
        <rFont val="Microsoft YaHei"/>
        <family val="0"/>
        <charset val="1"/>
      </rPr>
      <t xml:space="preserve">:</t>
    </r>
    <r>
      <rPr>
        <b val="true"/>
        <sz val="10"/>
        <rFont val="WenQuanYi Zen Hei"/>
        <family val="2"/>
      </rPr>
      <t xml:space="preserve">本月已实现亏损 </t>
    </r>
    <r>
      <rPr>
        <b val="true"/>
        <sz val="10"/>
        <rFont val="Microsoft YaHei"/>
        <family val="0"/>
        <charset val="1"/>
      </rPr>
      <t xml:space="preserve">+ </t>
    </r>
    <r>
      <rPr>
        <b val="true"/>
        <sz val="10"/>
        <rFont val="WenQuanYi Zen Hei"/>
        <family val="2"/>
      </rPr>
      <t xml:space="preserve">所有持仓的</t>
    </r>
    <r>
      <rPr>
        <b val="true"/>
        <sz val="10"/>
        <rFont val="Microsoft YaHei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止损风险</t>
    </r>
    <r>
      <rPr>
        <b val="true"/>
        <sz val="10"/>
        <rFont val="Microsoft YaHei"/>
        <family val="0"/>
        <charset val="1"/>
      </rPr>
      <t xml:space="preserve">" ≥ </t>
    </r>
    <r>
      <rPr>
        <b val="true"/>
        <sz val="10"/>
        <rFont val="WenQuanYi Zen Hei"/>
        <family val="2"/>
      </rPr>
      <t xml:space="preserve">月初资金的 </t>
    </r>
    <r>
      <rPr>
        <b val="true"/>
        <sz val="10"/>
        <rFont val="Microsoft YaHei"/>
        <family val="0"/>
        <charset val="1"/>
      </rPr>
      <t xml:space="preserve">6% → </t>
    </r>
    <r>
      <rPr>
        <b val="true"/>
        <sz val="10"/>
        <rFont val="WenQuanYi Zen Hei"/>
        <family val="2"/>
      </rPr>
      <t xml:space="preserve">本月不得再开新仓</t>
    </r>
  </si>
  <si>
    <t xml:space="preserve">月初账户资金</t>
  </si>
  <si>
    <r>
      <rPr>
        <sz val="10"/>
        <rFont val="WenQuanYi Zen Hei"/>
        <family val="2"/>
      </rPr>
      <t xml:space="preserve">本月已实现亏损</t>
    </r>
    <r>
      <rPr>
        <sz val="10"/>
        <rFont val="Microsoft YaHei"/>
        <family val="0"/>
        <charset val="1"/>
      </rPr>
      <t xml:space="preserve">(</t>
    </r>
    <r>
      <rPr>
        <sz val="10"/>
        <rFont val="WenQuanYi Zen Hei"/>
        <family val="2"/>
      </rPr>
      <t xml:space="preserve">正数填写</t>
    </r>
    <r>
      <rPr>
        <sz val="10"/>
        <rFont val="Microsoft YaHei"/>
        <family val="0"/>
        <charset val="1"/>
      </rPr>
      <t xml:space="preserve">)</t>
    </r>
  </si>
  <si>
    <t xml:space="preserve">持仓</t>
  </si>
  <si>
    <t xml:space="preserve">股数</t>
  </si>
  <si>
    <t xml:space="preserve">当前止损价</t>
  </si>
  <si>
    <r>
      <rPr>
        <b val="true"/>
        <sz val="10"/>
        <color rgb="FFFFFFFF"/>
        <rFont val="WenQuanYi Zen Hei"/>
        <family val="2"/>
      </rPr>
      <t xml:space="preserve">持仓风险</t>
    </r>
    <r>
      <rPr>
        <b val="true"/>
        <sz val="10"/>
        <color rgb="FFFFFFFF"/>
        <rFont val="Microsoft YaHe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元</t>
    </r>
    <r>
      <rPr>
        <b val="true"/>
        <sz val="10"/>
        <color rgb="FFFFFFFF"/>
        <rFont val="Microsoft YaHei"/>
        <family val="0"/>
        <charset val="1"/>
      </rPr>
      <t xml:space="preserve">)</t>
    </r>
  </si>
  <si>
    <t xml:space="preserve">占资金比例</t>
  </si>
  <si>
    <r>
      <rPr>
        <sz val="10"/>
        <rFont val="WenQuanYi Zen Hei"/>
        <family val="2"/>
      </rPr>
      <t xml:space="preserve">示例</t>
    </r>
    <r>
      <rPr>
        <sz val="10"/>
        <rFont val="Microsoft YaHei"/>
        <family val="0"/>
        <charset val="1"/>
      </rPr>
      <t xml:space="preserve">A(</t>
    </r>
    <r>
      <rPr>
        <sz val="10"/>
        <rFont val="WenQuanYi Zen Hei"/>
        <family val="2"/>
      </rPr>
      <t xml:space="preserve">止损已上移到保本</t>
    </r>
    <r>
      <rPr>
        <sz val="10"/>
        <rFont val="Microsoft YaHei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</si>
  <si>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示例</t>
    </r>
    <r>
      <rPr>
        <sz val="10"/>
        <rFont val="Microsoft YaHei"/>
        <family val="0"/>
        <charset val="1"/>
      </rPr>
      <t xml:space="preserve">B</t>
    </r>
  </si>
  <si>
    <r>
      <rPr>
        <sz val="10"/>
        <rFont val="WenQuanYi Zen Hei"/>
        <family val="2"/>
      </rPr>
      <t xml:space="preserve">示例</t>
    </r>
    <r>
      <rPr>
        <sz val="10"/>
        <rFont val="Microsoft YaHei"/>
        <family val="0"/>
        <charset val="1"/>
      </rPr>
      <t xml:space="preserve">C</t>
    </r>
  </si>
  <si>
    <r>
      <rPr>
        <b val="true"/>
        <sz val="10"/>
        <rFont val="WenQuanYi Zen Hei"/>
        <family val="2"/>
      </rPr>
      <t xml:space="preserve">持仓风险合计</t>
    </r>
    <r>
      <rPr>
        <b val="true"/>
        <sz val="10"/>
        <rFont val="Microsoft YaHei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元</t>
    </r>
    <r>
      <rPr>
        <b val="true"/>
        <sz val="10"/>
        <rFont val="Microsoft YaHei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</si>
  <si>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月度风险占用 </t>
    </r>
    <r>
      <rPr>
        <b val="true"/>
        <sz val="10"/>
        <rFont val="Microsoft YaHei"/>
        <family val="0"/>
        <charset val="1"/>
      </rPr>
      <t xml:space="preserve">= </t>
    </r>
    <r>
      <rPr>
        <b val="true"/>
        <sz val="10"/>
        <rFont val="WenQuanYi Zen Hei"/>
        <family val="2"/>
      </rPr>
      <t xml:space="preserve">已亏损 </t>
    </r>
    <r>
      <rPr>
        <b val="true"/>
        <sz val="10"/>
        <rFont val="Microsoft YaHei"/>
        <family val="0"/>
        <charset val="1"/>
      </rPr>
      <t xml:space="preserve">+ </t>
    </r>
    <r>
      <rPr>
        <b val="true"/>
        <sz val="10"/>
        <rFont val="WenQuanYi Zen Hei"/>
        <family val="2"/>
      </rPr>
      <t xml:space="preserve">持仓风险</t>
    </r>
  </si>
  <si>
    <r>
      <rPr>
        <b val="true"/>
        <sz val="10"/>
        <rFont val="WenQuanYi Zen Hei"/>
        <family val="2"/>
      </rPr>
      <t xml:space="preserve">可用风险额度</t>
    </r>
    <r>
      <rPr>
        <b val="true"/>
        <sz val="10"/>
        <rFont val="Microsoft YaHei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元</t>
    </r>
    <r>
      <rPr>
        <b val="true"/>
        <sz val="10"/>
        <rFont val="Microsoft YaHei"/>
        <family val="0"/>
        <charset val="1"/>
      </rPr>
      <t xml:space="preserve">)= 6% × </t>
    </r>
    <r>
      <rPr>
        <b val="true"/>
        <sz val="10"/>
        <rFont val="WenQuanYi Zen Hei"/>
        <family val="2"/>
      </rPr>
      <t xml:space="preserve">月初资金 − 占用</t>
    </r>
  </si>
  <si>
    <t xml:space="preserve">能否开新仓</t>
  </si>
  <si>
    <r>
      <rPr>
        <sz val="10"/>
        <rFont val="WenQuanYi Zen Hei"/>
        <family val="2"/>
      </rPr>
      <t xml:space="preserve">说明</t>
    </r>
    <r>
      <rPr>
        <sz val="10"/>
        <rFont val="Microsoft YaHei"/>
        <family val="0"/>
        <charset val="1"/>
      </rPr>
      <t xml:space="preserve">:</t>
    </r>
    <r>
      <rPr>
        <sz val="10"/>
        <rFont val="WenQuanYi Zen Hei"/>
        <family val="2"/>
      </rPr>
      <t xml:space="preserve">止损上移到成本价后该笔风险为</t>
    </r>
    <r>
      <rPr>
        <sz val="10"/>
        <rFont val="Microsoft YaHei"/>
        <family val="0"/>
        <charset val="1"/>
      </rPr>
      <t xml:space="preserve">0,</t>
    </r>
    <r>
      <rPr>
        <sz val="10"/>
        <rFont val="WenQuanYi Zen Hei"/>
        <family val="2"/>
      </rPr>
      <t xml:space="preserve">释放额度</t>
    </r>
    <r>
      <rPr>
        <sz val="10"/>
        <rFont val="Microsoft YaHei"/>
        <family val="0"/>
        <charset val="1"/>
      </rPr>
      <t xml:space="preserve">(</t>
    </r>
    <r>
      <rPr>
        <sz val="10"/>
        <rFont val="WenQuanYi Zen Hei"/>
        <family val="2"/>
      </rPr>
      <t xml:space="preserve">书中示例</t>
    </r>
    <r>
      <rPr>
        <sz val="10"/>
        <rFont val="Microsoft YaHei"/>
        <family val="0"/>
        <charset val="1"/>
      </rPr>
      <t xml:space="preserve">:A</t>
    </r>
    <r>
      <rPr>
        <sz val="10"/>
        <rFont val="WenQuanYi Zen Hei"/>
        <family val="2"/>
      </rPr>
      <t xml:space="preserve">上移保本后才能买入</t>
    </r>
    <r>
      <rPr>
        <sz val="10"/>
        <rFont val="Microsoft YaHei"/>
        <family val="0"/>
        <charset val="1"/>
      </rPr>
      <t xml:space="preserve">D)</t>
    </r>
    <r>
      <rPr>
        <sz val="10"/>
        <rFont val="WenQuanYi Zen Hei"/>
        <family val="2"/>
      </rPr>
      <t xml:space="preserve">。</t>
    </r>
  </si>
  <si>
    <r>
      <rPr>
        <b val="true"/>
        <sz val="14"/>
        <color rgb="FF1F3A5F"/>
        <rFont val="WenQuanYi Zen Hei"/>
        <family val="2"/>
      </rPr>
      <t xml:space="preserve">交易评级</t>
    </r>
    <r>
      <rPr>
        <b val="true"/>
        <sz val="14"/>
        <color rgb="FF1F3A5F"/>
        <rFont val="Microsoft YaHei"/>
        <family val="0"/>
        <charset val="1"/>
      </rPr>
      <t xml:space="preserve">(</t>
    </r>
    <r>
      <rPr>
        <b val="true"/>
        <sz val="14"/>
        <color rgb="FF1F3A5F"/>
        <rFont val="WenQuanYi Zen Hei"/>
        <family val="2"/>
      </rPr>
      <t xml:space="preserve">第</t>
    </r>
    <r>
      <rPr>
        <b val="true"/>
        <sz val="14"/>
        <color rgb="FF1F3A5F"/>
        <rFont val="Microsoft YaHei"/>
        <family val="0"/>
        <charset val="1"/>
      </rPr>
      <t xml:space="preserve">55</t>
    </r>
    <r>
      <rPr>
        <b val="true"/>
        <sz val="14"/>
        <color rgb="FF1F3A5F"/>
        <rFont val="WenQuanYi Zen Hei"/>
        <family val="2"/>
      </rPr>
      <t xml:space="preserve">节</t>
    </r>
    <r>
      <rPr>
        <b val="true"/>
        <sz val="14"/>
        <color rgb="FF1F3A5F"/>
        <rFont val="Microsoft YaHei"/>
        <family val="0"/>
        <charset val="1"/>
      </rPr>
      <t xml:space="preserve">):</t>
    </r>
    <r>
      <rPr>
        <b val="true"/>
        <sz val="14"/>
        <color rgb="FF1F3A5F"/>
        <rFont val="WenQuanYi Zen Hei"/>
        <family val="2"/>
      </rPr>
      <t xml:space="preserve">买入评级、卖出评级、交易评级</t>
    </r>
    <r>
      <rPr>
        <b val="true"/>
        <sz val="14"/>
        <color rgb="FF1F3A5F"/>
        <rFont val="Microsoft YaHei"/>
        <family val="0"/>
        <charset val="1"/>
      </rPr>
      <t xml:space="preserve">(≥</t>
    </r>
    <r>
      <rPr>
        <b val="true"/>
        <sz val="14"/>
        <color rgb="FF1F3A5F"/>
        <rFont val="WenQuanYi Zen Hei"/>
        <family val="2"/>
      </rPr>
      <t xml:space="preserve">通道高度</t>
    </r>
    <r>
      <rPr>
        <b val="true"/>
        <sz val="14"/>
        <color rgb="FF1F3A5F"/>
        <rFont val="Microsoft YaHei"/>
        <family val="0"/>
        <charset val="1"/>
      </rPr>
      <t xml:space="preserve">30% = A</t>
    </r>
    <r>
      <rPr>
        <b val="true"/>
        <sz val="14"/>
        <color rgb="FF1F3A5F"/>
        <rFont val="WenQuanYi Zen Hei"/>
        <family val="2"/>
      </rPr>
      <t xml:space="preserve">级交易</t>
    </r>
    <r>
      <rPr>
        <b val="true"/>
        <sz val="14"/>
        <color rgb="FF1F3A5F"/>
        <rFont val="Microsoft YaHei"/>
        <family val="0"/>
        <charset val="1"/>
      </rPr>
      <t xml:space="preserve">)</t>
    </r>
  </si>
  <si>
    <t xml:space="preserve">交易</t>
  </si>
  <si>
    <t xml:space="preserve">买入日最高</t>
  </si>
  <si>
    <t xml:space="preserve">买入日最低</t>
  </si>
  <si>
    <t xml:space="preserve">卖出价</t>
  </si>
  <si>
    <t xml:space="preserve">卖出日最高</t>
  </si>
  <si>
    <t xml:space="preserve">卖出日最低</t>
  </si>
  <si>
    <t xml:space="preserve">买入日通道上轨</t>
  </si>
  <si>
    <t xml:space="preserve">买入日通道下轨</t>
  </si>
  <si>
    <t xml:space="preserve">买入评级</t>
  </si>
  <si>
    <t xml:space="preserve">卖出评级</t>
  </si>
  <si>
    <t xml:space="preserve">交易评级</t>
  </si>
  <si>
    <t xml:space="preserve">等级</t>
  </si>
  <si>
    <r>
      <rPr>
        <b val="true"/>
        <sz val="10"/>
        <color rgb="FFFFFFFF"/>
        <rFont val="WenQuanYi Zen Hei"/>
        <family val="2"/>
      </rPr>
      <t xml:space="preserve">盈亏</t>
    </r>
    <r>
      <rPr>
        <b val="true"/>
        <sz val="10"/>
        <color rgb="FFFFFFFF"/>
        <rFont val="Microsoft YaHe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元</t>
    </r>
    <r>
      <rPr>
        <b val="true"/>
        <sz val="10"/>
        <color rgb="FFFFFFFF"/>
        <rFont val="Microsoft YaHei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股</t>
    </r>
    <r>
      <rPr>
        <b val="true"/>
        <sz val="10"/>
        <color rgb="FFFFFFFF"/>
        <rFont val="Microsoft YaHei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</si>
  <si>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书中例</t>
    </r>
    <r>
      <rPr>
        <sz val="10"/>
        <rFont val="Microsoft YaHei"/>
        <family val="0"/>
        <charset val="1"/>
      </rPr>
      <t xml:space="preserve">: ADSK</t>
    </r>
  </si>
  <si>
    <r>
      <rPr>
        <sz val="10"/>
        <rFont val="WenQuanYi Zen Hei"/>
        <family val="2"/>
      </rPr>
      <t xml:space="preserve">解读</t>
    </r>
    <r>
      <rPr>
        <sz val="10"/>
        <rFont val="Microsoft YaHei"/>
        <family val="0"/>
        <charset val="1"/>
      </rPr>
      <t xml:space="preserve">:</t>
    </r>
    <r>
      <rPr>
        <sz val="10"/>
        <rFont val="WenQuanYi Zen Hei"/>
        <family val="2"/>
      </rPr>
      <t xml:space="preserve">买入评级</t>
    </r>
    <r>
      <rPr>
        <sz val="10"/>
        <rFont val="Microsoft YaHei"/>
        <family val="0"/>
        <charset val="1"/>
      </rPr>
      <t xml:space="preserve">&gt;50%=</t>
    </r>
    <r>
      <rPr>
        <sz val="10"/>
        <rFont val="WenQuanYi Zen Hei"/>
        <family val="2"/>
      </rPr>
      <t xml:space="preserve">买在当日</t>
    </r>
    <r>
      <rPr>
        <sz val="10"/>
        <rFont val="Microsoft YaHei"/>
        <family val="0"/>
        <charset val="1"/>
      </rPr>
      <t xml:space="preserve">K</t>
    </r>
    <r>
      <rPr>
        <sz val="10"/>
        <rFont val="WenQuanYi Zen Hei"/>
        <family val="2"/>
      </rPr>
      <t xml:space="preserve">线下半部</t>
    </r>
    <r>
      <rPr>
        <sz val="10"/>
        <rFont val="Microsoft YaHei"/>
        <family val="0"/>
        <charset val="1"/>
      </rPr>
      <t xml:space="preserve">;</t>
    </r>
    <r>
      <rPr>
        <sz val="10"/>
        <rFont val="WenQuanYi Zen Hei"/>
        <family val="2"/>
      </rPr>
      <t xml:space="preserve">卖出评级</t>
    </r>
    <r>
      <rPr>
        <sz val="10"/>
        <rFont val="Microsoft YaHei"/>
        <family val="0"/>
        <charset val="1"/>
      </rPr>
      <t xml:space="preserve">&gt;50%=</t>
    </r>
    <r>
      <rPr>
        <sz val="10"/>
        <rFont val="WenQuanYi Zen Hei"/>
        <family val="2"/>
      </rPr>
      <t xml:space="preserve">卖在上半部</t>
    </r>
    <r>
      <rPr>
        <sz val="10"/>
        <rFont val="Microsoft YaHei"/>
        <family val="0"/>
        <charset val="1"/>
      </rPr>
      <t xml:space="preserve">;</t>
    </r>
    <r>
      <rPr>
        <sz val="10"/>
        <rFont val="WenQuanYi Zen Hei"/>
        <family val="2"/>
      </rPr>
      <t xml:space="preserve">交易评级</t>
    </r>
    <r>
      <rPr>
        <sz val="10"/>
        <rFont val="Microsoft YaHei"/>
        <family val="0"/>
        <charset val="1"/>
      </rPr>
      <t xml:space="preserve">=</t>
    </r>
    <r>
      <rPr>
        <sz val="10"/>
        <rFont val="WenQuanYi Zen Hei"/>
        <family val="2"/>
      </rPr>
      <t xml:space="preserve">实际盈亏</t>
    </r>
    <r>
      <rPr>
        <sz val="10"/>
        <rFont val="Microsoft YaHei"/>
        <family val="0"/>
        <charset val="1"/>
      </rPr>
      <t xml:space="preserve">/</t>
    </r>
    <r>
      <rPr>
        <sz val="10"/>
        <rFont val="WenQuanYi Zen Hei"/>
        <family val="2"/>
      </rPr>
      <t xml:space="preserve">通道高度</t>
    </r>
    <r>
      <rPr>
        <sz val="10"/>
        <rFont val="Microsoft YaHei"/>
        <family val="0"/>
        <charset val="1"/>
      </rPr>
      <t xml:space="preserve">,</t>
    </r>
    <r>
      <rPr>
        <sz val="10"/>
        <rFont val="WenQuanYi Zen Hei"/>
        <family val="2"/>
      </rPr>
      <t xml:space="preserve">比盈亏金额更能衡量交易质量。书中</t>
    </r>
    <r>
      <rPr>
        <sz val="10"/>
        <rFont val="Microsoft YaHei"/>
        <family val="0"/>
        <charset val="1"/>
      </rPr>
      <t xml:space="preserve">ADSK</t>
    </r>
    <r>
      <rPr>
        <sz val="10"/>
        <rFont val="WenQuanYi Zen Hei"/>
        <family val="2"/>
      </rPr>
      <t xml:space="preserve">例</t>
    </r>
    <r>
      <rPr>
        <sz val="10"/>
        <rFont val="Microsoft YaHei"/>
        <family val="0"/>
        <charset val="1"/>
      </rPr>
      <t xml:space="preserve">:</t>
    </r>
    <r>
      <rPr>
        <sz val="10"/>
        <rFont val="WenQuanYi Zen Hei"/>
        <family val="2"/>
      </rPr>
      <t xml:space="preserve">买入</t>
    </r>
    <r>
      <rPr>
        <sz val="10"/>
        <rFont val="Microsoft YaHei"/>
        <family val="0"/>
        <charset val="1"/>
      </rPr>
      <t xml:space="preserve">97%</t>
    </r>
    <r>
      <rPr>
        <sz val="10"/>
        <rFont val="WenQuanYi Zen Hei"/>
        <family val="2"/>
      </rPr>
      <t xml:space="preserve">、卖出</t>
    </r>
    <r>
      <rPr>
        <sz val="10"/>
        <rFont val="Microsoft YaHei"/>
        <family val="0"/>
        <charset val="1"/>
      </rPr>
      <t xml:space="preserve">35%</t>
    </r>
    <r>
      <rPr>
        <sz val="10"/>
        <rFont val="WenQuanYi Zen Hei"/>
        <family val="2"/>
      </rPr>
      <t xml:space="preserve">、交易评级</t>
    </r>
    <r>
      <rPr>
        <sz val="10"/>
        <rFont val="Microsoft YaHei"/>
        <family val="0"/>
        <charset val="1"/>
      </rPr>
      <t xml:space="preserve">32%(A</t>
    </r>
    <r>
      <rPr>
        <sz val="10"/>
        <rFont val="WenQuanYi Zen Hei"/>
        <family val="2"/>
      </rPr>
      <t xml:space="preserve">级</t>
    </r>
    <r>
      <rPr>
        <sz val="10"/>
        <rFont val="Microsoft YaHei"/>
        <family val="0"/>
        <charset val="1"/>
      </rPr>
      <t xml:space="preserve">)</t>
    </r>
    <r>
      <rPr>
        <sz val="10"/>
        <rFont val="WenQuanYi Zen Hei"/>
        <family val="2"/>
      </rPr>
      <t xml:space="preserve">。</t>
    </r>
  </si>
  <si>
    <r>
      <rPr>
        <b val="true"/>
        <sz val="14"/>
        <color rgb="FF1F3A5F"/>
        <rFont val="WenQuanYi Zen Hei"/>
        <family val="2"/>
      </rPr>
      <t xml:space="preserve">市场温度</t>
    </r>
    <r>
      <rPr>
        <b val="true"/>
        <sz val="14"/>
        <color rgb="FF1F3A5F"/>
        <rFont val="Microsoft YaHei"/>
        <family val="0"/>
        <charset val="1"/>
      </rPr>
      <t xml:space="preserve">(</t>
    </r>
    <r>
      <rPr>
        <b val="true"/>
        <sz val="14"/>
        <color rgb="FF1F3A5F"/>
        <rFont val="WenQuanYi Zen Hei"/>
        <family val="2"/>
      </rPr>
      <t xml:space="preserve">第</t>
    </r>
    <r>
      <rPr>
        <b val="true"/>
        <sz val="14"/>
        <color rgb="FF1F3A5F"/>
        <rFont val="Microsoft YaHei"/>
        <family val="0"/>
        <charset val="1"/>
      </rPr>
      <t xml:space="preserve">0</t>
    </r>
    <r>
      <rPr>
        <b val="true"/>
        <sz val="14"/>
        <color rgb="FF1F3A5F"/>
        <rFont val="WenQuanYi Zen Hei"/>
        <family val="2"/>
      </rPr>
      <t xml:space="preserve">层</t>
    </r>
    <r>
      <rPr>
        <b val="true"/>
        <sz val="14"/>
        <color rgb="FF1F3A5F"/>
        <rFont val="Microsoft YaHei"/>
        <family val="0"/>
        <charset val="1"/>
      </rPr>
      <t xml:space="preserve">:</t>
    </r>
    <r>
      <rPr>
        <b val="true"/>
        <sz val="14"/>
        <color rgb="FF1F3A5F"/>
        <rFont val="WenQuanYi Zen Hei"/>
        <family val="2"/>
      </rPr>
      <t xml:space="preserve">大盘闸门</t>
    </r>
    <r>
      <rPr>
        <b val="true"/>
        <sz val="14"/>
        <color rgb="FF1F3A5F"/>
        <rFont val="Microsoft YaHei"/>
        <family val="0"/>
        <charset val="1"/>
      </rPr>
      <t xml:space="preserve">) —— </t>
    </r>
    <r>
      <rPr>
        <b val="true"/>
        <sz val="14"/>
        <color rgb="FF1F3A5F"/>
        <rFont val="WenQuanYi Zen Hei"/>
        <family val="2"/>
      </rPr>
      <t xml:space="preserve">决定今天允许投入多少风险额度</t>
    </r>
  </si>
  <si>
    <t xml:space="preserve">指标</t>
  </si>
  <si>
    <r>
      <rPr>
        <b val="true"/>
        <sz val="10"/>
        <color rgb="FFFFFFFF"/>
        <rFont val="WenQuanYi Zen Hei"/>
        <family val="2"/>
      </rPr>
      <t xml:space="preserve">输入</t>
    </r>
    <r>
      <rPr>
        <b val="true"/>
        <sz val="10"/>
        <color rgb="FFFFFFFF"/>
        <rFont val="Microsoft YaHei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结果</t>
    </r>
  </si>
  <si>
    <r>
      <rPr>
        <b val="true"/>
        <sz val="10"/>
        <color rgb="FFFFFFFF"/>
        <rFont val="WenQuanYi Zen Hei"/>
        <family val="2"/>
      </rPr>
      <t xml:space="preserve">规则</t>
    </r>
    <r>
      <rPr>
        <b val="true"/>
        <sz val="10"/>
        <color rgb="FFFFFFFF"/>
        <rFont val="Microsoft YaHe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书中依据</t>
    </r>
    <r>
      <rPr>
        <b val="true"/>
        <sz val="10"/>
        <color rgb="FFFFFFFF"/>
        <rFont val="Microsoft YaHei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</si>
  <si>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基准指数周线</t>
    </r>
    <r>
      <rPr>
        <sz val="10"/>
        <rFont val="Microsoft YaHei"/>
        <family val="0"/>
        <charset val="1"/>
      </rPr>
      <t xml:space="preserve">EMA</t>
    </r>
    <r>
      <rPr>
        <sz val="10"/>
        <rFont val="WenQuanYi Zen Hei"/>
        <family val="2"/>
      </rPr>
      <t xml:space="preserve">慢是否向上</t>
    </r>
    <r>
      <rPr>
        <sz val="10"/>
        <rFont val="Microsoft YaHei"/>
        <family val="0"/>
        <charset val="1"/>
      </rPr>
      <t xml:space="preserve">(1</t>
    </r>
    <r>
      <rPr>
        <sz val="10"/>
        <rFont val="WenQuanYi Zen Hei"/>
        <family val="2"/>
      </rPr>
      <t xml:space="preserve">是</t>
    </r>
    <r>
      <rPr>
        <sz val="10"/>
        <rFont val="Microsoft YaHei"/>
        <family val="0"/>
        <charset val="1"/>
      </rPr>
      <t xml:space="preserve">/0</t>
    </r>
    <r>
      <rPr>
        <sz val="10"/>
        <rFont val="WenQuanYi Zen Hei"/>
        <family val="2"/>
      </rPr>
      <t xml:space="preserve">否</t>
    </r>
    <r>
      <rPr>
        <sz val="10"/>
        <rFont val="Microsoft YaHei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</si>
  <si>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第</t>
    </r>
    <r>
      <rPr>
        <sz val="10"/>
        <rFont val="Microsoft YaHei"/>
        <family val="0"/>
        <charset val="1"/>
      </rPr>
      <t xml:space="preserve">22/39</t>
    </r>
    <r>
      <rPr>
        <sz val="10"/>
        <rFont val="WenQuanYi Zen Hei"/>
        <family val="2"/>
      </rPr>
      <t xml:space="preserve">节</t>
    </r>
    <r>
      <rPr>
        <sz val="10"/>
        <rFont val="Microsoft YaHei"/>
        <family val="0"/>
        <charset val="1"/>
      </rPr>
      <t xml:space="preserve">:</t>
    </r>
    <r>
      <rPr>
        <sz val="10"/>
        <rFont val="WenQuanYi Zen Hei"/>
        <family val="2"/>
      </rPr>
      <t xml:space="preserve">先看周线大趋势</t>
    </r>
  </si>
  <si>
    <r>
      <rPr>
        <sz val="10"/>
        <rFont val="WenQuanYi Zen Hei"/>
        <family val="2"/>
      </rPr>
      <t xml:space="preserve">基准指数周线动力系统</t>
    </r>
    <r>
      <rPr>
        <sz val="10"/>
        <rFont val="Microsoft YaHei"/>
        <family val="0"/>
        <charset val="1"/>
      </rPr>
      <t xml:space="preserve">(1</t>
    </r>
    <r>
      <rPr>
        <sz val="10"/>
        <rFont val="WenQuanYi Zen Hei"/>
        <family val="2"/>
      </rPr>
      <t xml:space="preserve">绿</t>
    </r>
    <r>
      <rPr>
        <sz val="10"/>
        <rFont val="Microsoft YaHei"/>
        <family val="0"/>
        <charset val="1"/>
      </rPr>
      <t xml:space="preserve">/0</t>
    </r>
    <r>
      <rPr>
        <sz val="10"/>
        <rFont val="WenQuanYi Zen Hei"/>
        <family val="2"/>
      </rPr>
      <t xml:space="preserve">蓝</t>
    </r>
    <r>
      <rPr>
        <sz val="10"/>
        <rFont val="Microsoft YaHei"/>
        <family val="0"/>
        <charset val="1"/>
      </rPr>
      <t xml:space="preserve">/-1</t>
    </r>
    <r>
      <rPr>
        <sz val="10"/>
        <rFont val="WenQuanYi Zen Hei"/>
        <family val="2"/>
      </rPr>
      <t xml:space="preserve">红</t>
    </r>
    <r>
      <rPr>
        <sz val="10"/>
        <rFont val="Microsoft YaHei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</si>
  <si>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第</t>
    </r>
    <r>
      <rPr>
        <sz val="10"/>
        <rFont val="Microsoft YaHei"/>
        <family val="0"/>
        <charset val="1"/>
      </rPr>
      <t xml:space="preserve">40</t>
    </r>
    <r>
      <rPr>
        <sz val="10"/>
        <rFont val="WenQuanYi Zen Hei"/>
        <family val="2"/>
      </rPr>
      <t xml:space="preserve">节</t>
    </r>
    <r>
      <rPr>
        <sz val="10"/>
        <rFont val="Microsoft YaHei"/>
        <family val="0"/>
        <charset val="1"/>
      </rPr>
      <t xml:space="preserve">:</t>
    </r>
    <r>
      <rPr>
        <sz val="10"/>
        <rFont val="WenQuanYi Zen Hei"/>
        <family val="2"/>
      </rPr>
      <t xml:space="preserve">红色禁止买入</t>
    </r>
  </si>
  <si>
    <r>
      <rPr>
        <sz val="10"/>
        <rFont val="Microsoft YaHei"/>
        <family val="0"/>
        <charset val="1"/>
      </rPr>
      <t xml:space="preserve">50</t>
    </r>
    <r>
      <rPr>
        <sz val="10"/>
        <rFont val="WenQuanYi Zen Hei"/>
        <family val="2"/>
      </rPr>
      <t xml:space="preserve">日均线上方股票占比</t>
    </r>
    <r>
      <rPr>
        <sz val="10"/>
        <rFont val="Microsoft YaHei"/>
        <family val="0"/>
        <charset val="1"/>
      </rPr>
      <t xml:space="preserve">(%)</t>
    </r>
  </si>
  <si>
    <r>
      <rPr>
        <sz val="10"/>
        <rFont val="WenQuanYi Zen Hei"/>
        <family val="2"/>
      </rPr>
      <t xml:space="preserve">第</t>
    </r>
    <r>
      <rPr>
        <sz val="10"/>
        <rFont val="Microsoft YaHei"/>
        <family val="0"/>
        <charset val="1"/>
      </rPr>
      <t xml:space="preserve">35</t>
    </r>
    <r>
      <rPr>
        <sz val="10"/>
        <rFont val="WenQuanYi Zen Hei"/>
        <family val="2"/>
      </rPr>
      <t xml:space="preserve">节</t>
    </r>
    <r>
      <rPr>
        <sz val="10"/>
        <rFont val="Microsoft YaHei"/>
        <family val="0"/>
        <charset val="1"/>
      </rPr>
      <t xml:space="preserve">:</t>
    </r>
    <r>
      <rPr>
        <sz val="10"/>
        <rFont val="WenQuanYi Zen Hei"/>
        <family val="2"/>
      </rPr>
      <t xml:space="preserve">跌破</t>
    </r>
    <r>
      <rPr>
        <sz val="10"/>
        <rFont val="Microsoft YaHei"/>
        <family val="0"/>
        <charset val="1"/>
      </rPr>
      <t xml:space="preserve">25%</t>
    </r>
    <r>
      <rPr>
        <sz val="10"/>
        <rFont val="WenQuanYi Zen Hei"/>
        <family val="2"/>
      </rPr>
      <t xml:space="preserve">后回升到</t>
    </r>
    <r>
      <rPr>
        <sz val="10"/>
        <rFont val="Microsoft YaHei"/>
        <family val="0"/>
        <charset val="1"/>
      </rPr>
      <t xml:space="preserve">25%</t>
    </r>
    <r>
      <rPr>
        <sz val="10"/>
        <rFont val="WenQuanYi Zen Hei"/>
        <family val="2"/>
      </rPr>
      <t xml:space="preserve">之上</t>
    </r>
    <r>
      <rPr>
        <sz val="10"/>
        <rFont val="Microsoft YaHei"/>
        <family val="0"/>
        <charset val="1"/>
      </rPr>
      <t xml:space="preserve">=</t>
    </r>
    <r>
      <rPr>
        <sz val="10"/>
        <rFont val="WenQuanYi Zen Hei"/>
        <family val="2"/>
      </rPr>
      <t xml:space="preserve">底部信号</t>
    </r>
    <r>
      <rPr>
        <sz val="10"/>
        <rFont val="Microsoft YaHei"/>
        <family val="0"/>
        <charset val="1"/>
      </rPr>
      <t xml:space="preserve">;&gt;75%</t>
    </r>
    <r>
      <rPr>
        <sz val="10"/>
        <rFont val="WenQuanYi Zen Hei"/>
        <family val="2"/>
      </rPr>
      <t xml:space="preserve">后回落</t>
    </r>
    <r>
      <rPr>
        <sz val="10"/>
        <rFont val="Microsoft YaHei"/>
        <family val="0"/>
        <charset val="1"/>
      </rPr>
      <t xml:space="preserve">=</t>
    </r>
    <r>
      <rPr>
        <sz val="10"/>
        <rFont val="WenQuanYi Zen Hei"/>
        <family val="2"/>
      </rPr>
      <t xml:space="preserve">顶部信号</t>
    </r>
  </si>
  <si>
    <r>
      <rPr>
        <sz val="10"/>
        <rFont val="Microsoft YaHei"/>
        <family val="0"/>
        <charset val="1"/>
      </rPr>
      <t xml:space="preserve">20</t>
    </r>
    <r>
      <rPr>
        <sz val="10"/>
        <rFont val="WenQuanYi Zen Hei"/>
        <family val="2"/>
      </rPr>
      <t xml:space="preserve">日新高</t>
    </r>
    <r>
      <rPr>
        <sz val="10"/>
        <rFont val="Microsoft YaHei"/>
        <family val="0"/>
        <charset val="1"/>
      </rPr>
      <t xml:space="preserve">-</t>
    </r>
    <r>
      <rPr>
        <sz val="10"/>
        <rFont val="WenQuanYi Zen Hei"/>
        <family val="2"/>
      </rPr>
      <t xml:space="preserve">新低指数</t>
    </r>
  </si>
  <si>
    <r>
      <rPr>
        <sz val="10"/>
        <rFont val="WenQuanYi Zen Hei"/>
        <family val="2"/>
      </rPr>
      <t xml:space="preserve">第</t>
    </r>
    <r>
      <rPr>
        <sz val="10"/>
        <rFont val="Microsoft YaHei"/>
        <family val="0"/>
        <charset val="1"/>
      </rPr>
      <t xml:space="preserve">34</t>
    </r>
    <r>
      <rPr>
        <sz val="10"/>
        <rFont val="WenQuanYi Zen Hei"/>
        <family val="2"/>
      </rPr>
      <t xml:space="preserve">节</t>
    </r>
    <r>
      <rPr>
        <sz val="10"/>
        <rFont val="Microsoft YaHei"/>
        <family val="0"/>
        <charset val="1"/>
      </rPr>
      <t xml:space="preserve">:&gt;0 </t>
    </r>
    <r>
      <rPr>
        <sz val="10"/>
        <rFont val="WenQuanYi Zen Hei"/>
        <family val="2"/>
      </rPr>
      <t xml:space="preserve">多方领导强</t>
    </r>
    <r>
      <rPr>
        <sz val="10"/>
        <rFont val="Microsoft YaHei"/>
        <family val="0"/>
        <charset val="1"/>
      </rPr>
      <t xml:space="preserve">;&lt; -500 </t>
    </r>
    <r>
      <rPr>
        <sz val="10"/>
        <rFont val="WenQuanYi Zen Hei"/>
        <family val="2"/>
      </rPr>
      <t xml:space="preserve">后回升至其上</t>
    </r>
    <r>
      <rPr>
        <sz val="10"/>
        <rFont val="Microsoft YaHei"/>
        <family val="0"/>
        <charset val="1"/>
      </rPr>
      <t xml:space="preserve">="</t>
    </r>
    <r>
      <rPr>
        <sz val="10"/>
        <rFont val="WenQuanYi Zen Hei"/>
        <family val="2"/>
      </rPr>
      <t xml:space="preserve">尖峰反弹</t>
    </r>
    <r>
      <rPr>
        <sz val="10"/>
        <rFont val="Microsoft YaHei"/>
        <family val="0"/>
        <charset val="1"/>
      </rPr>
      <t xml:space="preserve">"</t>
    </r>
    <r>
      <rPr>
        <sz val="10"/>
        <rFont val="WenQuanYi Zen Hei"/>
        <family val="2"/>
      </rPr>
      <t xml:space="preserve">短线买入信号</t>
    </r>
  </si>
  <si>
    <r>
      <rPr>
        <sz val="10"/>
        <rFont val="WenQuanYi Zen Hei"/>
        <family val="2"/>
      </rPr>
      <t xml:space="preserve">尖峰反弹信号</t>
    </r>
    <r>
      <rPr>
        <sz val="10"/>
        <rFont val="Microsoft YaHei"/>
        <family val="0"/>
        <charset val="1"/>
      </rPr>
      <t xml:space="preserve">(1</t>
    </r>
    <r>
      <rPr>
        <sz val="10"/>
        <rFont val="WenQuanYi Zen Hei"/>
        <family val="2"/>
      </rPr>
      <t xml:space="preserve">有</t>
    </r>
    <r>
      <rPr>
        <sz val="10"/>
        <rFont val="Microsoft YaHei"/>
        <family val="0"/>
        <charset val="1"/>
      </rPr>
      <t xml:space="preserve">/0</t>
    </r>
    <r>
      <rPr>
        <sz val="10"/>
        <rFont val="WenQuanYi Zen Hei"/>
        <family val="2"/>
      </rPr>
      <t xml:space="preserve">无</t>
    </r>
    <r>
      <rPr>
        <sz val="10"/>
        <rFont val="Microsoft YaHei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</si>
  <si>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第</t>
    </r>
    <r>
      <rPr>
        <sz val="10"/>
        <rFont val="Microsoft YaHei"/>
        <family val="0"/>
        <charset val="1"/>
      </rPr>
      <t xml:space="preserve">34/54</t>
    </r>
    <r>
      <rPr>
        <sz val="10"/>
        <rFont val="WenQuanYi Zen Hei"/>
        <family val="2"/>
      </rPr>
      <t xml:space="preserve">节</t>
    </r>
    <r>
      <rPr>
        <sz val="10"/>
        <rFont val="Microsoft YaHei"/>
        <family val="0"/>
        <charset val="1"/>
      </rPr>
      <t xml:space="preserve">:20</t>
    </r>
    <r>
      <rPr>
        <sz val="10"/>
        <rFont val="WenQuanYi Zen Hei"/>
        <family val="2"/>
      </rPr>
      <t xml:space="preserve">日</t>
    </r>
    <r>
      <rPr>
        <sz val="10"/>
        <rFont val="Microsoft YaHei"/>
        <family val="0"/>
        <charset val="1"/>
      </rPr>
      <t xml:space="preserve">NH-NL </t>
    </r>
    <r>
      <rPr>
        <sz val="10"/>
        <rFont val="WenQuanYi Zen Hei"/>
        <family val="2"/>
      </rPr>
      <t xml:space="preserve">跌破</t>
    </r>
    <r>
      <rPr>
        <sz val="10"/>
        <rFont val="Microsoft YaHei"/>
        <family val="0"/>
        <charset val="1"/>
      </rPr>
      <t xml:space="preserve">-500</t>
    </r>
    <r>
      <rPr>
        <sz val="10"/>
        <rFont val="WenQuanYi Zen Hei"/>
        <family val="2"/>
      </rPr>
      <t xml:space="preserve">后重新站上</t>
    </r>
  </si>
  <si>
    <r>
      <rPr>
        <b val="true"/>
        <sz val="10"/>
        <rFont val="WenQuanYi Zen Hei"/>
        <family val="2"/>
      </rPr>
      <t xml:space="preserve">市场温度得分</t>
    </r>
    <r>
      <rPr>
        <b val="true"/>
        <sz val="10"/>
        <rFont val="Microsoft YaHei"/>
        <family val="0"/>
        <charset val="1"/>
      </rPr>
      <t xml:space="preserve">(0-4)</t>
    </r>
  </si>
  <si>
    <r>
      <rPr>
        <sz val="10"/>
        <rFont val="WenQuanYi Zen Hei"/>
        <family val="2"/>
      </rPr>
      <t xml:space="preserve">趋势向上、周线非红、广度≥</t>
    </r>
    <r>
      <rPr>
        <sz val="10"/>
        <rFont val="Microsoft YaHei"/>
        <family val="0"/>
        <charset val="1"/>
      </rPr>
      <t xml:space="preserve">40%</t>
    </r>
    <r>
      <rPr>
        <sz val="10"/>
        <rFont val="WenQuanYi Zen Hei"/>
        <family val="2"/>
      </rPr>
      <t xml:space="preserve">、</t>
    </r>
    <r>
      <rPr>
        <sz val="10"/>
        <rFont val="Microsoft YaHei"/>
        <family val="0"/>
        <charset val="1"/>
      </rPr>
      <t xml:space="preserve">NH-NL&gt;0 </t>
    </r>
    <r>
      <rPr>
        <sz val="10"/>
        <rFont val="WenQuanYi Zen Hei"/>
        <family val="2"/>
      </rPr>
      <t xml:space="preserve">各 </t>
    </r>
    <r>
      <rPr>
        <sz val="10"/>
        <rFont val="Microsoft YaHei"/>
        <family val="0"/>
        <charset val="1"/>
      </rPr>
      <t xml:space="preserve">1 </t>
    </r>
    <r>
      <rPr>
        <sz val="10"/>
        <rFont val="WenQuanYi Zen Hei"/>
        <family val="2"/>
      </rPr>
      <t xml:space="preserve">分</t>
    </r>
    <r>
      <rPr>
        <sz val="10"/>
        <rFont val="Microsoft YaHei"/>
        <family val="0"/>
        <charset val="1"/>
      </rPr>
      <t xml:space="preserve">(</t>
    </r>
    <r>
      <rPr>
        <sz val="10"/>
        <rFont val="WenQuanYi Zen Hei"/>
        <family val="2"/>
      </rPr>
      <t xml:space="preserve">阈值为设计假设</t>
    </r>
    <r>
      <rPr>
        <sz val="10"/>
        <rFont val="Microsoft YaHei"/>
        <family val="0"/>
        <charset val="1"/>
      </rPr>
      <t xml:space="preserve">,</t>
    </r>
    <r>
      <rPr>
        <sz val="10"/>
        <rFont val="WenQuanYi Zen Hei"/>
        <family val="2"/>
      </rPr>
      <t xml:space="preserve">第三步回测校准</t>
    </r>
    <r>
      <rPr>
        <sz val="10"/>
        <rFont val="Microsoft YaHei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</si>
  <si>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风险额度系数</t>
    </r>
    <r>
      <rPr>
        <b val="true"/>
        <sz val="10"/>
        <rFont val="Microsoft YaHei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应用于单笔风险</t>
    </r>
    <r>
      <rPr>
        <b val="true"/>
        <sz val="10"/>
        <rFont val="Microsoft YaHei"/>
        <family val="0"/>
        <charset val="1"/>
      </rPr>
      <t xml:space="preserve">%)</t>
    </r>
  </si>
  <si>
    <r>
      <rPr>
        <sz val="10"/>
        <rFont val="WenQuanYi Zen Hei"/>
        <family val="2"/>
      </rPr>
      <t xml:space="preserve">红色周线→</t>
    </r>
    <r>
      <rPr>
        <sz val="10"/>
        <rFont val="Microsoft YaHei"/>
        <family val="0"/>
        <charset val="1"/>
      </rPr>
      <t xml:space="preserve">0(</t>
    </r>
    <r>
      <rPr>
        <sz val="10"/>
        <rFont val="WenQuanYi Zen Hei"/>
        <family val="2"/>
      </rPr>
      <t xml:space="preserve">仅</t>
    </r>
    <r>
      <rPr>
        <sz val="10"/>
        <rFont val="Microsoft YaHei"/>
        <family val="0"/>
        <charset val="1"/>
      </rPr>
      <t xml:space="preserve">"</t>
    </r>
    <r>
      <rPr>
        <sz val="10"/>
        <rFont val="WenQuanYi Zen Hei"/>
        <family val="2"/>
      </rPr>
      <t xml:space="preserve">尖峰反弹</t>
    </r>
    <r>
      <rPr>
        <sz val="10"/>
        <rFont val="Microsoft YaHei"/>
        <family val="0"/>
        <charset val="1"/>
      </rPr>
      <t xml:space="preserve">"</t>
    </r>
    <r>
      <rPr>
        <sz val="10"/>
        <rFont val="WenQuanYi Zen Hei"/>
        <family val="2"/>
      </rPr>
      <t xml:space="preserve">允许</t>
    </r>
    <r>
      <rPr>
        <sz val="10"/>
        <rFont val="Microsoft YaHei"/>
        <family val="0"/>
        <charset val="1"/>
      </rPr>
      <t xml:space="preserve">50%</t>
    </r>
    <r>
      <rPr>
        <sz val="10"/>
        <rFont val="WenQuanYi Zen Hei"/>
        <family val="2"/>
      </rPr>
      <t xml:space="preserve">试探仓</t>
    </r>
    <r>
      <rPr>
        <sz val="10"/>
        <rFont val="Microsoft YaHei"/>
        <family val="0"/>
        <charset val="1"/>
      </rPr>
      <t xml:space="preserve">);</t>
    </r>
    <r>
      <rPr>
        <sz val="10"/>
        <rFont val="WenQuanYi Zen Hei"/>
        <family val="2"/>
      </rPr>
      <t xml:space="preserve">得分≤</t>
    </r>
    <r>
      <rPr>
        <sz val="10"/>
        <rFont val="Microsoft YaHei"/>
        <family val="0"/>
        <charset val="1"/>
      </rPr>
      <t xml:space="preserve">1→0;2→50%;3→75%;4→100%</t>
    </r>
  </si>
  <si>
    <r>
      <rPr>
        <sz val="10"/>
        <rFont val="WenQuanYi Zen Hei"/>
        <family val="2"/>
      </rPr>
      <t xml:space="preserve">对应书中</t>
    </r>
    <r>
      <rPr>
        <sz val="10"/>
        <rFont val="Microsoft YaHei"/>
        <family val="0"/>
        <charset val="1"/>
      </rPr>
      <t xml:space="preserve">"</t>
    </r>
    <r>
      <rPr>
        <sz val="10"/>
        <rFont val="WenQuanYi Zen Hei"/>
        <family val="2"/>
      </rPr>
      <t xml:space="preserve">只在潮流方向交易</t>
    </r>
    <r>
      <rPr>
        <sz val="10"/>
        <rFont val="Microsoft YaHei"/>
        <family val="0"/>
        <charset val="1"/>
      </rPr>
      <t xml:space="preserve">"</t>
    </r>
    <r>
      <rPr>
        <sz val="10"/>
        <rFont val="WenQuanYi Zen Hei"/>
        <family val="2"/>
      </rPr>
      <t xml:space="preserve">的纪律</t>
    </r>
    <r>
      <rPr>
        <sz val="10"/>
        <rFont val="Microsoft YaHei"/>
        <family val="0"/>
        <charset val="1"/>
      </rPr>
      <t xml:space="preserve">:</t>
    </r>
    <r>
      <rPr>
        <sz val="10"/>
        <rFont val="WenQuanYi Zen Hei"/>
        <family val="2"/>
      </rPr>
      <t xml:space="preserve">大盘不配合时</t>
    </r>
    <r>
      <rPr>
        <sz val="10"/>
        <rFont val="Microsoft YaHei"/>
        <family val="0"/>
        <charset val="1"/>
      </rPr>
      <t xml:space="preserve">,</t>
    </r>
    <r>
      <rPr>
        <sz val="10"/>
        <rFont val="WenQuanYi Zen Hei"/>
        <family val="2"/>
      </rPr>
      <t xml:space="preserve">最好的交易是不交易</t>
    </r>
  </si>
  <si>
    <r>
      <rPr>
        <b val="true"/>
        <sz val="14"/>
        <color rgb="FF1F3A5F"/>
        <rFont val="WenQuanYi Zen Hei"/>
        <family val="2"/>
      </rPr>
      <t xml:space="preserve">图表</t>
    </r>
    <r>
      <rPr>
        <b val="true"/>
        <sz val="14"/>
        <color rgb="FF1F3A5F"/>
        <rFont val="Microsoft YaHei"/>
        <family val="0"/>
        <charset val="1"/>
      </rPr>
      <t xml:space="preserve">(</t>
    </r>
    <r>
      <rPr>
        <b val="true"/>
        <sz val="14"/>
        <color rgb="FF1F3A5F"/>
        <rFont val="WenQuanYi Zen Hei"/>
        <family val="2"/>
      </rPr>
      <t xml:space="preserve">最近 </t>
    </r>
    <r>
      <rPr>
        <b val="true"/>
        <sz val="14"/>
        <color rgb="FF1F3A5F"/>
        <rFont val="Microsoft YaHei"/>
        <family val="0"/>
        <charset val="1"/>
      </rPr>
      <t xml:space="preserve">120 </t>
    </r>
    <r>
      <rPr>
        <b val="true"/>
        <sz val="14"/>
        <color rgb="FF1F3A5F"/>
        <rFont val="WenQuanYi Zen Hei"/>
        <family val="2"/>
      </rPr>
      <t xml:space="preserve">根日线</t>
    </r>
    <r>
      <rPr>
        <b val="true"/>
        <sz val="14"/>
        <color rgb="FF1F3A5F"/>
        <rFont val="Microsoft YaHei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</si>
</sst>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%"/>
    <numFmt numFmtId="166" formatCode="#,##0"/>
    <numFmt numFmtId="167" formatCode="yyyy\-mm\-dd"/>
    <numFmt numFmtId="168" formatCode="0"/>
    <numFmt numFmtId="169" formatCode="0.0"/>
    <numFmt numFmtId="170" formatCode="0.00"/>
    <numFmt numFmtId="171" formatCode="0%"/>
    <numFmt numFmtId="172" formatCode="0.000"/>
    <numFmt numFmtId="173" formatCode="0.00%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WenQuanYi Zen Hei"/>
      <family val="2"/>
    </font>
    <font>
      <b val="true"/>
      <sz val="16"/>
      <color rgb="FF1F3A5F"/>
      <name val="Microsoft YaHei"/>
      <family val="0"/>
      <charset val="1"/>
    </font>
    <font>
      <b val="true"/>
      <sz val="10"/>
      <name val="WenQuanYi Zen Hei"/>
      <family val="2"/>
    </font>
    <font>
      <sz val="10"/>
      <name val="WenQuanYi Zen Hei"/>
      <family val="2"/>
    </font>
    <font>
      <sz val="10"/>
      <name val="Microsoft YaHei"/>
      <family val="0"/>
      <charset val="1"/>
    </font>
    <font>
      <b val="true"/>
      <sz val="14"/>
      <color rgb="FF1F3A5F"/>
      <name val="WenQuanYi Zen Hei"/>
      <family val="2"/>
    </font>
    <font>
      <b val="true"/>
      <sz val="14"/>
      <color rgb="FF1F3A5F"/>
      <name val="Microsoft YaHei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color rgb="FFFFFFFF"/>
      <name val="Microsoft YaHei"/>
      <family val="0"/>
      <charset val="1"/>
    </font>
    <font>
      <b val="true"/>
      <sz val="10"/>
      <name val="Microsoft YaHei"/>
      <family val="0"/>
      <charset val="1"/>
    </font>
    <font>
      <b val="true"/>
      <sz val="16"/>
      <color rgb="FFB00020"/>
      <name val="Microsoft YaHei"/>
      <family val="0"/>
      <charset val="1"/>
    </font>
    <font>
      <sz val="9"/>
      <color rgb="FFB00020"/>
      <name val="WenQuanYi Zen Hei"/>
      <family val="2"/>
    </font>
    <font>
      <sz val="9"/>
      <color rgb="FFB00020"/>
      <name val="Microsoft YaHei"/>
      <family val="0"/>
      <charset val="1"/>
    </font>
    <font>
      <b val="true"/>
      <sz val="12"/>
      <color rgb="FF1F3A5F"/>
      <name val="WenQuanYi Zen Hei"/>
      <family val="2"/>
    </font>
    <font>
      <b val="true"/>
      <sz val="12"/>
      <color rgb="FF1F3A5F"/>
      <name val="Microsoft YaHei"/>
      <family val="0"/>
      <charset val="1"/>
    </font>
    <font>
      <b val="true"/>
      <sz val="10"/>
      <color rgb="FFB00020"/>
      <name val="WenQuanYi Zen Hei"/>
      <family val="2"/>
    </font>
    <font>
      <b val="true"/>
      <sz val="10"/>
      <color rgb="FFB00020"/>
      <name val="Microsoft YaHei"/>
      <family val="0"/>
      <charset val="1"/>
    </font>
    <font>
      <b val="true"/>
      <sz val="9"/>
      <color rgb="FF1F3A5F"/>
      <name val="WenQuanYi Zen Hei"/>
      <family val="2"/>
    </font>
    <font>
      <b val="true"/>
      <sz val="9"/>
      <color rgb="FF1F3A5F"/>
      <name val="Microsoft YaHei"/>
      <family val="0"/>
      <charset val="1"/>
    </font>
    <font>
      <b val="true"/>
      <sz val="18"/>
      <color rgb="FF000000"/>
      <name val="WenQuanYi Zen Hei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2F4F7"/>
        <bgColor rgb="FFE3F1F4"/>
      </patternFill>
    </fill>
    <fill>
      <patternFill patternType="solid">
        <fgColor rgb="FF1F3A5F"/>
        <bgColor rgb="FF333333"/>
      </patternFill>
    </fill>
    <fill>
      <patternFill patternType="solid">
        <fgColor rgb="FF2A7F8E"/>
        <bgColor rgb="FF008080"/>
      </patternFill>
    </fill>
    <fill>
      <patternFill patternType="solid">
        <fgColor rgb="FFFFF6D6"/>
        <bgColor rgb="FFF2F4F7"/>
      </patternFill>
    </fill>
    <fill>
      <patternFill patternType="solid">
        <fgColor rgb="FFE3F1F4"/>
        <bgColor rgb="FFF2F4F7"/>
      </patternFill>
    </fill>
    <fill>
      <patternFill patternType="solid">
        <fgColor rgb="FFDDE6EE"/>
        <bgColor rgb="FFCFE8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ED6"/>
      </left>
      <right style="thin">
        <color rgb="FFC9CED6"/>
      </right>
      <top style="thin">
        <color rgb="FFC9CED6"/>
      </top>
      <bottom style="thin">
        <color rgb="FFC9CE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3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3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3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8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3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8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8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13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13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3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3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3" fontId="8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3" fontId="13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FFD166"/>
        </patternFill>
      </fill>
    </dxf>
    <dxf>
      <fill>
        <patternFill>
          <bgColor rgb="FFF4B6B6"/>
        </patternFill>
      </fill>
    </dxf>
    <dxf>
      <fill>
        <patternFill>
          <bgColor rgb="FFB7E1B5"/>
        </patternFill>
      </fill>
    </dxf>
    <dxf>
      <fill>
        <patternFill>
          <bgColor rgb="FFB9D3F2"/>
        </patternFill>
      </fill>
    </dxf>
    <dxf>
      <font>
        <b val="1"/>
      </font>
      <fill>
        <patternFill>
          <bgColor rgb="FFFFD166"/>
        </patternFill>
      </fill>
    </dxf>
    <dxf>
      <fill>
        <patternFill>
          <bgColor rgb="FFCFE8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008000"/>
      <rgbColor rgb="FF000080"/>
      <rgbColor rgb="FF808000"/>
      <rgbColor rgb="FF800080"/>
      <rgbColor rgb="FF2A7F8E"/>
      <rgbColor rgb="FFC9CED6"/>
      <rgbColor rgb="FF878787"/>
      <rgbColor rgb="FF9999FF"/>
      <rgbColor rgb="FF993366"/>
      <rgbColor rgb="FFFFF6D6"/>
      <rgbColor rgb="FFE3F1F4"/>
      <rgbColor rgb="FF660066"/>
      <rgbColor rgb="FFFF8080"/>
      <rgbColor rgb="FF0066CC"/>
      <rgbColor rgb="FFB9D3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E8E6"/>
      <rgbColor rgb="FFDDE6EE"/>
      <rgbColor rgb="FFF2F4F7"/>
      <rgbColor rgb="FFB7E1B5"/>
      <rgbColor rgb="FFF4B6B6"/>
      <rgbColor rgb="FFD9D9D9"/>
      <rgbColor rgb="FFFFD166"/>
      <rgbColor rgb="FF3366FF"/>
      <rgbColor rgb="FF33CCCC"/>
      <rgbColor rgb="FF99CC00"/>
      <rgbColor rgb="FFFFCC00"/>
      <rgbColor rgb="FFE8B04B"/>
      <rgbColor rgb="FFFF6600"/>
      <rgbColor rgb="FF666699"/>
      <rgbColor rgb="FF9AA5B1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收盘价、EMA13/26 价值区间与通道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"收盘"</c:f>
              <c:strCache>
                <c:ptCount val="1"/>
                <c:pt idx="0">
                  <c:v>收盘</c:v>
                </c:pt>
              </c:strCache>
            </c:strRef>
          </c:tx>
          <c:spPr>
            <a:solidFill>
              <a:srgbClr val="1f3a5f"/>
            </a:solidFill>
            <a:ln w="14040">
              <a:solidFill>
                <a:srgbClr val="1f3a5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日线!$A$191:$A$310</c:f>
              <c:strCache>
                <c:ptCount val="120"/>
                <c:pt idx="0">
                  <c:v>2025-09-19</c:v>
                </c:pt>
                <c:pt idx="1">
                  <c:v>2025-09-22</c:v>
                </c:pt>
                <c:pt idx="2">
                  <c:v>2025-09-23</c:v>
                </c:pt>
                <c:pt idx="3">
                  <c:v>2025-09-24</c:v>
                </c:pt>
                <c:pt idx="4">
                  <c:v>2025-09-25</c:v>
                </c:pt>
                <c:pt idx="5">
                  <c:v>2025-09-26</c:v>
                </c:pt>
                <c:pt idx="6">
                  <c:v>2025-09-29</c:v>
                </c:pt>
                <c:pt idx="7">
                  <c:v>2025-09-30</c:v>
                </c:pt>
                <c:pt idx="8">
                  <c:v>2025-10-01</c:v>
                </c:pt>
                <c:pt idx="9">
                  <c:v>2025-10-02</c:v>
                </c:pt>
                <c:pt idx="10">
                  <c:v>2025-10-03</c:v>
                </c:pt>
                <c:pt idx="11">
                  <c:v>2025-10-06</c:v>
                </c:pt>
                <c:pt idx="12">
                  <c:v>2025-10-07</c:v>
                </c:pt>
                <c:pt idx="13">
                  <c:v>2025-10-08</c:v>
                </c:pt>
                <c:pt idx="14">
                  <c:v>2025-10-09</c:v>
                </c:pt>
                <c:pt idx="15">
                  <c:v>2025-10-10</c:v>
                </c:pt>
                <c:pt idx="16">
                  <c:v>2025-10-13</c:v>
                </c:pt>
                <c:pt idx="17">
                  <c:v>2025-10-14</c:v>
                </c:pt>
                <c:pt idx="18">
                  <c:v>2025-10-15</c:v>
                </c:pt>
                <c:pt idx="19">
                  <c:v>2025-10-16</c:v>
                </c:pt>
                <c:pt idx="20">
                  <c:v>2025-10-17</c:v>
                </c:pt>
                <c:pt idx="21">
                  <c:v>2025-10-20</c:v>
                </c:pt>
                <c:pt idx="22">
                  <c:v>2025-10-21</c:v>
                </c:pt>
                <c:pt idx="23">
                  <c:v>2025-10-22</c:v>
                </c:pt>
                <c:pt idx="24">
                  <c:v>2025-10-23</c:v>
                </c:pt>
                <c:pt idx="25">
                  <c:v>2025-10-24</c:v>
                </c:pt>
                <c:pt idx="26">
                  <c:v>2025-10-27</c:v>
                </c:pt>
                <c:pt idx="27">
                  <c:v>2025-10-28</c:v>
                </c:pt>
                <c:pt idx="28">
                  <c:v>2025-10-29</c:v>
                </c:pt>
                <c:pt idx="29">
                  <c:v>2025-10-30</c:v>
                </c:pt>
                <c:pt idx="30">
                  <c:v>2025-10-31</c:v>
                </c:pt>
                <c:pt idx="31">
                  <c:v>2025-11-03</c:v>
                </c:pt>
                <c:pt idx="32">
                  <c:v>2025-11-04</c:v>
                </c:pt>
                <c:pt idx="33">
                  <c:v>2025-11-05</c:v>
                </c:pt>
                <c:pt idx="34">
                  <c:v>2025-11-06</c:v>
                </c:pt>
                <c:pt idx="35">
                  <c:v>2025-11-07</c:v>
                </c:pt>
                <c:pt idx="36">
                  <c:v>2025-11-10</c:v>
                </c:pt>
                <c:pt idx="37">
                  <c:v>2025-11-11</c:v>
                </c:pt>
                <c:pt idx="38">
                  <c:v>2025-11-12</c:v>
                </c:pt>
                <c:pt idx="39">
                  <c:v>2025-11-13</c:v>
                </c:pt>
                <c:pt idx="40">
                  <c:v>2025-11-14</c:v>
                </c:pt>
                <c:pt idx="41">
                  <c:v>2025-11-17</c:v>
                </c:pt>
                <c:pt idx="42">
                  <c:v>2025-11-18</c:v>
                </c:pt>
                <c:pt idx="43">
                  <c:v>2025-11-19</c:v>
                </c:pt>
                <c:pt idx="44">
                  <c:v>2025-11-20</c:v>
                </c:pt>
                <c:pt idx="45">
                  <c:v>2025-11-21</c:v>
                </c:pt>
                <c:pt idx="46">
                  <c:v>2025-11-24</c:v>
                </c:pt>
                <c:pt idx="47">
                  <c:v>2025-11-25</c:v>
                </c:pt>
                <c:pt idx="48">
                  <c:v>2025-11-26</c:v>
                </c:pt>
                <c:pt idx="49">
                  <c:v>2025-11-27</c:v>
                </c:pt>
                <c:pt idx="50">
                  <c:v>2025-11-28</c:v>
                </c:pt>
                <c:pt idx="51">
                  <c:v>2025-12-01</c:v>
                </c:pt>
                <c:pt idx="52">
                  <c:v>2025-12-02</c:v>
                </c:pt>
                <c:pt idx="53">
                  <c:v>2025-12-03</c:v>
                </c:pt>
                <c:pt idx="54">
                  <c:v>2025-12-04</c:v>
                </c:pt>
                <c:pt idx="55">
                  <c:v>2025-12-05</c:v>
                </c:pt>
                <c:pt idx="56">
                  <c:v>2025-12-08</c:v>
                </c:pt>
                <c:pt idx="57">
                  <c:v>2025-12-09</c:v>
                </c:pt>
                <c:pt idx="58">
                  <c:v>2025-12-10</c:v>
                </c:pt>
                <c:pt idx="59">
                  <c:v>2025-12-11</c:v>
                </c:pt>
                <c:pt idx="60">
                  <c:v>2025-12-12</c:v>
                </c:pt>
                <c:pt idx="61">
                  <c:v>2025-12-15</c:v>
                </c:pt>
                <c:pt idx="62">
                  <c:v>2025-12-16</c:v>
                </c:pt>
                <c:pt idx="63">
                  <c:v>2025-12-17</c:v>
                </c:pt>
                <c:pt idx="64">
                  <c:v>2025-12-18</c:v>
                </c:pt>
                <c:pt idx="65">
                  <c:v>2025-12-19</c:v>
                </c:pt>
                <c:pt idx="66">
                  <c:v>2025-12-22</c:v>
                </c:pt>
                <c:pt idx="67">
                  <c:v>2025-12-23</c:v>
                </c:pt>
                <c:pt idx="68">
                  <c:v>2025-12-24</c:v>
                </c:pt>
                <c:pt idx="69">
                  <c:v>2025-12-25</c:v>
                </c:pt>
                <c:pt idx="70">
                  <c:v>2025-12-26</c:v>
                </c:pt>
                <c:pt idx="71">
                  <c:v>2025-12-29</c:v>
                </c:pt>
                <c:pt idx="72">
                  <c:v>2025-12-30</c:v>
                </c:pt>
                <c:pt idx="73">
                  <c:v>2025-12-31</c:v>
                </c:pt>
                <c:pt idx="74">
                  <c:v>2026-01-01</c:v>
                </c:pt>
                <c:pt idx="75">
                  <c:v>2026-01-02</c:v>
                </c:pt>
                <c:pt idx="76">
                  <c:v>2026-01-05</c:v>
                </c:pt>
                <c:pt idx="77">
                  <c:v>2026-01-06</c:v>
                </c:pt>
                <c:pt idx="78">
                  <c:v>2026-01-07</c:v>
                </c:pt>
                <c:pt idx="79">
                  <c:v>2026-01-08</c:v>
                </c:pt>
                <c:pt idx="80">
                  <c:v>2026-01-09</c:v>
                </c:pt>
                <c:pt idx="81">
                  <c:v>2026-01-12</c:v>
                </c:pt>
                <c:pt idx="82">
                  <c:v>2026-01-13</c:v>
                </c:pt>
                <c:pt idx="83">
                  <c:v>2026-01-14</c:v>
                </c:pt>
                <c:pt idx="84">
                  <c:v>2026-01-15</c:v>
                </c:pt>
                <c:pt idx="85">
                  <c:v>2026-01-16</c:v>
                </c:pt>
                <c:pt idx="86">
                  <c:v>2026-01-19</c:v>
                </c:pt>
                <c:pt idx="87">
                  <c:v>2026-01-20</c:v>
                </c:pt>
                <c:pt idx="88">
                  <c:v>2026-01-21</c:v>
                </c:pt>
                <c:pt idx="89">
                  <c:v>2026-01-22</c:v>
                </c:pt>
                <c:pt idx="90">
                  <c:v>2026-01-23</c:v>
                </c:pt>
                <c:pt idx="91">
                  <c:v>2026-01-26</c:v>
                </c:pt>
                <c:pt idx="92">
                  <c:v>2026-01-27</c:v>
                </c:pt>
                <c:pt idx="93">
                  <c:v>2026-01-28</c:v>
                </c:pt>
                <c:pt idx="94">
                  <c:v>2026-01-29</c:v>
                </c:pt>
                <c:pt idx="95">
                  <c:v>2026-01-30</c:v>
                </c:pt>
                <c:pt idx="96">
                  <c:v>2026-02-02</c:v>
                </c:pt>
                <c:pt idx="97">
                  <c:v>2026-02-03</c:v>
                </c:pt>
                <c:pt idx="98">
                  <c:v>2026-02-04</c:v>
                </c:pt>
                <c:pt idx="99">
                  <c:v>2026-02-05</c:v>
                </c:pt>
                <c:pt idx="100">
                  <c:v>2026-02-06</c:v>
                </c:pt>
                <c:pt idx="101">
                  <c:v>2026-02-09</c:v>
                </c:pt>
                <c:pt idx="102">
                  <c:v>2026-02-10</c:v>
                </c:pt>
                <c:pt idx="103">
                  <c:v>2026-02-11</c:v>
                </c:pt>
                <c:pt idx="104">
                  <c:v>2026-02-12</c:v>
                </c:pt>
                <c:pt idx="105">
                  <c:v>2026-02-13</c:v>
                </c:pt>
                <c:pt idx="106">
                  <c:v>2026-02-16</c:v>
                </c:pt>
                <c:pt idx="107">
                  <c:v>2026-02-17</c:v>
                </c:pt>
                <c:pt idx="108">
                  <c:v>2026-02-18</c:v>
                </c:pt>
                <c:pt idx="109">
                  <c:v>2026-02-19</c:v>
                </c:pt>
                <c:pt idx="110">
                  <c:v>2026-02-20</c:v>
                </c:pt>
                <c:pt idx="111">
                  <c:v>2026-02-23</c:v>
                </c:pt>
                <c:pt idx="112">
                  <c:v>2026-02-24</c:v>
                </c:pt>
                <c:pt idx="113">
                  <c:v>2026-02-25</c:v>
                </c:pt>
                <c:pt idx="114">
                  <c:v>2026-02-26</c:v>
                </c:pt>
                <c:pt idx="115">
                  <c:v>2026-02-27</c:v>
                </c:pt>
                <c:pt idx="116">
                  <c:v>2026-03-02</c:v>
                </c:pt>
                <c:pt idx="117">
                  <c:v>2026-03-03</c:v>
                </c:pt>
                <c:pt idx="118">
                  <c:v>2026-03-04</c:v>
                </c:pt>
                <c:pt idx="119">
                  <c:v>2026-03-05</c:v>
                </c:pt>
              </c:strCache>
            </c:strRef>
          </c:cat>
          <c:val>
            <c:numRef>
              <c:f>日线!$E$191:$E$310</c:f>
              <c:numCache>
                <c:formatCode>0.00</c:formatCode>
                <c:ptCount val="120"/>
                <c:pt idx="0">
                  <c:v>24.8</c:v>
                </c:pt>
                <c:pt idx="1">
                  <c:v>25.06</c:v>
                </c:pt>
                <c:pt idx="2">
                  <c:v>25.16</c:v>
                </c:pt>
                <c:pt idx="3">
                  <c:v>25.12</c:v>
                </c:pt>
                <c:pt idx="4">
                  <c:v>25.92</c:v>
                </c:pt>
                <c:pt idx="5">
                  <c:v>26.1</c:v>
                </c:pt>
                <c:pt idx="6">
                  <c:v>26.31</c:v>
                </c:pt>
                <c:pt idx="7">
                  <c:v>26.48</c:v>
                </c:pt>
                <c:pt idx="8">
                  <c:v>25.89</c:v>
                </c:pt>
                <c:pt idx="9">
                  <c:v>26.27</c:v>
                </c:pt>
                <c:pt idx="10">
                  <c:v>27.19</c:v>
                </c:pt>
                <c:pt idx="11">
                  <c:v>27.18</c:v>
                </c:pt>
                <c:pt idx="12">
                  <c:v>27.81</c:v>
                </c:pt>
                <c:pt idx="13">
                  <c:v>27.55</c:v>
                </c:pt>
                <c:pt idx="14">
                  <c:v>26.9</c:v>
                </c:pt>
                <c:pt idx="15">
                  <c:v>26.86</c:v>
                </c:pt>
                <c:pt idx="16">
                  <c:v>27.06</c:v>
                </c:pt>
                <c:pt idx="17">
                  <c:v>27.72</c:v>
                </c:pt>
                <c:pt idx="18">
                  <c:v>27.87</c:v>
                </c:pt>
                <c:pt idx="19">
                  <c:v>27.69</c:v>
                </c:pt>
                <c:pt idx="20">
                  <c:v>27.43</c:v>
                </c:pt>
                <c:pt idx="21">
                  <c:v>27.17</c:v>
                </c:pt>
                <c:pt idx="22">
                  <c:v>27.57</c:v>
                </c:pt>
                <c:pt idx="23">
                  <c:v>28.14</c:v>
                </c:pt>
                <c:pt idx="24">
                  <c:v>28.22</c:v>
                </c:pt>
                <c:pt idx="25">
                  <c:v>28.7</c:v>
                </c:pt>
                <c:pt idx="26">
                  <c:v>29.15</c:v>
                </c:pt>
                <c:pt idx="27">
                  <c:v>28.37</c:v>
                </c:pt>
                <c:pt idx="28">
                  <c:v>28.9</c:v>
                </c:pt>
                <c:pt idx="29">
                  <c:v>28.62</c:v>
                </c:pt>
                <c:pt idx="30">
                  <c:v>28.95</c:v>
                </c:pt>
                <c:pt idx="31">
                  <c:v>29.32</c:v>
                </c:pt>
                <c:pt idx="32">
                  <c:v>28.79</c:v>
                </c:pt>
                <c:pt idx="33">
                  <c:v>28.33</c:v>
                </c:pt>
                <c:pt idx="34">
                  <c:v>28.14</c:v>
                </c:pt>
                <c:pt idx="35">
                  <c:v>28.09</c:v>
                </c:pt>
                <c:pt idx="36">
                  <c:v>28.74</c:v>
                </c:pt>
                <c:pt idx="37">
                  <c:v>28.93</c:v>
                </c:pt>
                <c:pt idx="38">
                  <c:v>28.62</c:v>
                </c:pt>
                <c:pt idx="39">
                  <c:v>28.98</c:v>
                </c:pt>
                <c:pt idx="40">
                  <c:v>28.86</c:v>
                </c:pt>
                <c:pt idx="41">
                  <c:v>28.7</c:v>
                </c:pt>
                <c:pt idx="42">
                  <c:v>29.41</c:v>
                </c:pt>
                <c:pt idx="43">
                  <c:v>29.93</c:v>
                </c:pt>
                <c:pt idx="44">
                  <c:v>30.15</c:v>
                </c:pt>
                <c:pt idx="45">
                  <c:v>30.32</c:v>
                </c:pt>
                <c:pt idx="46">
                  <c:v>31.33</c:v>
                </c:pt>
                <c:pt idx="47">
                  <c:v>32.12</c:v>
                </c:pt>
                <c:pt idx="48">
                  <c:v>31.99</c:v>
                </c:pt>
                <c:pt idx="49">
                  <c:v>32.6</c:v>
                </c:pt>
                <c:pt idx="50">
                  <c:v>32.64</c:v>
                </c:pt>
                <c:pt idx="51">
                  <c:v>32.04</c:v>
                </c:pt>
                <c:pt idx="52">
                  <c:v>32.04</c:v>
                </c:pt>
                <c:pt idx="53">
                  <c:v>32.54</c:v>
                </c:pt>
                <c:pt idx="54">
                  <c:v>31.92</c:v>
                </c:pt>
                <c:pt idx="55">
                  <c:v>31.04</c:v>
                </c:pt>
                <c:pt idx="56">
                  <c:v>30.97</c:v>
                </c:pt>
                <c:pt idx="57">
                  <c:v>31.14</c:v>
                </c:pt>
                <c:pt idx="58">
                  <c:v>31.11</c:v>
                </c:pt>
                <c:pt idx="59">
                  <c:v>31.69</c:v>
                </c:pt>
                <c:pt idx="60">
                  <c:v>31.47</c:v>
                </c:pt>
                <c:pt idx="61">
                  <c:v>31.02</c:v>
                </c:pt>
                <c:pt idx="62">
                  <c:v>30.75</c:v>
                </c:pt>
                <c:pt idx="63">
                  <c:v>30.63</c:v>
                </c:pt>
                <c:pt idx="64">
                  <c:v>30.81</c:v>
                </c:pt>
                <c:pt idx="65">
                  <c:v>30.08</c:v>
                </c:pt>
                <c:pt idx="66">
                  <c:v>30.61</c:v>
                </c:pt>
                <c:pt idx="67">
                  <c:v>30.46</c:v>
                </c:pt>
                <c:pt idx="68">
                  <c:v>29.72</c:v>
                </c:pt>
                <c:pt idx="69">
                  <c:v>29.4</c:v>
                </c:pt>
                <c:pt idx="70">
                  <c:v>28.66</c:v>
                </c:pt>
                <c:pt idx="71">
                  <c:v>29</c:v>
                </c:pt>
                <c:pt idx="72">
                  <c:v>29.05</c:v>
                </c:pt>
                <c:pt idx="73">
                  <c:v>29.16</c:v>
                </c:pt>
                <c:pt idx="74">
                  <c:v>29.06</c:v>
                </c:pt>
                <c:pt idx="75">
                  <c:v>28.54</c:v>
                </c:pt>
                <c:pt idx="76">
                  <c:v>28.36</c:v>
                </c:pt>
                <c:pt idx="77">
                  <c:v>28.64</c:v>
                </c:pt>
                <c:pt idx="78">
                  <c:v>28.42</c:v>
                </c:pt>
                <c:pt idx="79">
                  <c:v>27.73</c:v>
                </c:pt>
                <c:pt idx="80">
                  <c:v>26.87</c:v>
                </c:pt>
                <c:pt idx="81">
                  <c:v>26.59</c:v>
                </c:pt>
                <c:pt idx="82">
                  <c:v>26.06</c:v>
                </c:pt>
                <c:pt idx="83">
                  <c:v>26.34</c:v>
                </c:pt>
                <c:pt idx="84">
                  <c:v>26.68</c:v>
                </c:pt>
                <c:pt idx="85">
                  <c:v>26.93</c:v>
                </c:pt>
                <c:pt idx="86">
                  <c:v>26.67</c:v>
                </c:pt>
                <c:pt idx="87">
                  <c:v>26.72</c:v>
                </c:pt>
                <c:pt idx="88">
                  <c:v>26.76</c:v>
                </c:pt>
                <c:pt idx="89">
                  <c:v>27.44</c:v>
                </c:pt>
                <c:pt idx="90">
                  <c:v>27.4</c:v>
                </c:pt>
                <c:pt idx="91">
                  <c:v>26.98</c:v>
                </c:pt>
                <c:pt idx="92">
                  <c:v>27.42</c:v>
                </c:pt>
                <c:pt idx="93">
                  <c:v>27.21</c:v>
                </c:pt>
                <c:pt idx="94">
                  <c:v>27.65</c:v>
                </c:pt>
                <c:pt idx="95">
                  <c:v>27.92</c:v>
                </c:pt>
                <c:pt idx="96">
                  <c:v>28.12</c:v>
                </c:pt>
                <c:pt idx="97">
                  <c:v>28.82</c:v>
                </c:pt>
                <c:pt idx="98">
                  <c:v>28.88</c:v>
                </c:pt>
                <c:pt idx="99">
                  <c:v>29.07</c:v>
                </c:pt>
                <c:pt idx="100">
                  <c:v>29.17</c:v>
                </c:pt>
                <c:pt idx="101">
                  <c:v>29.67</c:v>
                </c:pt>
                <c:pt idx="102">
                  <c:v>30.12</c:v>
                </c:pt>
                <c:pt idx="103">
                  <c:v>31.13</c:v>
                </c:pt>
                <c:pt idx="104">
                  <c:v>31.41</c:v>
                </c:pt>
                <c:pt idx="105">
                  <c:v>31.21</c:v>
                </c:pt>
                <c:pt idx="106">
                  <c:v>30.87</c:v>
                </c:pt>
                <c:pt idx="107">
                  <c:v>30.71</c:v>
                </c:pt>
                <c:pt idx="108">
                  <c:v>30.46</c:v>
                </c:pt>
                <c:pt idx="109">
                  <c:v>30.48</c:v>
                </c:pt>
                <c:pt idx="110">
                  <c:v>30.49</c:v>
                </c:pt>
                <c:pt idx="111">
                  <c:v>30.13</c:v>
                </c:pt>
                <c:pt idx="112">
                  <c:v>29.79</c:v>
                </c:pt>
                <c:pt idx="113">
                  <c:v>29.75</c:v>
                </c:pt>
                <c:pt idx="114">
                  <c:v>29.65</c:v>
                </c:pt>
                <c:pt idx="115">
                  <c:v>29.91</c:v>
                </c:pt>
                <c:pt idx="116">
                  <c:v>29.29</c:v>
                </c:pt>
                <c:pt idx="117">
                  <c:v>29.42</c:v>
                </c:pt>
                <c:pt idx="118">
                  <c:v>29.97</c:v>
                </c:pt>
                <c:pt idx="119">
                  <c:v>29.69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"EMA快(13)"</c:f>
              <c:strCache>
                <c:ptCount val="1"/>
                <c:pt idx="0">
                  <c:v>EMA快(13)</c:v>
                </c:pt>
              </c:strCache>
            </c:strRef>
          </c:tx>
          <c:spPr>
            <a:solidFill>
              <a:srgbClr val="e8b04b"/>
            </a:solidFill>
            <a:ln w="14040">
              <a:solidFill>
                <a:srgbClr val="e8b0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日线!$A$191:$A$310</c:f>
              <c:strCache>
                <c:ptCount val="120"/>
                <c:pt idx="0">
                  <c:v>2025-09-19</c:v>
                </c:pt>
                <c:pt idx="1">
                  <c:v>2025-09-22</c:v>
                </c:pt>
                <c:pt idx="2">
                  <c:v>2025-09-23</c:v>
                </c:pt>
                <c:pt idx="3">
                  <c:v>2025-09-24</c:v>
                </c:pt>
                <c:pt idx="4">
                  <c:v>2025-09-25</c:v>
                </c:pt>
                <c:pt idx="5">
                  <c:v>2025-09-26</c:v>
                </c:pt>
                <c:pt idx="6">
                  <c:v>2025-09-29</c:v>
                </c:pt>
                <c:pt idx="7">
                  <c:v>2025-09-30</c:v>
                </c:pt>
                <c:pt idx="8">
                  <c:v>2025-10-01</c:v>
                </c:pt>
                <c:pt idx="9">
                  <c:v>2025-10-02</c:v>
                </c:pt>
                <c:pt idx="10">
                  <c:v>2025-10-03</c:v>
                </c:pt>
                <c:pt idx="11">
                  <c:v>2025-10-06</c:v>
                </c:pt>
                <c:pt idx="12">
                  <c:v>2025-10-07</c:v>
                </c:pt>
                <c:pt idx="13">
                  <c:v>2025-10-08</c:v>
                </c:pt>
                <c:pt idx="14">
                  <c:v>2025-10-09</c:v>
                </c:pt>
                <c:pt idx="15">
                  <c:v>2025-10-10</c:v>
                </c:pt>
                <c:pt idx="16">
                  <c:v>2025-10-13</c:v>
                </c:pt>
                <c:pt idx="17">
                  <c:v>2025-10-14</c:v>
                </c:pt>
                <c:pt idx="18">
                  <c:v>2025-10-15</c:v>
                </c:pt>
                <c:pt idx="19">
                  <c:v>2025-10-16</c:v>
                </c:pt>
                <c:pt idx="20">
                  <c:v>2025-10-17</c:v>
                </c:pt>
                <c:pt idx="21">
                  <c:v>2025-10-20</c:v>
                </c:pt>
                <c:pt idx="22">
                  <c:v>2025-10-21</c:v>
                </c:pt>
                <c:pt idx="23">
                  <c:v>2025-10-22</c:v>
                </c:pt>
                <c:pt idx="24">
                  <c:v>2025-10-23</c:v>
                </c:pt>
                <c:pt idx="25">
                  <c:v>2025-10-24</c:v>
                </c:pt>
                <c:pt idx="26">
                  <c:v>2025-10-27</c:v>
                </c:pt>
                <c:pt idx="27">
                  <c:v>2025-10-28</c:v>
                </c:pt>
                <c:pt idx="28">
                  <c:v>2025-10-29</c:v>
                </c:pt>
                <c:pt idx="29">
                  <c:v>2025-10-30</c:v>
                </c:pt>
                <c:pt idx="30">
                  <c:v>2025-10-31</c:v>
                </c:pt>
                <c:pt idx="31">
                  <c:v>2025-11-03</c:v>
                </c:pt>
                <c:pt idx="32">
                  <c:v>2025-11-04</c:v>
                </c:pt>
                <c:pt idx="33">
                  <c:v>2025-11-05</c:v>
                </c:pt>
                <c:pt idx="34">
                  <c:v>2025-11-06</c:v>
                </c:pt>
                <c:pt idx="35">
                  <c:v>2025-11-07</c:v>
                </c:pt>
                <c:pt idx="36">
                  <c:v>2025-11-10</c:v>
                </c:pt>
                <c:pt idx="37">
                  <c:v>2025-11-11</c:v>
                </c:pt>
                <c:pt idx="38">
                  <c:v>2025-11-12</c:v>
                </c:pt>
                <c:pt idx="39">
                  <c:v>2025-11-13</c:v>
                </c:pt>
                <c:pt idx="40">
                  <c:v>2025-11-14</c:v>
                </c:pt>
                <c:pt idx="41">
                  <c:v>2025-11-17</c:v>
                </c:pt>
                <c:pt idx="42">
                  <c:v>2025-11-18</c:v>
                </c:pt>
                <c:pt idx="43">
                  <c:v>2025-11-19</c:v>
                </c:pt>
                <c:pt idx="44">
                  <c:v>2025-11-20</c:v>
                </c:pt>
                <c:pt idx="45">
                  <c:v>2025-11-21</c:v>
                </c:pt>
                <c:pt idx="46">
                  <c:v>2025-11-24</c:v>
                </c:pt>
                <c:pt idx="47">
                  <c:v>2025-11-25</c:v>
                </c:pt>
                <c:pt idx="48">
                  <c:v>2025-11-26</c:v>
                </c:pt>
                <c:pt idx="49">
                  <c:v>2025-11-27</c:v>
                </c:pt>
                <c:pt idx="50">
                  <c:v>2025-11-28</c:v>
                </c:pt>
                <c:pt idx="51">
                  <c:v>2025-12-01</c:v>
                </c:pt>
                <c:pt idx="52">
                  <c:v>2025-12-02</c:v>
                </c:pt>
                <c:pt idx="53">
                  <c:v>2025-12-03</c:v>
                </c:pt>
                <c:pt idx="54">
                  <c:v>2025-12-04</c:v>
                </c:pt>
                <c:pt idx="55">
                  <c:v>2025-12-05</c:v>
                </c:pt>
                <c:pt idx="56">
                  <c:v>2025-12-08</c:v>
                </c:pt>
                <c:pt idx="57">
                  <c:v>2025-12-09</c:v>
                </c:pt>
                <c:pt idx="58">
                  <c:v>2025-12-10</c:v>
                </c:pt>
                <c:pt idx="59">
                  <c:v>2025-12-11</c:v>
                </c:pt>
                <c:pt idx="60">
                  <c:v>2025-12-12</c:v>
                </c:pt>
                <c:pt idx="61">
                  <c:v>2025-12-15</c:v>
                </c:pt>
                <c:pt idx="62">
                  <c:v>2025-12-16</c:v>
                </c:pt>
                <c:pt idx="63">
                  <c:v>2025-12-17</c:v>
                </c:pt>
                <c:pt idx="64">
                  <c:v>2025-12-18</c:v>
                </c:pt>
                <c:pt idx="65">
                  <c:v>2025-12-19</c:v>
                </c:pt>
                <c:pt idx="66">
                  <c:v>2025-12-22</c:v>
                </c:pt>
                <c:pt idx="67">
                  <c:v>2025-12-23</c:v>
                </c:pt>
                <c:pt idx="68">
                  <c:v>2025-12-24</c:v>
                </c:pt>
                <c:pt idx="69">
                  <c:v>2025-12-25</c:v>
                </c:pt>
                <c:pt idx="70">
                  <c:v>2025-12-26</c:v>
                </c:pt>
                <c:pt idx="71">
                  <c:v>2025-12-29</c:v>
                </c:pt>
                <c:pt idx="72">
                  <c:v>2025-12-30</c:v>
                </c:pt>
                <c:pt idx="73">
                  <c:v>2025-12-31</c:v>
                </c:pt>
                <c:pt idx="74">
                  <c:v>2026-01-01</c:v>
                </c:pt>
                <c:pt idx="75">
                  <c:v>2026-01-02</c:v>
                </c:pt>
                <c:pt idx="76">
                  <c:v>2026-01-05</c:v>
                </c:pt>
                <c:pt idx="77">
                  <c:v>2026-01-06</c:v>
                </c:pt>
                <c:pt idx="78">
                  <c:v>2026-01-07</c:v>
                </c:pt>
                <c:pt idx="79">
                  <c:v>2026-01-08</c:v>
                </c:pt>
                <c:pt idx="80">
                  <c:v>2026-01-09</c:v>
                </c:pt>
                <c:pt idx="81">
                  <c:v>2026-01-12</c:v>
                </c:pt>
                <c:pt idx="82">
                  <c:v>2026-01-13</c:v>
                </c:pt>
                <c:pt idx="83">
                  <c:v>2026-01-14</c:v>
                </c:pt>
                <c:pt idx="84">
                  <c:v>2026-01-15</c:v>
                </c:pt>
                <c:pt idx="85">
                  <c:v>2026-01-16</c:v>
                </c:pt>
                <c:pt idx="86">
                  <c:v>2026-01-19</c:v>
                </c:pt>
                <c:pt idx="87">
                  <c:v>2026-01-20</c:v>
                </c:pt>
                <c:pt idx="88">
                  <c:v>2026-01-21</c:v>
                </c:pt>
                <c:pt idx="89">
                  <c:v>2026-01-22</c:v>
                </c:pt>
                <c:pt idx="90">
                  <c:v>2026-01-23</c:v>
                </c:pt>
                <c:pt idx="91">
                  <c:v>2026-01-26</c:v>
                </c:pt>
                <c:pt idx="92">
                  <c:v>2026-01-27</c:v>
                </c:pt>
                <c:pt idx="93">
                  <c:v>2026-01-28</c:v>
                </c:pt>
                <c:pt idx="94">
                  <c:v>2026-01-29</c:v>
                </c:pt>
                <c:pt idx="95">
                  <c:v>2026-01-30</c:v>
                </c:pt>
                <c:pt idx="96">
                  <c:v>2026-02-02</c:v>
                </c:pt>
                <c:pt idx="97">
                  <c:v>2026-02-03</c:v>
                </c:pt>
                <c:pt idx="98">
                  <c:v>2026-02-04</c:v>
                </c:pt>
                <c:pt idx="99">
                  <c:v>2026-02-05</c:v>
                </c:pt>
                <c:pt idx="100">
                  <c:v>2026-02-06</c:v>
                </c:pt>
                <c:pt idx="101">
                  <c:v>2026-02-09</c:v>
                </c:pt>
                <c:pt idx="102">
                  <c:v>2026-02-10</c:v>
                </c:pt>
                <c:pt idx="103">
                  <c:v>2026-02-11</c:v>
                </c:pt>
                <c:pt idx="104">
                  <c:v>2026-02-12</c:v>
                </c:pt>
                <c:pt idx="105">
                  <c:v>2026-02-13</c:v>
                </c:pt>
                <c:pt idx="106">
                  <c:v>2026-02-16</c:v>
                </c:pt>
                <c:pt idx="107">
                  <c:v>2026-02-17</c:v>
                </c:pt>
                <c:pt idx="108">
                  <c:v>2026-02-18</c:v>
                </c:pt>
                <c:pt idx="109">
                  <c:v>2026-02-19</c:v>
                </c:pt>
                <c:pt idx="110">
                  <c:v>2026-02-20</c:v>
                </c:pt>
                <c:pt idx="111">
                  <c:v>2026-02-23</c:v>
                </c:pt>
                <c:pt idx="112">
                  <c:v>2026-02-24</c:v>
                </c:pt>
                <c:pt idx="113">
                  <c:v>2026-02-25</c:v>
                </c:pt>
                <c:pt idx="114">
                  <c:v>2026-02-26</c:v>
                </c:pt>
                <c:pt idx="115">
                  <c:v>2026-02-27</c:v>
                </c:pt>
                <c:pt idx="116">
                  <c:v>2026-03-02</c:v>
                </c:pt>
                <c:pt idx="117">
                  <c:v>2026-03-03</c:v>
                </c:pt>
                <c:pt idx="118">
                  <c:v>2026-03-04</c:v>
                </c:pt>
                <c:pt idx="119">
                  <c:v>2026-03-05</c:v>
                </c:pt>
              </c:strCache>
            </c:strRef>
          </c:cat>
          <c:val>
            <c:numRef>
              <c:f>日线!$H$191:$H$310</c:f>
              <c:numCache>
                <c:formatCode>0.00</c:formatCode>
                <c:ptCount val="120"/>
                <c:pt idx="0">
                  <c:v>24.3709282687044</c:v>
                </c:pt>
                <c:pt idx="1">
                  <c:v>24.4693670874609</c:v>
                </c:pt>
                <c:pt idx="2">
                  <c:v>24.5680289321093</c:v>
                </c:pt>
                <c:pt idx="3">
                  <c:v>24.646881941808</c:v>
                </c:pt>
                <c:pt idx="4">
                  <c:v>24.8287559501211</c:v>
                </c:pt>
                <c:pt idx="5">
                  <c:v>25.010362242961</c:v>
                </c:pt>
                <c:pt idx="6">
                  <c:v>25.1960247796808</c:v>
                </c:pt>
                <c:pt idx="7">
                  <c:v>25.379449811155</c:v>
                </c:pt>
                <c:pt idx="8">
                  <c:v>25.4523855524186</c:v>
                </c:pt>
                <c:pt idx="9">
                  <c:v>25.5691876163588</c:v>
                </c:pt>
                <c:pt idx="10">
                  <c:v>25.8007322425932</c:v>
                </c:pt>
                <c:pt idx="11">
                  <c:v>25.9977704936514</c:v>
                </c:pt>
                <c:pt idx="12">
                  <c:v>26.2566604231297</c:v>
                </c:pt>
                <c:pt idx="13">
                  <c:v>26.4414232198255</c:v>
                </c:pt>
                <c:pt idx="14">
                  <c:v>26.5069341884218</c:v>
                </c:pt>
                <c:pt idx="15">
                  <c:v>26.5573721615044</c:v>
                </c:pt>
                <c:pt idx="16">
                  <c:v>26.6291761384324</c:v>
                </c:pt>
                <c:pt idx="17">
                  <c:v>26.7850081186563</c:v>
                </c:pt>
                <c:pt idx="18">
                  <c:v>26.9400069588483</c:v>
                </c:pt>
                <c:pt idx="19">
                  <c:v>27.04714882187</c:v>
                </c:pt>
                <c:pt idx="20">
                  <c:v>27.1018418473171</c:v>
                </c:pt>
                <c:pt idx="21">
                  <c:v>27.1115787262718</c:v>
                </c:pt>
                <c:pt idx="22">
                  <c:v>27.1770674796616</c:v>
                </c:pt>
                <c:pt idx="23">
                  <c:v>27.3146292682813</c:v>
                </c:pt>
                <c:pt idx="24">
                  <c:v>27.4439679442411</c:v>
                </c:pt>
                <c:pt idx="25">
                  <c:v>27.6234010950638</c:v>
                </c:pt>
                <c:pt idx="26">
                  <c:v>27.8414866529119</c:v>
                </c:pt>
                <c:pt idx="27">
                  <c:v>27.9169885596387</c:v>
                </c:pt>
                <c:pt idx="28">
                  <c:v>28.0574187654046</c:v>
                </c:pt>
                <c:pt idx="29">
                  <c:v>28.137787513204</c:v>
                </c:pt>
                <c:pt idx="30">
                  <c:v>28.2538178684605</c:v>
                </c:pt>
                <c:pt idx="31">
                  <c:v>28.4061296015376</c:v>
                </c:pt>
                <c:pt idx="32">
                  <c:v>28.4609682298894</c:v>
                </c:pt>
                <c:pt idx="33">
                  <c:v>28.4422584827623</c:v>
                </c:pt>
                <c:pt idx="34">
                  <c:v>28.3990786995106</c:v>
                </c:pt>
                <c:pt idx="35">
                  <c:v>28.3549245995805</c:v>
                </c:pt>
                <c:pt idx="36">
                  <c:v>28.409935371069</c:v>
                </c:pt>
                <c:pt idx="37">
                  <c:v>28.4842303180591</c:v>
                </c:pt>
                <c:pt idx="38">
                  <c:v>28.5036259869078</c:v>
                </c:pt>
                <c:pt idx="39">
                  <c:v>28.5716794173496</c:v>
                </c:pt>
                <c:pt idx="40">
                  <c:v>28.6128680720139</c:v>
                </c:pt>
                <c:pt idx="41">
                  <c:v>28.6253154902977</c:v>
                </c:pt>
                <c:pt idx="42">
                  <c:v>28.737413277398</c:v>
                </c:pt>
                <c:pt idx="43">
                  <c:v>28.9077828091983</c:v>
                </c:pt>
                <c:pt idx="44">
                  <c:v>29.0852424078842</c:v>
                </c:pt>
                <c:pt idx="45">
                  <c:v>29.2616363496151</c:v>
                </c:pt>
                <c:pt idx="46">
                  <c:v>29.5571168710986</c:v>
                </c:pt>
                <c:pt idx="47">
                  <c:v>29.9232430323703</c:v>
                </c:pt>
                <c:pt idx="48">
                  <c:v>30.2184940277459</c:v>
                </c:pt>
                <c:pt idx="49">
                  <c:v>30.5587091666394</c:v>
                </c:pt>
                <c:pt idx="50">
                  <c:v>30.856036428548</c:v>
                </c:pt>
                <c:pt idx="51">
                  <c:v>31.0251740816126</c:v>
                </c:pt>
                <c:pt idx="52">
                  <c:v>31.1701492128108</c:v>
                </c:pt>
                <c:pt idx="53">
                  <c:v>31.3658421824093</c:v>
                </c:pt>
                <c:pt idx="54">
                  <c:v>31.4450075849222</c:v>
                </c:pt>
                <c:pt idx="55">
                  <c:v>31.3871493585048</c:v>
                </c:pt>
                <c:pt idx="56">
                  <c:v>31.3275565930041</c:v>
                </c:pt>
                <c:pt idx="57">
                  <c:v>31.3007627940035</c:v>
                </c:pt>
                <c:pt idx="58">
                  <c:v>31.2735109662887</c:v>
                </c:pt>
                <c:pt idx="59">
                  <c:v>31.3330093996761</c:v>
                </c:pt>
                <c:pt idx="60">
                  <c:v>31.3525794854366</c:v>
                </c:pt>
                <c:pt idx="61">
                  <c:v>31.3050681303742</c:v>
                </c:pt>
                <c:pt idx="62">
                  <c:v>31.2257726831779</c:v>
                </c:pt>
                <c:pt idx="63">
                  <c:v>31.1406622998668</c:v>
                </c:pt>
                <c:pt idx="64">
                  <c:v>31.0934248284573</c:v>
                </c:pt>
                <c:pt idx="65">
                  <c:v>30.9486498529634</c:v>
                </c:pt>
                <c:pt idx="66">
                  <c:v>30.90027130254</c:v>
                </c:pt>
                <c:pt idx="67">
                  <c:v>30.8373754021772</c:v>
                </c:pt>
                <c:pt idx="68">
                  <c:v>30.6777503447233</c:v>
                </c:pt>
                <c:pt idx="69">
                  <c:v>30.4952145811914</c:v>
                </c:pt>
                <c:pt idx="70">
                  <c:v>30.2330410695926</c:v>
                </c:pt>
                <c:pt idx="71">
                  <c:v>30.0568923453651</c:v>
                </c:pt>
                <c:pt idx="72">
                  <c:v>29.9130505817415</c:v>
                </c:pt>
                <c:pt idx="73">
                  <c:v>29.805471927207</c:v>
                </c:pt>
                <c:pt idx="74">
                  <c:v>29.698975937606</c:v>
                </c:pt>
                <c:pt idx="75">
                  <c:v>29.5334079465194</c:v>
                </c:pt>
                <c:pt idx="76">
                  <c:v>29.3657782398738</c:v>
                </c:pt>
                <c:pt idx="77">
                  <c:v>29.2620956341776</c:v>
                </c:pt>
                <c:pt idx="78">
                  <c:v>29.1417962578665</c:v>
                </c:pt>
                <c:pt idx="79">
                  <c:v>28.9401110781713</c:v>
                </c:pt>
                <c:pt idx="80">
                  <c:v>28.6443809241468</c:v>
                </c:pt>
                <c:pt idx="81">
                  <c:v>28.350897934983</c:v>
                </c:pt>
                <c:pt idx="82">
                  <c:v>28.023626801414</c:v>
                </c:pt>
                <c:pt idx="83">
                  <c:v>27.7831086869263</c:v>
                </c:pt>
                <c:pt idx="84">
                  <c:v>27.6255217316511</c:v>
                </c:pt>
                <c:pt idx="85">
                  <c:v>27.5261614842724</c:v>
                </c:pt>
                <c:pt idx="86">
                  <c:v>27.4038527008049</c:v>
                </c:pt>
                <c:pt idx="87">
                  <c:v>27.3061594578328</c:v>
                </c:pt>
                <c:pt idx="88">
                  <c:v>27.2281366781424</c:v>
                </c:pt>
                <c:pt idx="89">
                  <c:v>27.2584028669792</c:v>
                </c:pt>
                <c:pt idx="90">
                  <c:v>27.2786310288393</c:v>
                </c:pt>
                <c:pt idx="91">
                  <c:v>27.2359694532908</c:v>
                </c:pt>
                <c:pt idx="92">
                  <c:v>27.2622595313921</c:v>
                </c:pt>
                <c:pt idx="93">
                  <c:v>27.2547938840504</c:v>
                </c:pt>
                <c:pt idx="94">
                  <c:v>27.3112519006146</c:v>
                </c:pt>
                <c:pt idx="95">
                  <c:v>27.3982159148125</c:v>
                </c:pt>
                <c:pt idx="96">
                  <c:v>27.5013279269822</c:v>
                </c:pt>
                <c:pt idx="97">
                  <c:v>27.689709651699</c:v>
                </c:pt>
                <c:pt idx="98">
                  <c:v>27.8597511300277</c:v>
                </c:pt>
                <c:pt idx="99">
                  <c:v>28.0326438257381</c:v>
                </c:pt>
                <c:pt idx="100">
                  <c:v>28.195123279204</c:v>
                </c:pt>
                <c:pt idx="101">
                  <c:v>28.4058199536035</c:v>
                </c:pt>
                <c:pt idx="102">
                  <c:v>28.6507028173744</c:v>
                </c:pt>
                <c:pt idx="103">
                  <c:v>29.0048881291781</c:v>
                </c:pt>
                <c:pt idx="104">
                  <c:v>29.3484755392955</c:v>
                </c:pt>
                <c:pt idx="105">
                  <c:v>29.6144076051104</c:v>
                </c:pt>
                <c:pt idx="106">
                  <c:v>29.7937779472375</c:v>
                </c:pt>
                <c:pt idx="107">
                  <c:v>29.9246668119179</c:v>
                </c:pt>
                <c:pt idx="108">
                  <c:v>30.0011429816439</c:v>
                </c:pt>
                <c:pt idx="109">
                  <c:v>30.0695511271233</c:v>
                </c:pt>
                <c:pt idx="110">
                  <c:v>30.12961525182</c:v>
                </c:pt>
                <c:pt idx="111">
                  <c:v>30.1296702158457</c:v>
                </c:pt>
                <c:pt idx="112">
                  <c:v>30.0811458992963</c:v>
                </c:pt>
                <c:pt idx="113">
                  <c:v>30.033839342254</c:v>
                </c:pt>
                <c:pt idx="114">
                  <c:v>29.9790051505034</c:v>
                </c:pt>
                <c:pt idx="115">
                  <c:v>29.9691472718601</c:v>
                </c:pt>
                <c:pt idx="116">
                  <c:v>29.8721262330229</c:v>
                </c:pt>
                <c:pt idx="117">
                  <c:v>29.8075367711625</c:v>
                </c:pt>
                <c:pt idx="118">
                  <c:v>29.8307458038536</c:v>
                </c:pt>
                <c:pt idx="119">
                  <c:v>29.8106392604459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"EMA慢(26)"</c:f>
              <c:strCache>
                <c:ptCount val="1"/>
                <c:pt idx="0">
                  <c:v>EMA慢(26)</c:v>
                </c:pt>
              </c:strCache>
            </c:strRef>
          </c:tx>
          <c:spPr>
            <a:solidFill>
              <a:srgbClr val="2a7f8e"/>
            </a:solidFill>
            <a:ln w="14040">
              <a:solidFill>
                <a:srgbClr val="2a7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日线!$A$191:$A$310</c:f>
              <c:strCache>
                <c:ptCount val="120"/>
                <c:pt idx="0">
                  <c:v>2025-09-19</c:v>
                </c:pt>
                <c:pt idx="1">
                  <c:v>2025-09-22</c:v>
                </c:pt>
                <c:pt idx="2">
                  <c:v>2025-09-23</c:v>
                </c:pt>
                <c:pt idx="3">
                  <c:v>2025-09-24</c:v>
                </c:pt>
                <c:pt idx="4">
                  <c:v>2025-09-25</c:v>
                </c:pt>
                <c:pt idx="5">
                  <c:v>2025-09-26</c:v>
                </c:pt>
                <c:pt idx="6">
                  <c:v>2025-09-29</c:v>
                </c:pt>
                <c:pt idx="7">
                  <c:v>2025-09-30</c:v>
                </c:pt>
                <c:pt idx="8">
                  <c:v>2025-10-01</c:v>
                </c:pt>
                <c:pt idx="9">
                  <c:v>2025-10-02</c:v>
                </c:pt>
                <c:pt idx="10">
                  <c:v>2025-10-03</c:v>
                </c:pt>
                <c:pt idx="11">
                  <c:v>2025-10-06</c:v>
                </c:pt>
                <c:pt idx="12">
                  <c:v>2025-10-07</c:v>
                </c:pt>
                <c:pt idx="13">
                  <c:v>2025-10-08</c:v>
                </c:pt>
                <c:pt idx="14">
                  <c:v>2025-10-09</c:v>
                </c:pt>
                <c:pt idx="15">
                  <c:v>2025-10-10</c:v>
                </c:pt>
                <c:pt idx="16">
                  <c:v>2025-10-13</c:v>
                </c:pt>
                <c:pt idx="17">
                  <c:v>2025-10-14</c:v>
                </c:pt>
                <c:pt idx="18">
                  <c:v>2025-10-15</c:v>
                </c:pt>
                <c:pt idx="19">
                  <c:v>2025-10-16</c:v>
                </c:pt>
                <c:pt idx="20">
                  <c:v>2025-10-17</c:v>
                </c:pt>
                <c:pt idx="21">
                  <c:v>2025-10-20</c:v>
                </c:pt>
                <c:pt idx="22">
                  <c:v>2025-10-21</c:v>
                </c:pt>
                <c:pt idx="23">
                  <c:v>2025-10-22</c:v>
                </c:pt>
                <c:pt idx="24">
                  <c:v>2025-10-23</c:v>
                </c:pt>
                <c:pt idx="25">
                  <c:v>2025-10-24</c:v>
                </c:pt>
                <c:pt idx="26">
                  <c:v>2025-10-27</c:v>
                </c:pt>
                <c:pt idx="27">
                  <c:v>2025-10-28</c:v>
                </c:pt>
                <c:pt idx="28">
                  <c:v>2025-10-29</c:v>
                </c:pt>
                <c:pt idx="29">
                  <c:v>2025-10-30</c:v>
                </c:pt>
                <c:pt idx="30">
                  <c:v>2025-10-31</c:v>
                </c:pt>
                <c:pt idx="31">
                  <c:v>2025-11-03</c:v>
                </c:pt>
                <c:pt idx="32">
                  <c:v>2025-11-04</c:v>
                </c:pt>
                <c:pt idx="33">
                  <c:v>2025-11-05</c:v>
                </c:pt>
                <c:pt idx="34">
                  <c:v>2025-11-06</c:v>
                </c:pt>
                <c:pt idx="35">
                  <c:v>2025-11-07</c:v>
                </c:pt>
                <c:pt idx="36">
                  <c:v>2025-11-10</c:v>
                </c:pt>
                <c:pt idx="37">
                  <c:v>2025-11-11</c:v>
                </c:pt>
                <c:pt idx="38">
                  <c:v>2025-11-12</c:v>
                </c:pt>
                <c:pt idx="39">
                  <c:v>2025-11-13</c:v>
                </c:pt>
                <c:pt idx="40">
                  <c:v>2025-11-14</c:v>
                </c:pt>
                <c:pt idx="41">
                  <c:v>2025-11-17</c:v>
                </c:pt>
                <c:pt idx="42">
                  <c:v>2025-11-18</c:v>
                </c:pt>
                <c:pt idx="43">
                  <c:v>2025-11-19</c:v>
                </c:pt>
                <c:pt idx="44">
                  <c:v>2025-11-20</c:v>
                </c:pt>
                <c:pt idx="45">
                  <c:v>2025-11-21</c:v>
                </c:pt>
                <c:pt idx="46">
                  <c:v>2025-11-24</c:v>
                </c:pt>
                <c:pt idx="47">
                  <c:v>2025-11-25</c:v>
                </c:pt>
                <c:pt idx="48">
                  <c:v>2025-11-26</c:v>
                </c:pt>
                <c:pt idx="49">
                  <c:v>2025-11-27</c:v>
                </c:pt>
                <c:pt idx="50">
                  <c:v>2025-11-28</c:v>
                </c:pt>
                <c:pt idx="51">
                  <c:v>2025-12-01</c:v>
                </c:pt>
                <c:pt idx="52">
                  <c:v>2025-12-02</c:v>
                </c:pt>
                <c:pt idx="53">
                  <c:v>2025-12-03</c:v>
                </c:pt>
                <c:pt idx="54">
                  <c:v>2025-12-04</c:v>
                </c:pt>
                <c:pt idx="55">
                  <c:v>2025-12-05</c:v>
                </c:pt>
                <c:pt idx="56">
                  <c:v>2025-12-08</c:v>
                </c:pt>
                <c:pt idx="57">
                  <c:v>2025-12-09</c:v>
                </c:pt>
                <c:pt idx="58">
                  <c:v>2025-12-10</c:v>
                </c:pt>
                <c:pt idx="59">
                  <c:v>2025-12-11</c:v>
                </c:pt>
                <c:pt idx="60">
                  <c:v>2025-12-12</c:v>
                </c:pt>
                <c:pt idx="61">
                  <c:v>2025-12-15</c:v>
                </c:pt>
                <c:pt idx="62">
                  <c:v>2025-12-16</c:v>
                </c:pt>
                <c:pt idx="63">
                  <c:v>2025-12-17</c:v>
                </c:pt>
                <c:pt idx="64">
                  <c:v>2025-12-18</c:v>
                </c:pt>
                <c:pt idx="65">
                  <c:v>2025-12-19</c:v>
                </c:pt>
                <c:pt idx="66">
                  <c:v>2025-12-22</c:v>
                </c:pt>
                <c:pt idx="67">
                  <c:v>2025-12-23</c:v>
                </c:pt>
                <c:pt idx="68">
                  <c:v>2025-12-24</c:v>
                </c:pt>
                <c:pt idx="69">
                  <c:v>2025-12-25</c:v>
                </c:pt>
                <c:pt idx="70">
                  <c:v>2025-12-26</c:v>
                </c:pt>
                <c:pt idx="71">
                  <c:v>2025-12-29</c:v>
                </c:pt>
                <c:pt idx="72">
                  <c:v>2025-12-30</c:v>
                </c:pt>
                <c:pt idx="73">
                  <c:v>2025-12-31</c:v>
                </c:pt>
                <c:pt idx="74">
                  <c:v>2026-01-01</c:v>
                </c:pt>
                <c:pt idx="75">
                  <c:v>2026-01-02</c:v>
                </c:pt>
                <c:pt idx="76">
                  <c:v>2026-01-05</c:v>
                </c:pt>
                <c:pt idx="77">
                  <c:v>2026-01-06</c:v>
                </c:pt>
                <c:pt idx="78">
                  <c:v>2026-01-07</c:v>
                </c:pt>
                <c:pt idx="79">
                  <c:v>2026-01-08</c:v>
                </c:pt>
                <c:pt idx="80">
                  <c:v>2026-01-09</c:v>
                </c:pt>
                <c:pt idx="81">
                  <c:v>2026-01-12</c:v>
                </c:pt>
                <c:pt idx="82">
                  <c:v>2026-01-13</c:v>
                </c:pt>
                <c:pt idx="83">
                  <c:v>2026-01-14</c:v>
                </c:pt>
                <c:pt idx="84">
                  <c:v>2026-01-15</c:v>
                </c:pt>
                <c:pt idx="85">
                  <c:v>2026-01-16</c:v>
                </c:pt>
                <c:pt idx="86">
                  <c:v>2026-01-19</c:v>
                </c:pt>
                <c:pt idx="87">
                  <c:v>2026-01-20</c:v>
                </c:pt>
                <c:pt idx="88">
                  <c:v>2026-01-21</c:v>
                </c:pt>
                <c:pt idx="89">
                  <c:v>2026-01-22</c:v>
                </c:pt>
                <c:pt idx="90">
                  <c:v>2026-01-23</c:v>
                </c:pt>
                <c:pt idx="91">
                  <c:v>2026-01-26</c:v>
                </c:pt>
                <c:pt idx="92">
                  <c:v>2026-01-27</c:v>
                </c:pt>
                <c:pt idx="93">
                  <c:v>2026-01-28</c:v>
                </c:pt>
                <c:pt idx="94">
                  <c:v>2026-01-29</c:v>
                </c:pt>
                <c:pt idx="95">
                  <c:v>2026-01-30</c:v>
                </c:pt>
                <c:pt idx="96">
                  <c:v>2026-02-02</c:v>
                </c:pt>
                <c:pt idx="97">
                  <c:v>2026-02-03</c:v>
                </c:pt>
                <c:pt idx="98">
                  <c:v>2026-02-04</c:v>
                </c:pt>
                <c:pt idx="99">
                  <c:v>2026-02-05</c:v>
                </c:pt>
                <c:pt idx="100">
                  <c:v>2026-02-06</c:v>
                </c:pt>
                <c:pt idx="101">
                  <c:v>2026-02-09</c:v>
                </c:pt>
                <c:pt idx="102">
                  <c:v>2026-02-10</c:v>
                </c:pt>
                <c:pt idx="103">
                  <c:v>2026-02-11</c:v>
                </c:pt>
                <c:pt idx="104">
                  <c:v>2026-02-12</c:v>
                </c:pt>
                <c:pt idx="105">
                  <c:v>2026-02-13</c:v>
                </c:pt>
                <c:pt idx="106">
                  <c:v>2026-02-16</c:v>
                </c:pt>
                <c:pt idx="107">
                  <c:v>2026-02-17</c:v>
                </c:pt>
                <c:pt idx="108">
                  <c:v>2026-02-18</c:v>
                </c:pt>
                <c:pt idx="109">
                  <c:v>2026-02-19</c:v>
                </c:pt>
                <c:pt idx="110">
                  <c:v>2026-02-20</c:v>
                </c:pt>
                <c:pt idx="111">
                  <c:v>2026-02-23</c:v>
                </c:pt>
                <c:pt idx="112">
                  <c:v>2026-02-24</c:v>
                </c:pt>
                <c:pt idx="113">
                  <c:v>2026-02-25</c:v>
                </c:pt>
                <c:pt idx="114">
                  <c:v>2026-02-26</c:v>
                </c:pt>
                <c:pt idx="115">
                  <c:v>2026-02-27</c:v>
                </c:pt>
                <c:pt idx="116">
                  <c:v>2026-03-02</c:v>
                </c:pt>
                <c:pt idx="117">
                  <c:v>2026-03-03</c:v>
                </c:pt>
                <c:pt idx="118">
                  <c:v>2026-03-04</c:v>
                </c:pt>
                <c:pt idx="119">
                  <c:v>2026-03-05</c:v>
                </c:pt>
              </c:strCache>
            </c:strRef>
          </c:cat>
          <c:val>
            <c:numRef>
              <c:f>日线!$I$191:$I$310</c:f>
              <c:numCache>
                <c:formatCode>0.00</c:formatCode>
                <c:ptCount val="120"/>
                <c:pt idx="0">
                  <c:v>24.1092689755928</c:v>
                </c:pt>
                <c:pt idx="1">
                  <c:v>24.1796934959193</c:v>
                </c:pt>
                <c:pt idx="2">
                  <c:v>24.2523087925178</c:v>
                </c:pt>
                <c:pt idx="3">
                  <c:v>24.3165822152943</c:v>
                </c:pt>
                <c:pt idx="4">
                  <c:v>24.4353539030503</c:v>
                </c:pt>
                <c:pt idx="5">
                  <c:v>24.5586610213428</c:v>
                </c:pt>
                <c:pt idx="6">
                  <c:v>24.6883898345767</c:v>
                </c:pt>
                <c:pt idx="7">
                  <c:v>24.8211016986821</c:v>
                </c:pt>
                <c:pt idx="8">
                  <c:v>24.9002793506316</c:v>
                </c:pt>
                <c:pt idx="9">
                  <c:v>25.0017401394737</c:v>
                </c:pt>
                <c:pt idx="10">
                  <c:v>25.1638334624757</c:v>
                </c:pt>
                <c:pt idx="11">
                  <c:v>25.3131791319219</c:v>
                </c:pt>
                <c:pt idx="12">
                  <c:v>25.4981288258536</c:v>
                </c:pt>
                <c:pt idx="13">
                  <c:v>25.6501192831978</c:v>
                </c:pt>
                <c:pt idx="14">
                  <c:v>25.742703039998</c:v>
                </c:pt>
                <c:pt idx="15">
                  <c:v>25.8254657777759</c:v>
                </c:pt>
                <c:pt idx="16">
                  <c:v>25.9169127571999</c:v>
                </c:pt>
                <c:pt idx="17">
                  <c:v>26.0504747751851</c:v>
                </c:pt>
                <c:pt idx="18">
                  <c:v>26.1852544214677</c:v>
                </c:pt>
                <c:pt idx="19">
                  <c:v>26.2967170569145</c:v>
                </c:pt>
                <c:pt idx="20">
                  <c:v>26.3806639415875</c:v>
                </c:pt>
                <c:pt idx="21">
                  <c:v>26.4391332792477</c:v>
                </c:pt>
                <c:pt idx="22">
                  <c:v>26.5229011844886</c:v>
                </c:pt>
                <c:pt idx="23">
                  <c:v>26.6426862819339</c:v>
                </c:pt>
                <c:pt idx="24">
                  <c:v>26.759524335124</c:v>
                </c:pt>
                <c:pt idx="25">
                  <c:v>26.9032632732629</c:v>
                </c:pt>
                <c:pt idx="26">
                  <c:v>27.0696882159842</c:v>
                </c:pt>
                <c:pt idx="27">
                  <c:v>27.1660076073928</c:v>
                </c:pt>
                <c:pt idx="28">
                  <c:v>27.2944514883267</c:v>
                </c:pt>
                <c:pt idx="29">
                  <c:v>27.3926402669691</c:v>
                </c:pt>
                <c:pt idx="30">
                  <c:v>27.5080002471936</c:v>
                </c:pt>
                <c:pt idx="31">
                  <c:v>27.6422224511052</c:v>
                </c:pt>
                <c:pt idx="32">
                  <c:v>27.7272430102826</c:v>
                </c:pt>
                <c:pt idx="33">
                  <c:v>27.7718916761876</c:v>
                </c:pt>
                <c:pt idx="34">
                  <c:v>27.799158959433</c:v>
                </c:pt>
                <c:pt idx="35">
                  <c:v>27.8207027402157</c:v>
                </c:pt>
                <c:pt idx="36">
                  <c:v>27.8887988335331</c:v>
                </c:pt>
                <c:pt idx="37">
                  <c:v>27.9659248458639</c:v>
                </c:pt>
                <c:pt idx="38">
                  <c:v>28.0143748572814</c:v>
                </c:pt>
                <c:pt idx="39">
                  <c:v>28.085902645631</c:v>
                </c:pt>
                <c:pt idx="40">
                  <c:v>28.143243190399</c:v>
                </c:pt>
                <c:pt idx="41">
                  <c:v>28.1844844355547</c:v>
                </c:pt>
                <c:pt idx="42">
                  <c:v>28.2752633662543</c:v>
                </c:pt>
                <c:pt idx="43">
                  <c:v>28.3978364502355</c:v>
                </c:pt>
                <c:pt idx="44">
                  <c:v>28.5276263428106</c:v>
                </c:pt>
                <c:pt idx="45">
                  <c:v>28.6603947618617</c:v>
                </c:pt>
                <c:pt idx="46">
                  <c:v>28.8581432980201</c:v>
                </c:pt>
                <c:pt idx="47">
                  <c:v>29.0997623129816</c:v>
                </c:pt>
                <c:pt idx="48">
                  <c:v>29.3138539935014</c:v>
                </c:pt>
                <c:pt idx="49">
                  <c:v>29.557272216205</c:v>
                </c:pt>
                <c:pt idx="50">
                  <c:v>29.7856224224121</c:v>
                </c:pt>
                <c:pt idx="51">
                  <c:v>29.9526133540853</c:v>
                </c:pt>
                <c:pt idx="52">
                  <c:v>30.107234587116</c:v>
                </c:pt>
                <c:pt idx="53">
                  <c:v>30.2874394325148</c:v>
                </c:pt>
                <c:pt idx="54">
                  <c:v>30.4083698449211</c:v>
                </c:pt>
                <c:pt idx="55">
                  <c:v>30.4551572638158</c:v>
                </c:pt>
                <c:pt idx="56">
                  <c:v>30.4932937627924</c:v>
                </c:pt>
                <c:pt idx="57">
                  <c:v>30.5411979285115</c:v>
                </c:pt>
                <c:pt idx="58">
                  <c:v>30.5833314152885</c:v>
                </c:pt>
                <c:pt idx="59">
                  <c:v>30.6653068660078</c:v>
                </c:pt>
                <c:pt idx="60">
                  <c:v>30.7249137648221</c:v>
                </c:pt>
                <c:pt idx="61">
                  <c:v>30.7467720044649</c:v>
                </c:pt>
                <c:pt idx="62">
                  <c:v>30.7470111152452</c:v>
                </c:pt>
                <c:pt idx="63">
                  <c:v>30.7383436252271</c:v>
                </c:pt>
                <c:pt idx="64">
                  <c:v>30.7436515048399</c:v>
                </c:pt>
                <c:pt idx="65">
                  <c:v>30.694492134111</c:v>
                </c:pt>
                <c:pt idx="66">
                  <c:v>30.6882334575102</c:v>
                </c:pt>
                <c:pt idx="67">
                  <c:v>30.6713272754724</c:v>
                </c:pt>
                <c:pt idx="68">
                  <c:v>30.6008585884004</c:v>
                </c:pt>
                <c:pt idx="69">
                  <c:v>30.5119061003707</c:v>
                </c:pt>
                <c:pt idx="70">
                  <c:v>30.3747278707136</c:v>
                </c:pt>
                <c:pt idx="71">
                  <c:v>30.2728961765867</c:v>
                </c:pt>
                <c:pt idx="72">
                  <c:v>30.1823112746173</c:v>
                </c:pt>
                <c:pt idx="73">
                  <c:v>30.1065845135345</c:v>
                </c:pt>
                <c:pt idx="74">
                  <c:v>30.0290597347542</c:v>
                </c:pt>
                <c:pt idx="75">
                  <c:v>29.9187590136613</c:v>
                </c:pt>
                <c:pt idx="76">
                  <c:v>29.8032953830197</c:v>
                </c:pt>
                <c:pt idx="77">
                  <c:v>29.7171253546479</c:v>
                </c:pt>
                <c:pt idx="78">
                  <c:v>29.6210419950443</c:v>
                </c:pt>
                <c:pt idx="79">
                  <c:v>29.4809648102262</c:v>
                </c:pt>
                <c:pt idx="80">
                  <c:v>29.2875600094688</c:v>
                </c:pt>
                <c:pt idx="81">
                  <c:v>29.0877407495081</c:v>
                </c:pt>
                <c:pt idx="82">
                  <c:v>28.8634636569519</c:v>
                </c:pt>
                <c:pt idx="83">
                  <c:v>28.6765404231037</c:v>
                </c:pt>
                <c:pt idx="84">
                  <c:v>28.5286485399108</c:v>
                </c:pt>
                <c:pt idx="85">
                  <c:v>28.410230129547</c:v>
                </c:pt>
                <c:pt idx="86">
                  <c:v>28.281324194025</c:v>
                </c:pt>
                <c:pt idx="87">
                  <c:v>28.1656705500232</c:v>
                </c:pt>
                <c:pt idx="88">
                  <c:v>28.061546805577</c:v>
                </c:pt>
                <c:pt idx="89">
                  <c:v>28.0155063014602</c:v>
                </c:pt>
                <c:pt idx="90">
                  <c:v>27.9699132420928</c:v>
                </c:pt>
                <c:pt idx="91">
                  <c:v>27.8965863352711</c:v>
                </c:pt>
                <c:pt idx="92">
                  <c:v>27.8612836437695</c:v>
                </c:pt>
                <c:pt idx="93">
                  <c:v>27.8130404108977</c:v>
                </c:pt>
                <c:pt idx="94">
                  <c:v>27.8009633434238</c:v>
                </c:pt>
                <c:pt idx="95">
                  <c:v>27.8097808735406</c:v>
                </c:pt>
                <c:pt idx="96">
                  <c:v>27.8327600680931</c:v>
                </c:pt>
                <c:pt idx="97">
                  <c:v>27.9058889519381</c:v>
                </c:pt>
                <c:pt idx="98">
                  <c:v>27.9780453258686</c:v>
                </c:pt>
                <c:pt idx="99">
                  <c:v>28.0589308572857</c:v>
                </c:pt>
                <c:pt idx="100">
                  <c:v>28.1412322752646</c:v>
                </c:pt>
                <c:pt idx="101">
                  <c:v>28.2544743289487</c:v>
                </c:pt>
                <c:pt idx="102">
                  <c:v>28.3926614156932</c:v>
                </c:pt>
                <c:pt idx="103">
                  <c:v>28.595427236753</c:v>
                </c:pt>
                <c:pt idx="104">
                  <c:v>28.8039141081046</c:v>
                </c:pt>
                <c:pt idx="105">
                  <c:v>28.9821426926895</c:v>
                </c:pt>
                <c:pt idx="106">
                  <c:v>29.1219839747125</c:v>
                </c:pt>
                <c:pt idx="107">
                  <c:v>29.2396147914004</c:v>
                </c:pt>
                <c:pt idx="108">
                  <c:v>29.3300136957411</c:v>
                </c:pt>
                <c:pt idx="109">
                  <c:v>29.415197866427</c:v>
                </c:pt>
                <c:pt idx="110">
                  <c:v>29.4948128392842</c:v>
                </c:pt>
                <c:pt idx="111">
                  <c:v>29.541863740078</c:v>
                </c:pt>
                <c:pt idx="112">
                  <c:v>29.5602442037759</c:v>
                </c:pt>
                <c:pt idx="113">
                  <c:v>29.5743001886814</c:v>
                </c:pt>
                <c:pt idx="114">
                  <c:v>29.5799075821124</c:v>
                </c:pt>
                <c:pt idx="115">
                  <c:v>29.6043588723263</c:v>
                </c:pt>
                <c:pt idx="116">
                  <c:v>29.5810730299318</c:v>
                </c:pt>
                <c:pt idx="117">
                  <c:v>29.5691416943813</c:v>
                </c:pt>
                <c:pt idx="118">
                  <c:v>29.5988349022049</c:v>
                </c:pt>
                <c:pt idx="119">
                  <c:v>29.6055878724119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"通道上轨"</c:f>
              <c:strCache>
                <c:ptCount val="1"/>
                <c:pt idx="0">
                  <c:v>通道上轨</c:v>
                </c:pt>
              </c:strCache>
            </c:strRef>
          </c:tx>
          <c:spPr>
            <a:solidFill>
              <a:srgbClr val="9aa5b1"/>
            </a:solidFill>
            <a:ln w="14040">
              <a:solidFill>
                <a:srgbClr val="9aa5b1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日线!$A$191:$A$310</c:f>
              <c:strCache>
                <c:ptCount val="120"/>
                <c:pt idx="0">
                  <c:v>2025-09-19</c:v>
                </c:pt>
                <c:pt idx="1">
                  <c:v>2025-09-22</c:v>
                </c:pt>
                <c:pt idx="2">
                  <c:v>2025-09-23</c:v>
                </c:pt>
                <c:pt idx="3">
                  <c:v>2025-09-24</c:v>
                </c:pt>
                <c:pt idx="4">
                  <c:v>2025-09-25</c:v>
                </c:pt>
                <c:pt idx="5">
                  <c:v>2025-09-26</c:v>
                </c:pt>
                <c:pt idx="6">
                  <c:v>2025-09-29</c:v>
                </c:pt>
                <c:pt idx="7">
                  <c:v>2025-09-30</c:v>
                </c:pt>
                <c:pt idx="8">
                  <c:v>2025-10-01</c:v>
                </c:pt>
                <c:pt idx="9">
                  <c:v>2025-10-02</c:v>
                </c:pt>
                <c:pt idx="10">
                  <c:v>2025-10-03</c:v>
                </c:pt>
                <c:pt idx="11">
                  <c:v>2025-10-06</c:v>
                </c:pt>
                <c:pt idx="12">
                  <c:v>2025-10-07</c:v>
                </c:pt>
                <c:pt idx="13">
                  <c:v>2025-10-08</c:v>
                </c:pt>
                <c:pt idx="14">
                  <c:v>2025-10-09</c:v>
                </c:pt>
                <c:pt idx="15">
                  <c:v>2025-10-10</c:v>
                </c:pt>
                <c:pt idx="16">
                  <c:v>2025-10-13</c:v>
                </c:pt>
                <c:pt idx="17">
                  <c:v>2025-10-14</c:v>
                </c:pt>
                <c:pt idx="18">
                  <c:v>2025-10-15</c:v>
                </c:pt>
                <c:pt idx="19">
                  <c:v>2025-10-16</c:v>
                </c:pt>
                <c:pt idx="20">
                  <c:v>2025-10-17</c:v>
                </c:pt>
                <c:pt idx="21">
                  <c:v>2025-10-20</c:v>
                </c:pt>
                <c:pt idx="22">
                  <c:v>2025-10-21</c:v>
                </c:pt>
                <c:pt idx="23">
                  <c:v>2025-10-22</c:v>
                </c:pt>
                <c:pt idx="24">
                  <c:v>2025-10-23</c:v>
                </c:pt>
                <c:pt idx="25">
                  <c:v>2025-10-24</c:v>
                </c:pt>
                <c:pt idx="26">
                  <c:v>2025-10-27</c:v>
                </c:pt>
                <c:pt idx="27">
                  <c:v>2025-10-28</c:v>
                </c:pt>
                <c:pt idx="28">
                  <c:v>2025-10-29</c:v>
                </c:pt>
                <c:pt idx="29">
                  <c:v>2025-10-30</c:v>
                </c:pt>
                <c:pt idx="30">
                  <c:v>2025-10-31</c:v>
                </c:pt>
                <c:pt idx="31">
                  <c:v>2025-11-03</c:v>
                </c:pt>
                <c:pt idx="32">
                  <c:v>2025-11-04</c:v>
                </c:pt>
                <c:pt idx="33">
                  <c:v>2025-11-05</c:v>
                </c:pt>
                <c:pt idx="34">
                  <c:v>2025-11-06</c:v>
                </c:pt>
                <c:pt idx="35">
                  <c:v>2025-11-07</c:v>
                </c:pt>
                <c:pt idx="36">
                  <c:v>2025-11-10</c:v>
                </c:pt>
                <c:pt idx="37">
                  <c:v>2025-11-11</c:v>
                </c:pt>
                <c:pt idx="38">
                  <c:v>2025-11-12</c:v>
                </c:pt>
                <c:pt idx="39">
                  <c:v>2025-11-13</c:v>
                </c:pt>
                <c:pt idx="40">
                  <c:v>2025-11-14</c:v>
                </c:pt>
                <c:pt idx="41">
                  <c:v>2025-11-17</c:v>
                </c:pt>
                <c:pt idx="42">
                  <c:v>2025-11-18</c:v>
                </c:pt>
                <c:pt idx="43">
                  <c:v>2025-11-19</c:v>
                </c:pt>
                <c:pt idx="44">
                  <c:v>2025-11-20</c:v>
                </c:pt>
                <c:pt idx="45">
                  <c:v>2025-11-21</c:v>
                </c:pt>
                <c:pt idx="46">
                  <c:v>2025-11-24</c:v>
                </c:pt>
                <c:pt idx="47">
                  <c:v>2025-11-25</c:v>
                </c:pt>
                <c:pt idx="48">
                  <c:v>2025-11-26</c:v>
                </c:pt>
                <c:pt idx="49">
                  <c:v>2025-11-27</c:v>
                </c:pt>
                <c:pt idx="50">
                  <c:v>2025-11-28</c:v>
                </c:pt>
                <c:pt idx="51">
                  <c:v>2025-12-01</c:v>
                </c:pt>
                <c:pt idx="52">
                  <c:v>2025-12-02</c:v>
                </c:pt>
                <c:pt idx="53">
                  <c:v>2025-12-03</c:v>
                </c:pt>
                <c:pt idx="54">
                  <c:v>2025-12-04</c:v>
                </c:pt>
                <c:pt idx="55">
                  <c:v>2025-12-05</c:v>
                </c:pt>
                <c:pt idx="56">
                  <c:v>2025-12-08</c:v>
                </c:pt>
                <c:pt idx="57">
                  <c:v>2025-12-09</c:v>
                </c:pt>
                <c:pt idx="58">
                  <c:v>2025-12-10</c:v>
                </c:pt>
                <c:pt idx="59">
                  <c:v>2025-12-11</c:v>
                </c:pt>
                <c:pt idx="60">
                  <c:v>2025-12-12</c:v>
                </c:pt>
                <c:pt idx="61">
                  <c:v>2025-12-15</c:v>
                </c:pt>
                <c:pt idx="62">
                  <c:v>2025-12-16</c:v>
                </c:pt>
                <c:pt idx="63">
                  <c:v>2025-12-17</c:v>
                </c:pt>
                <c:pt idx="64">
                  <c:v>2025-12-18</c:v>
                </c:pt>
                <c:pt idx="65">
                  <c:v>2025-12-19</c:v>
                </c:pt>
                <c:pt idx="66">
                  <c:v>2025-12-22</c:v>
                </c:pt>
                <c:pt idx="67">
                  <c:v>2025-12-23</c:v>
                </c:pt>
                <c:pt idx="68">
                  <c:v>2025-12-24</c:v>
                </c:pt>
                <c:pt idx="69">
                  <c:v>2025-12-25</c:v>
                </c:pt>
                <c:pt idx="70">
                  <c:v>2025-12-26</c:v>
                </c:pt>
                <c:pt idx="71">
                  <c:v>2025-12-29</c:v>
                </c:pt>
                <c:pt idx="72">
                  <c:v>2025-12-30</c:v>
                </c:pt>
                <c:pt idx="73">
                  <c:v>2025-12-31</c:v>
                </c:pt>
                <c:pt idx="74">
                  <c:v>2026-01-01</c:v>
                </c:pt>
                <c:pt idx="75">
                  <c:v>2026-01-02</c:v>
                </c:pt>
                <c:pt idx="76">
                  <c:v>2026-01-05</c:v>
                </c:pt>
                <c:pt idx="77">
                  <c:v>2026-01-06</c:v>
                </c:pt>
                <c:pt idx="78">
                  <c:v>2026-01-07</c:v>
                </c:pt>
                <c:pt idx="79">
                  <c:v>2026-01-08</c:v>
                </c:pt>
                <c:pt idx="80">
                  <c:v>2026-01-09</c:v>
                </c:pt>
                <c:pt idx="81">
                  <c:v>2026-01-12</c:v>
                </c:pt>
                <c:pt idx="82">
                  <c:v>2026-01-13</c:v>
                </c:pt>
                <c:pt idx="83">
                  <c:v>2026-01-14</c:v>
                </c:pt>
                <c:pt idx="84">
                  <c:v>2026-01-15</c:v>
                </c:pt>
                <c:pt idx="85">
                  <c:v>2026-01-16</c:v>
                </c:pt>
                <c:pt idx="86">
                  <c:v>2026-01-19</c:v>
                </c:pt>
                <c:pt idx="87">
                  <c:v>2026-01-20</c:v>
                </c:pt>
                <c:pt idx="88">
                  <c:v>2026-01-21</c:v>
                </c:pt>
                <c:pt idx="89">
                  <c:v>2026-01-22</c:v>
                </c:pt>
                <c:pt idx="90">
                  <c:v>2026-01-23</c:v>
                </c:pt>
                <c:pt idx="91">
                  <c:v>2026-01-26</c:v>
                </c:pt>
                <c:pt idx="92">
                  <c:v>2026-01-27</c:v>
                </c:pt>
                <c:pt idx="93">
                  <c:v>2026-01-28</c:v>
                </c:pt>
                <c:pt idx="94">
                  <c:v>2026-01-29</c:v>
                </c:pt>
                <c:pt idx="95">
                  <c:v>2026-01-30</c:v>
                </c:pt>
                <c:pt idx="96">
                  <c:v>2026-02-02</c:v>
                </c:pt>
                <c:pt idx="97">
                  <c:v>2026-02-03</c:v>
                </c:pt>
                <c:pt idx="98">
                  <c:v>2026-02-04</c:v>
                </c:pt>
                <c:pt idx="99">
                  <c:v>2026-02-05</c:v>
                </c:pt>
                <c:pt idx="100">
                  <c:v>2026-02-06</c:v>
                </c:pt>
                <c:pt idx="101">
                  <c:v>2026-02-09</c:v>
                </c:pt>
                <c:pt idx="102">
                  <c:v>2026-02-10</c:v>
                </c:pt>
                <c:pt idx="103">
                  <c:v>2026-02-11</c:v>
                </c:pt>
                <c:pt idx="104">
                  <c:v>2026-02-12</c:v>
                </c:pt>
                <c:pt idx="105">
                  <c:v>2026-02-13</c:v>
                </c:pt>
                <c:pt idx="106">
                  <c:v>2026-02-16</c:v>
                </c:pt>
                <c:pt idx="107">
                  <c:v>2026-02-17</c:v>
                </c:pt>
                <c:pt idx="108">
                  <c:v>2026-02-18</c:v>
                </c:pt>
                <c:pt idx="109">
                  <c:v>2026-02-19</c:v>
                </c:pt>
                <c:pt idx="110">
                  <c:v>2026-02-20</c:v>
                </c:pt>
                <c:pt idx="111">
                  <c:v>2026-02-23</c:v>
                </c:pt>
                <c:pt idx="112">
                  <c:v>2026-02-24</c:v>
                </c:pt>
                <c:pt idx="113">
                  <c:v>2026-02-25</c:v>
                </c:pt>
                <c:pt idx="114">
                  <c:v>2026-02-26</c:v>
                </c:pt>
                <c:pt idx="115">
                  <c:v>2026-02-27</c:v>
                </c:pt>
                <c:pt idx="116">
                  <c:v>2026-03-02</c:v>
                </c:pt>
                <c:pt idx="117">
                  <c:v>2026-03-03</c:v>
                </c:pt>
                <c:pt idx="118">
                  <c:v>2026-03-04</c:v>
                </c:pt>
                <c:pt idx="119">
                  <c:v>2026-03-05</c:v>
                </c:pt>
              </c:strCache>
            </c:strRef>
          </c:cat>
          <c:val>
            <c:numRef>
              <c:f>日线!$AI$191:$AI$310</c:f>
              <c:numCache>
                <c:formatCode>0.00</c:formatCode>
                <c:ptCount val="120"/>
                <c:pt idx="0">
                  <c:v>25.5558251141284</c:v>
                </c:pt>
                <c:pt idx="1">
                  <c:v>25.6304751056744</c:v>
                </c:pt>
                <c:pt idx="2">
                  <c:v>25.7074473200689</c:v>
                </c:pt>
                <c:pt idx="3">
                  <c:v>25.7755771482119</c:v>
                </c:pt>
                <c:pt idx="4">
                  <c:v>25.9014751372333</c:v>
                </c:pt>
                <c:pt idx="5">
                  <c:v>26.0321806826234</c:v>
                </c:pt>
                <c:pt idx="6">
                  <c:v>26.1696932246513</c:v>
                </c:pt>
                <c:pt idx="7">
                  <c:v>26.3103678006031</c:v>
                </c:pt>
                <c:pt idx="8">
                  <c:v>26.3942961116695</c:v>
                </c:pt>
                <c:pt idx="9">
                  <c:v>26.5018445478421</c:v>
                </c:pt>
                <c:pt idx="10">
                  <c:v>26.6736634702242</c:v>
                </c:pt>
                <c:pt idx="11">
                  <c:v>26.8319698798372</c:v>
                </c:pt>
                <c:pt idx="12">
                  <c:v>27.0280165554048</c:v>
                </c:pt>
                <c:pt idx="13">
                  <c:v>27.1891264401897</c:v>
                </c:pt>
                <c:pt idx="14">
                  <c:v>27.2872652223978</c:v>
                </c:pt>
                <c:pt idx="15">
                  <c:v>27.3749937244424</c:v>
                </c:pt>
                <c:pt idx="16">
                  <c:v>27.4719275226319</c:v>
                </c:pt>
                <c:pt idx="17">
                  <c:v>27.6135032616962</c:v>
                </c:pt>
                <c:pt idx="18">
                  <c:v>27.7563696867557</c:v>
                </c:pt>
                <c:pt idx="19">
                  <c:v>27.8745200803294</c:v>
                </c:pt>
                <c:pt idx="20">
                  <c:v>27.9635037780828</c:v>
                </c:pt>
                <c:pt idx="21">
                  <c:v>28.0254812760026</c:v>
                </c:pt>
                <c:pt idx="22">
                  <c:v>28.1142752555579</c:v>
                </c:pt>
                <c:pt idx="23">
                  <c:v>28.2412474588499</c:v>
                </c:pt>
                <c:pt idx="24">
                  <c:v>28.3650957952314</c:v>
                </c:pt>
                <c:pt idx="25">
                  <c:v>28.5174590696587</c:v>
                </c:pt>
                <c:pt idx="26">
                  <c:v>28.6938695089433</c:v>
                </c:pt>
                <c:pt idx="27">
                  <c:v>28.7959680638364</c:v>
                </c:pt>
                <c:pt idx="28">
                  <c:v>28.9321185776263</c:v>
                </c:pt>
                <c:pt idx="29">
                  <c:v>29.0361986829873</c:v>
                </c:pt>
                <c:pt idx="30">
                  <c:v>29.1584802620253</c:v>
                </c:pt>
                <c:pt idx="31">
                  <c:v>29.3007557981715</c:v>
                </c:pt>
                <c:pt idx="32">
                  <c:v>29.3908775908996</c:v>
                </c:pt>
                <c:pt idx="33">
                  <c:v>29.4382051767589</c:v>
                </c:pt>
                <c:pt idx="34">
                  <c:v>29.4671084969989</c:v>
                </c:pt>
                <c:pt idx="35">
                  <c:v>29.4899449046286</c:v>
                </c:pt>
                <c:pt idx="36">
                  <c:v>29.562126763545</c:v>
                </c:pt>
                <c:pt idx="37">
                  <c:v>29.6438803366158</c:v>
                </c:pt>
                <c:pt idx="38">
                  <c:v>29.6952373487183</c:v>
                </c:pt>
                <c:pt idx="39">
                  <c:v>29.7710568043688</c:v>
                </c:pt>
                <c:pt idx="40">
                  <c:v>29.831837781823</c:v>
                </c:pt>
                <c:pt idx="41">
                  <c:v>29.8755535016879</c:v>
                </c:pt>
                <c:pt idx="42">
                  <c:v>29.9717791682296</c:v>
                </c:pt>
                <c:pt idx="43">
                  <c:v>30.1017066372496</c:v>
                </c:pt>
                <c:pt idx="44">
                  <c:v>30.2392839233793</c:v>
                </c:pt>
                <c:pt idx="45">
                  <c:v>30.3800184475734</c:v>
                </c:pt>
                <c:pt idx="46">
                  <c:v>30.5896318959013</c:v>
                </c:pt>
                <c:pt idx="47">
                  <c:v>30.8457480517605</c:v>
                </c:pt>
                <c:pt idx="48">
                  <c:v>31.0726852331115</c:v>
                </c:pt>
                <c:pt idx="49">
                  <c:v>31.3307085491773</c:v>
                </c:pt>
                <c:pt idx="50">
                  <c:v>31.5727597677568</c:v>
                </c:pt>
                <c:pt idx="51">
                  <c:v>31.7497701553304</c:v>
                </c:pt>
                <c:pt idx="52">
                  <c:v>31.9136686623429</c:v>
                </c:pt>
                <c:pt idx="53">
                  <c:v>32.1046857984657</c:v>
                </c:pt>
                <c:pt idx="54">
                  <c:v>32.2328720356164</c:v>
                </c:pt>
                <c:pt idx="55">
                  <c:v>32.2824666996448</c:v>
                </c:pt>
                <c:pt idx="56">
                  <c:v>32.32289138856</c:v>
                </c:pt>
                <c:pt idx="57">
                  <c:v>32.3736698042222</c:v>
                </c:pt>
                <c:pt idx="58">
                  <c:v>32.4183313002058</c:v>
                </c:pt>
                <c:pt idx="59">
                  <c:v>32.5052252779683</c:v>
                </c:pt>
                <c:pt idx="60">
                  <c:v>32.5684085907114</c:v>
                </c:pt>
                <c:pt idx="61">
                  <c:v>32.5915783247328</c:v>
                </c:pt>
                <c:pt idx="62">
                  <c:v>32.59183178216</c:v>
                </c:pt>
                <c:pt idx="63">
                  <c:v>32.5826442427407</c:v>
                </c:pt>
                <c:pt idx="64">
                  <c:v>32.5882705951303</c:v>
                </c:pt>
                <c:pt idx="65">
                  <c:v>32.5361616621577</c:v>
                </c:pt>
                <c:pt idx="66">
                  <c:v>32.5295274649608</c:v>
                </c:pt>
                <c:pt idx="67">
                  <c:v>32.5116069120007</c:v>
                </c:pt>
                <c:pt idx="68">
                  <c:v>32.4369101037044</c:v>
                </c:pt>
                <c:pt idx="69">
                  <c:v>32.342620466393</c:v>
                </c:pt>
                <c:pt idx="70">
                  <c:v>32.1972115429564</c:v>
                </c:pt>
                <c:pt idx="71">
                  <c:v>32.0892699471819</c:v>
                </c:pt>
                <c:pt idx="72">
                  <c:v>31.9932499510943</c:v>
                </c:pt>
                <c:pt idx="73">
                  <c:v>31.9129795843466</c:v>
                </c:pt>
                <c:pt idx="74">
                  <c:v>31.8308033188395</c:v>
                </c:pt>
                <c:pt idx="75">
                  <c:v>31.713884554481</c:v>
                </c:pt>
                <c:pt idx="76">
                  <c:v>31.5914931060009</c:v>
                </c:pt>
                <c:pt idx="77">
                  <c:v>31.5001528759268</c:v>
                </c:pt>
                <c:pt idx="78">
                  <c:v>31.398304514747</c:v>
                </c:pt>
                <c:pt idx="79">
                  <c:v>31.2498226988398</c:v>
                </c:pt>
                <c:pt idx="80">
                  <c:v>31.0448136100369</c:v>
                </c:pt>
                <c:pt idx="81">
                  <c:v>30.8330051944786</c:v>
                </c:pt>
                <c:pt idx="82">
                  <c:v>30.5952714763691</c:v>
                </c:pt>
                <c:pt idx="83">
                  <c:v>30.3971328484899</c:v>
                </c:pt>
                <c:pt idx="84">
                  <c:v>30.2403674523054</c:v>
                </c:pt>
                <c:pt idx="85">
                  <c:v>30.1148439373198</c:v>
                </c:pt>
                <c:pt idx="86">
                  <c:v>29.9782036456665</c:v>
                </c:pt>
                <c:pt idx="87">
                  <c:v>29.8556107830246</c:v>
                </c:pt>
                <c:pt idx="88">
                  <c:v>29.7452396139116</c:v>
                </c:pt>
                <c:pt idx="89">
                  <c:v>29.6964366795478</c:v>
                </c:pt>
                <c:pt idx="90">
                  <c:v>29.6481080366183</c:v>
                </c:pt>
                <c:pt idx="91">
                  <c:v>29.5703815153874</c:v>
                </c:pt>
                <c:pt idx="92">
                  <c:v>29.5329606623957</c:v>
                </c:pt>
                <c:pt idx="93">
                  <c:v>29.4818228355516</c:v>
                </c:pt>
                <c:pt idx="94">
                  <c:v>29.4690211440292</c:v>
                </c:pt>
                <c:pt idx="95">
                  <c:v>29.478367725953</c:v>
                </c:pt>
                <c:pt idx="96">
                  <c:v>29.5027256721787</c:v>
                </c:pt>
                <c:pt idx="97">
                  <c:v>29.5802422890544</c:v>
                </c:pt>
                <c:pt idx="98">
                  <c:v>29.6567280454207</c:v>
                </c:pt>
                <c:pt idx="99">
                  <c:v>29.7424667087229</c:v>
                </c:pt>
                <c:pt idx="100">
                  <c:v>29.8297062117804</c:v>
                </c:pt>
                <c:pt idx="101">
                  <c:v>29.9497427886856</c:v>
                </c:pt>
                <c:pt idx="102">
                  <c:v>30.0962211006348</c:v>
                </c:pt>
                <c:pt idx="103">
                  <c:v>30.3111528709582</c:v>
                </c:pt>
                <c:pt idx="104">
                  <c:v>30.5321489545909</c:v>
                </c:pt>
                <c:pt idx="105">
                  <c:v>30.7210712542508</c:v>
                </c:pt>
                <c:pt idx="106">
                  <c:v>30.8693030131952</c:v>
                </c:pt>
                <c:pt idx="107">
                  <c:v>30.9939916788845</c:v>
                </c:pt>
                <c:pt idx="108">
                  <c:v>31.0898145174856</c:v>
                </c:pt>
                <c:pt idx="109">
                  <c:v>31.1801097384126</c:v>
                </c:pt>
                <c:pt idx="110">
                  <c:v>31.2645016096413</c:v>
                </c:pt>
                <c:pt idx="111">
                  <c:v>31.3143755644827</c:v>
                </c:pt>
                <c:pt idx="112">
                  <c:v>31.3338588560025</c:v>
                </c:pt>
                <c:pt idx="113">
                  <c:v>31.3487582000023</c:v>
                </c:pt>
                <c:pt idx="114">
                  <c:v>31.3547020370392</c:v>
                </c:pt>
                <c:pt idx="115">
                  <c:v>31.3806204046659</c:v>
                </c:pt>
                <c:pt idx="116">
                  <c:v>31.3559374117277</c:v>
                </c:pt>
                <c:pt idx="117">
                  <c:v>31.3432901960441</c:v>
                </c:pt>
                <c:pt idx="118">
                  <c:v>31.3747649963372</c:v>
                </c:pt>
                <c:pt idx="119">
                  <c:v>31.3819231447566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"通道下轨"</c:f>
              <c:strCache>
                <c:ptCount val="1"/>
                <c:pt idx="0">
                  <c:v>通道下轨</c:v>
                </c:pt>
              </c:strCache>
            </c:strRef>
          </c:tx>
          <c:spPr>
            <a:solidFill>
              <a:srgbClr val="9aa5b1"/>
            </a:solidFill>
            <a:ln w="14040">
              <a:solidFill>
                <a:srgbClr val="9aa5b1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日线!$A$191:$A$310</c:f>
              <c:strCache>
                <c:ptCount val="120"/>
                <c:pt idx="0">
                  <c:v>2025-09-19</c:v>
                </c:pt>
                <c:pt idx="1">
                  <c:v>2025-09-22</c:v>
                </c:pt>
                <c:pt idx="2">
                  <c:v>2025-09-23</c:v>
                </c:pt>
                <c:pt idx="3">
                  <c:v>2025-09-24</c:v>
                </c:pt>
                <c:pt idx="4">
                  <c:v>2025-09-25</c:v>
                </c:pt>
                <c:pt idx="5">
                  <c:v>2025-09-26</c:v>
                </c:pt>
                <c:pt idx="6">
                  <c:v>2025-09-29</c:v>
                </c:pt>
                <c:pt idx="7">
                  <c:v>2025-09-30</c:v>
                </c:pt>
                <c:pt idx="8">
                  <c:v>2025-10-01</c:v>
                </c:pt>
                <c:pt idx="9">
                  <c:v>2025-10-02</c:v>
                </c:pt>
                <c:pt idx="10">
                  <c:v>2025-10-03</c:v>
                </c:pt>
                <c:pt idx="11">
                  <c:v>2025-10-06</c:v>
                </c:pt>
                <c:pt idx="12">
                  <c:v>2025-10-07</c:v>
                </c:pt>
                <c:pt idx="13">
                  <c:v>2025-10-08</c:v>
                </c:pt>
                <c:pt idx="14">
                  <c:v>2025-10-09</c:v>
                </c:pt>
                <c:pt idx="15">
                  <c:v>2025-10-10</c:v>
                </c:pt>
                <c:pt idx="16">
                  <c:v>2025-10-13</c:v>
                </c:pt>
                <c:pt idx="17">
                  <c:v>2025-10-14</c:v>
                </c:pt>
                <c:pt idx="18">
                  <c:v>2025-10-15</c:v>
                </c:pt>
                <c:pt idx="19">
                  <c:v>2025-10-16</c:v>
                </c:pt>
                <c:pt idx="20">
                  <c:v>2025-10-17</c:v>
                </c:pt>
                <c:pt idx="21">
                  <c:v>2025-10-20</c:v>
                </c:pt>
                <c:pt idx="22">
                  <c:v>2025-10-21</c:v>
                </c:pt>
                <c:pt idx="23">
                  <c:v>2025-10-22</c:v>
                </c:pt>
                <c:pt idx="24">
                  <c:v>2025-10-23</c:v>
                </c:pt>
                <c:pt idx="25">
                  <c:v>2025-10-24</c:v>
                </c:pt>
                <c:pt idx="26">
                  <c:v>2025-10-27</c:v>
                </c:pt>
                <c:pt idx="27">
                  <c:v>2025-10-28</c:v>
                </c:pt>
                <c:pt idx="28">
                  <c:v>2025-10-29</c:v>
                </c:pt>
                <c:pt idx="29">
                  <c:v>2025-10-30</c:v>
                </c:pt>
                <c:pt idx="30">
                  <c:v>2025-10-31</c:v>
                </c:pt>
                <c:pt idx="31">
                  <c:v>2025-11-03</c:v>
                </c:pt>
                <c:pt idx="32">
                  <c:v>2025-11-04</c:v>
                </c:pt>
                <c:pt idx="33">
                  <c:v>2025-11-05</c:v>
                </c:pt>
                <c:pt idx="34">
                  <c:v>2025-11-06</c:v>
                </c:pt>
                <c:pt idx="35">
                  <c:v>2025-11-07</c:v>
                </c:pt>
                <c:pt idx="36">
                  <c:v>2025-11-10</c:v>
                </c:pt>
                <c:pt idx="37">
                  <c:v>2025-11-11</c:v>
                </c:pt>
                <c:pt idx="38">
                  <c:v>2025-11-12</c:v>
                </c:pt>
                <c:pt idx="39">
                  <c:v>2025-11-13</c:v>
                </c:pt>
                <c:pt idx="40">
                  <c:v>2025-11-14</c:v>
                </c:pt>
                <c:pt idx="41">
                  <c:v>2025-11-17</c:v>
                </c:pt>
                <c:pt idx="42">
                  <c:v>2025-11-18</c:v>
                </c:pt>
                <c:pt idx="43">
                  <c:v>2025-11-19</c:v>
                </c:pt>
                <c:pt idx="44">
                  <c:v>2025-11-20</c:v>
                </c:pt>
                <c:pt idx="45">
                  <c:v>2025-11-21</c:v>
                </c:pt>
                <c:pt idx="46">
                  <c:v>2025-11-24</c:v>
                </c:pt>
                <c:pt idx="47">
                  <c:v>2025-11-25</c:v>
                </c:pt>
                <c:pt idx="48">
                  <c:v>2025-11-26</c:v>
                </c:pt>
                <c:pt idx="49">
                  <c:v>2025-11-27</c:v>
                </c:pt>
                <c:pt idx="50">
                  <c:v>2025-11-28</c:v>
                </c:pt>
                <c:pt idx="51">
                  <c:v>2025-12-01</c:v>
                </c:pt>
                <c:pt idx="52">
                  <c:v>2025-12-02</c:v>
                </c:pt>
                <c:pt idx="53">
                  <c:v>2025-12-03</c:v>
                </c:pt>
                <c:pt idx="54">
                  <c:v>2025-12-04</c:v>
                </c:pt>
                <c:pt idx="55">
                  <c:v>2025-12-05</c:v>
                </c:pt>
                <c:pt idx="56">
                  <c:v>2025-12-08</c:v>
                </c:pt>
                <c:pt idx="57">
                  <c:v>2025-12-09</c:v>
                </c:pt>
                <c:pt idx="58">
                  <c:v>2025-12-10</c:v>
                </c:pt>
                <c:pt idx="59">
                  <c:v>2025-12-11</c:v>
                </c:pt>
                <c:pt idx="60">
                  <c:v>2025-12-12</c:v>
                </c:pt>
                <c:pt idx="61">
                  <c:v>2025-12-15</c:v>
                </c:pt>
                <c:pt idx="62">
                  <c:v>2025-12-16</c:v>
                </c:pt>
                <c:pt idx="63">
                  <c:v>2025-12-17</c:v>
                </c:pt>
                <c:pt idx="64">
                  <c:v>2025-12-18</c:v>
                </c:pt>
                <c:pt idx="65">
                  <c:v>2025-12-19</c:v>
                </c:pt>
                <c:pt idx="66">
                  <c:v>2025-12-22</c:v>
                </c:pt>
                <c:pt idx="67">
                  <c:v>2025-12-23</c:v>
                </c:pt>
                <c:pt idx="68">
                  <c:v>2025-12-24</c:v>
                </c:pt>
                <c:pt idx="69">
                  <c:v>2025-12-25</c:v>
                </c:pt>
                <c:pt idx="70">
                  <c:v>2025-12-26</c:v>
                </c:pt>
                <c:pt idx="71">
                  <c:v>2025-12-29</c:v>
                </c:pt>
                <c:pt idx="72">
                  <c:v>2025-12-30</c:v>
                </c:pt>
                <c:pt idx="73">
                  <c:v>2025-12-31</c:v>
                </c:pt>
                <c:pt idx="74">
                  <c:v>2026-01-01</c:v>
                </c:pt>
                <c:pt idx="75">
                  <c:v>2026-01-02</c:v>
                </c:pt>
                <c:pt idx="76">
                  <c:v>2026-01-05</c:v>
                </c:pt>
                <c:pt idx="77">
                  <c:v>2026-01-06</c:v>
                </c:pt>
                <c:pt idx="78">
                  <c:v>2026-01-07</c:v>
                </c:pt>
                <c:pt idx="79">
                  <c:v>2026-01-08</c:v>
                </c:pt>
                <c:pt idx="80">
                  <c:v>2026-01-09</c:v>
                </c:pt>
                <c:pt idx="81">
                  <c:v>2026-01-12</c:v>
                </c:pt>
                <c:pt idx="82">
                  <c:v>2026-01-13</c:v>
                </c:pt>
                <c:pt idx="83">
                  <c:v>2026-01-14</c:v>
                </c:pt>
                <c:pt idx="84">
                  <c:v>2026-01-15</c:v>
                </c:pt>
                <c:pt idx="85">
                  <c:v>2026-01-16</c:v>
                </c:pt>
                <c:pt idx="86">
                  <c:v>2026-01-19</c:v>
                </c:pt>
                <c:pt idx="87">
                  <c:v>2026-01-20</c:v>
                </c:pt>
                <c:pt idx="88">
                  <c:v>2026-01-21</c:v>
                </c:pt>
                <c:pt idx="89">
                  <c:v>2026-01-22</c:v>
                </c:pt>
                <c:pt idx="90">
                  <c:v>2026-01-23</c:v>
                </c:pt>
                <c:pt idx="91">
                  <c:v>2026-01-26</c:v>
                </c:pt>
                <c:pt idx="92">
                  <c:v>2026-01-27</c:v>
                </c:pt>
                <c:pt idx="93">
                  <c:v>2026-01-28</c:v>
                </c:pt>
                <c:pt idx="94">
                  <c:v>2026-01-29</c:v>
                </c:pt>
                <c:pt idx="95">
                  <c:v>2026-01-30</c:v>
                </c:pt>
                <c:pt idx="96">
                  <c:v>2026-02-02</c:v>
                </c:pt>
                <c:pt idx="97">
                  <c:v>2026-02-03</c:v>
                </c:pt>
                <c:pt idx="98">
                  <c:v>2026-02-04</c:v>
                </c:pt>
                <c:pt idx="99">
                  <c:v>2026-02-05</c:v>
                </c:pt>
                <c:pt idx="100">
                  <c:v>2026-02-06</c:v>
                </c:pt>
                <c:pt idx="101">
                  <c:v>2026-02-09</c:v>
                </c:pt>
                <c:pt idx="102">
                  <c:v>2026-02-10</c:v>
                </c:pt>
                <c:pt idx="103">
                  <c:v>2026-02-11</c:v>
                </c:pt>
                <c:pt idx="104">
                  <c:v>2026-02-12</c:v>
                </c:pt>
                <c:pt idx="105">
                  <c:v>2026-02-13</c:v>
                </c:pt>
                <c:pt idx="106">
                  <c:v>2026-02-16</c:v>
                </c:pt>
                <c:pt idx="107">
                  <c:v>2026-02-17</c:v>
                </c:pt>
                <c:pt idx="108">
                  <c:v>2026-02-18</c:v>
                </c:pt>
                <c:pt idx="109">
                  <c:v>2026-02-19</c:v>
                </c:pt>
                <c:pt idx="110">
                  <c:v>2026-02-20</c:v>
                </c:pt>
                <c:pt idx="111">
                  <c:v>2026-02-23</c:v>
                </c:pt>
                <c:pt idx="112">
                  <c:v>2026-02-24</c:v>
                </c:pt>
                <c:pt idx="113">
                  <c:v>2026-02-25</c:v>
                </c:pt>
                <c:pt idx="114">
                  <c:v>2026-02-26</c:v>
                </c:pt>
                <c:pt idx="115">
                  <c:v>2026-02-27</c:v>
                </c:pt>
                <c:pt idx="116">
                  <c:v>2026-03-02</c:v>
                </c:pt>
                <c:pt idx="117">
                  <c:v>2026-03-03</c:v>
                </c:pt>
                <c:pt idx="118">
                  <c:v>2026-03-04</c:v>
                </c:pt>
                <c:pt idx="119">
                  <c:v>2026-03-05</c:v>
                </c:pt>
              </c:strCache>
            </c:strRef>
          </c:cat>
          <c:val>
            <c:numRef>
              <c:f>日线!$AJ$191:$AJ$310</c:f>
              <c:numCache>
                <c:formatCode>0.00</c:formatCode>
                <c:ptCount val="120"/>
                <c:pt idx="0">
                  <c:v>22.6627128370572</c:v>
                </c:pt>
                <c:pt idx="1">
                  <c:v>22.7289118861641</c:v>
                </c:pt>
                <c:pt idx="2">
                  <c:v>22.7971702649668</c:v>
                </c:pt>
                <c:pt idx="3">
                  <c:v>22.8575872823766</c:v>
                </c:pt>
                <c:pt idx="4">
                  <c:v>22.9692326688672</c:v>
                </c:pt>
                <c:pt idx="5">
                  <c:v>23.0851413600623</c:v>
                </c:pt>
                <c:pt idx="6">
                  <c:v>23.2070864445021</c:v>
                </c:pt>
                <c:pt idx="7">
                  <c:v>23.3318355967612</c:v>
                </c:pt>
                <c:pt idx="8">
                  <c:v>23.4062625895937</c:v>
                </c:pt>
                <c:pt idx="9">
                  <c:v>23.5016357311053</c:v>
                </c:pt>
                <c:pt idx="10">
                  <c:v>23.6540034547271</c:v>
                </c:pt>
                <c:pt idx="11">
                  <c:v>23.7943883840066</c:v>
                </c:pt>
                <c:pt idx="12">
                  <c:v>23.9682410963024</c:v>
                </c:pt>
                <c:pt idx="13">
                  <c:v>24.1111121262059</c:v>
                </c:pt>
                <c:pt idx="14">
                  <c:v>24.1981408575981</c:v>
                </c:pt>
                <c:pt idx="15">
                  <c:v>24.2759378311093</c:v>
                </c:pt>
                <c:pt idx="16">
                  <c:v>24.3618979917679</c:v>
                </c:pt>
                <c:pt idx="17">
                  <c:v>24.487446288674</c:v>
                </c:pt>
                <c:pt idx="18">
                  <c:v>24.6141391561796</c:v>
                </c:pt>
                <c:pt idx="19">
                  <c:v>24.7189140334996</c:v>
                </c:pt>
                <c:pt idx="20">
                  <c:v>24.7978241050923</c:v>
                </c:pt>
                <c:pt idx="21">
                  <c:v>24.8527852824928</c:v>
                </c:pt>
                <c:pt idx="22">
                  <c:v>24.9315271134193</c:v>
                </c:pt>
                <c:pt idx="23">
                  <c:v>25.0441251050179</c:v>
                </c:pt>
                <c:pt idx="24">
                  <c:v>25.1539528750165</c:v>
                </c:pt>
                <c:pt idx="25">
                  <c:v>25.2890674768672</c:v>
                </c:pt>
                <c:pt idx="26">
                  <c:v>25.4455069230252</c:v>
                </c:pt>
                <c:pt idx="27">
                  <c:v>25.5360471509492</c:v>
                </c:pt>
                <c:pt idx="28">
                  <c:v>25.6567843990271</c:v>
                </c:pt>
                <c:pt idx="29">
                  <c:v>25.749081850951</c:v>
                </c:pt>
                <c:pt idx="30">
                  <c:v>25.857520232362</c:v>
                </c:pt>
                <c:pt idx="31">
                  <c:v>25.9836891040389</c:v>
                </c:pt>
                <c:pt idx="32">
                  <c:v>26.0636084296657</c:v>
                </c:pt>
                <c:pt idx="33">
                  <c:v>26.1055781756163</c:v>
                </c:pt>
                <c:pt idx="34">
                  <c:v>26.131209421867</c:v>
                </c:pt>
                <c:pt idx="35">
                  <c:v>26.1514605758028</c:v>
                </c:pt>
                <c:pt idx="36">
                  <c:v>26.2154709035211</c:v>
                </c:pt>
                <c:pt idx="37">
                  <c:v>26.2879693551121</c:v>
                </c:pt>
                <c:pt idx="38">
                  <c:v>26.3335123658445</c:v>
                </c:pt>
                <c:pt idx="39">
                  <c:v>26.4007484868931</c:v>
                </c:pt>
                <c:pt idx="40">
                  <c:v>26.4546485989751</c:v>
                </c:pt>
                <c:pt idx="41">
                  <c:v>26.4934153694214</c:v>
                </c:pt>
                <c:pt idx="42">
                  <c:v>26.5787475642791</c:v>
                </c:pt>
                <c:pt idx="43">
                  <c:v>26.6939662632214</c:v>
                </c:pt>
                <c:pt idx="44">
                  <c:v>26.815968762242</c:v>
                </c:pt>
                <c:pt idx="45">
                  <c:v>26.94077107615</c:v>
                </c:pt>
                <c:pt idx="46">
                  <c:v>27.1266547001389</c:v>
                </c:pt>
                <c:pt idx="47">
                  <c:v>27.3537765742027</c:v>
                </c:pt>
                <c:pt idx="48">
                  <c:v>27.5550227538914</c:v>
                </c:pt>
                <c:pt idx="49">
                  <c:v>27.7838358832327</c:v>
                </c:pt>
                <c:pt idx="50">
                  <c:v>27.9984850770674</c:v>
                </c:pt>
                <c:pt idx="51">
                  <c:v>28.1554565528401</c:v>
                </c:pt>
                <c:pt idx="52">
                  <c:v>28.300800511889</c:v>
                </c:pt>
                <c:pt idx="53">
                  <c:v>28.4701930665639</c:v>
                </c:pt>
                <c:pt idx="54">
                  <c:v>28.5838676542258</c:v>
                </c:pt>
                <c:pt idx="55">
                  <c:v>28.6278478279869</c:v>
                </c:pt>
                <c:pt idx="56">
                  <c:v>28.6636961370249</c:v>
                </c:pt>
                <c:pt idx="57">
                  <c:v>28.7087260528008</c:v>
                </c:pt>
                <c:pt idx="58">
                  <c:v>28.7483315303711</c:v>
                </c:pt>
                <c:pt idx="59">
                  <c:v>28.8253884540474</c:v>
                </c:pt>
                <c:pt idx="60">
                  <c:v>28.8814189389327</c:v>
                </c:pt>
                <c:pt idx="61">
                  <c:v>28.901965684197</c:v>
                </c:pt>
                <c:pt idx="62">
                  <c:v>28.9021904483305</c:v>
                </c:pt>
                <c:pt idx="63">
                  <c:v>28.8940430077135</c:v>
                </c:pt>
                <c:pt idx="64">
                  <c:v>28.8990324145495</c:v>
                </c:pt>
                <c:pt idx="65">
                  <c:v>28.8528226060643</c:v>
                </c:pt>
                <c:pt idx="66">
                  <c:v>28.8469394500596</c:v>
                </c:pt>
                <c:pt idx="67">
                  <c:v>28.8310476389441</c:v>
                </c:pt>
                <c:pt idx="68">
                  <c:v>28.7648070730963</c:v>
                </c:pt>
                <c:pt idx="69">
                  <c:v>28.6811917343485</c:v>
                </c:pt>
                <c:pt idx="70">
                  <c:v>28.5522441984708</c:v>
                </c:pt>
                <c:pt idx="71">
                  <c:v>28.4565224059915</c:v>
                </c:pt>
                <c:pt idx="72">
                  <c:v>28.3713725981403</c:v>
                </c:pt>
                <c:pt idx="73">
                  <c:v>28.3001894427225</c:v>
                </c:pt>
                <c:pt idx="74">
                  <c:v>28.227316150669</c:v>
                </c:pt>
                <c:pt idx="75">
                  <c:v>28.1236334728416</c:v>
                </c:pt>
                <c:pt idx="76">
                  <c:v>28.0150976600385</c:v>
                </c:pt>
                <c:pt idx="77">
                  <c:v>27.934097833369</c:v>
                </c:pt>
                <c:pt idx="78">
                  <c:v>27.8437794753417</c:v>
                </c:pt>
                <c:pt idx="79">
                  <c:v>27.7121069216127</c:v>
                </c:pt>
                <c:pt idx="80">
                  <c:v>27.5303064089006</c:v>
                </c:pt>
                <c:pt idx="81">
                  <c:v>27.3424763045376</c:v>
                </c:pt>
                <c:pt idx="82">
                  <c:v>27.1316558375348</c:v>
                </c:pt>
                <c:pt idx="83">
                  <c:v>26.9559479977174</c:v>
                </c:pt>
                <c:pt idx="84">
                  <c:v>26.8169296275161</c:v>
                </c:pt>
                <c:pt idx="85">
                  <c:v>26.7056163217742</c:v>
                </c:pt>
                <c:pt idx="86">
                  <c:v>26.5844447423835</c:v>
                </c:pt>
                <c:pt idx="87">
                  <c:v>26.4757303170218</c:v>
                </c:pt>
                <c:pt idx="88">
                  <c:v>26.3778539972424</c:v>
                </c:pt>
                <c:pt idx="89">
                  <c:v>26.3345759233726</c:v>
                </c:pt>
                <c:pt idx="90">
                  <c:v>26.2917184475672</c:v>
                </c:pt>
                <c:pt idx="91">
                  <c:v>26.2227911551548</c:v>
                </c:pt>
                <c:pt idx="92">
                  <c:v>26.1896066251434</c:v>
                </c:pt>
                <c:pt idx="93">
                  <c:v>26.1442579862438</c:v>
                </c:pt>
                <c:pt idx="94">
                  <c:v>26.1329055428184</c:v>
                </c:pt>
                <c:pt idx="95">
                  <c:v>26.1411940211281</c:v>
                </c:pt>
                <c:pt idx="96">
                  <c:v>26.1627944640075</c:v>
                </c:pt>
                <c:pt idx="97">
                  <c:v>26.2315356148218</c:v>
                </c:pt>
                <c:pt idx="98">
                  <c:v>26.2993626063165</c:v>
                </c:pt>
                <c:pt idx="99">
                  <c:v>26.3753950058486</c:v>
                </c:pt>
                <c:pt idx="100">
                  <c:v>26.4527583387487</c:v>
                </c:pt>
                <c:pt idx="101">
                  <c:v>26.5592058692117</c:v>
                </c:pt>
                <c:pt idx="102">
                  <c:v>26.6891017307516</c:v>
                </c:pt>
                <c:pt idx="103">
                  <c:v>26.8797016025478</c:v>
                </c:pt>
                <c:pt idx="104">
                  <c:v>27.0756792616183</c:v>
                </c:pt>
                <c:pt idx="105">
                  <c:v>27.2432141311281</c:v>
                </c:pt>
                <c:pt idx="106">
                  <c:v>27.3746649362297</c:v>
                </c:pt>
                <c:pt idx="107">
                  <c:v>27.4852379039164</c:v>
                </c:pt>
                <c:pt idx="108">
                  <c:v>27.5702128739967</c:v>
                </c:pt>
                <c:pt idx="109">
                  <c:v>27.6502859944414</c:v>
                </c:pt>
                <c:pt idx="110">
                  <c:v>27.7251240689272</c:v>
                </c:pt>
                <c:pt idx="111">
                  <c:v>27.7693519156733</c:v>
                </c:pt>
                <c:pt idx="112">
                  <c:v>27.7866295515494</c:v>
                </c:pt>
                <c:pt idx="113">
                  <c:v>27.7998421773605</c:v>
                </c:pt>
                <c:pt idx="114">
                  <c:v>27.8051131271857</c:v>
                </c:pt>
                <c:pt idx="115">
                  <c:v>27.8280973399867</c:v>
                </c:pt>
                <c:pt idx="116">
                  <c:v>27.8062086481359</c:v>
                </c:pt>
                <c:pt idx="117">
                  <c:v>27.7949931927184</c:v>
                </c:pt>
                <c:pt idx="118">
                  <c:v>27.8229048080726</c:v>
                </c:pt>
                <c:pt idx="119">
                  <c:v>27.8292526000672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0859342"/>
        <c:axId val="15099780"/>
      </c:lineChart>
      <c:catAx>
        <c:axId val="80859342"/>
        <c:scaling>
          <c:orientation val="minMax"/>
        </c:scaling>
        <c:delete val="0"/>
        <c:axPos val="b"/>
        <c:numFmt formatCode="mm\-dd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099780"/>
        <c:crosses val="autoZero"/>
        <c:auto val="1"/>
        <c:lblAlgn val="ctr"/>
        <c:lblOffset val="100"/>
        <c:noMultiLvlLbl val="0"/>
      </c:catAx>
      <c:valAx>
        <c:axId val="15099780"/>
        <c:scaling>
          <c:orientation val="minMax"/>
          <c:min val="21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8593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MACD 柱状线(多空力量斜率)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"MACD柱"</c:f>
              <c:strCache>
                <c:ptCount val="1"/>
                <c:pt idx="0">
                  <c:v>MACD柱</c:v>
                </c:pt>
              </c:strCache>
            </c:strRef>
          </c:tx>
          <c:spPr>
            <a:solidFill>
              <a:srgbClr val="2a7f8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日线!$A$191:$A$310</c:f>
              <c:strCache>
                <c:ptCount val="120"/>
                <c:pt idx="0">
                  <c:v>2025-09-19</c:v>
                </c:pt>
                <c:pt idx="1">
                  <c:v>2025-09-22</c:v>
                </c:pt>
                <c:pt idx="2">
                  <c:v>2025-09-23</c:v>
                </c:pt>
                <c:pt idx="3">
                  <c:v>2025-09-24</c:v>
                </c:pt>
                <c:pt idx="4">
                  <c:v>2025-09-25</c:v>
                </c:pt>
                <c:pt idx="5">
                  <c:v>2025-09-26</c:v>
                </c:pt>
                <c:pt idx="6">
                  <c:v>2025-09-29</c:v>
                </c:pt>
                <c:pt idx="7">
                  <c:v>2025-09-30</c:v>
                </c:pt>
                <c:pt idx="8">
                  <c:v>2025-10-01</c:v>
                </c:pt>
                <c:pt idx="9">
                  <c:v>2025-10-02</c:v>
                </c:pt>
                <c:pt idx="10">
                  <c:v>2025-10-03</c:v>
                </c:pt>
                <c:pt idx="11">
                  <c:v>2025-10-06</c:v>
                </c:pt>
                <c:pt idx="12">
                  <c:v>2025-10-07</c:v>
                </c:pt>
                <c:pt idx="13">
                  <c:v>2025-10-08</c:v>
                </c:pt>
                <c:pt idx="14">
                  <c:v>2025-10-09</c:v>
                </c:pt>
                <c:pt idx="15">
                  <c:v>2025-10-10</c:v>
                </c:pt>
                <c:pt idx="16">
                  <c:v>2025-10-13</c:v>
                </c:pt>
                <c:pt idx="17">
                  <c:v>2025-10-14</c:v>
                </c:pt>
                <c:pt idx="18">
                  <c:v>2025-10-15</c:v>
                </c:pt>
                <c:pt idx="19">
                  <c:v>2025-10-16</c:v>
                </c:pt>
                <c:pt idx="20">
                  <c:v>2025-10-17</c:v>
                </c:pt>
                <c:pt idx="21">
                  <c:v>2025-10-20</c:v>
                </c:pt>
                <c:pt idx="22">
                  <c:v>2025-10-21</c:v>
                </c:pt>
                <c:pt idx="23">
                  <c:v>2025-10-22</c:v>
                </c:pt>
                <c:pt idx="24">
                  <c:v>2025-10-23</c:v>
                </c:pt>
                <c:pt idx="25">
                  <c:v>2025-10-24</c:v>
                </c:pt>
                <c:pt idx="26">
                  <c:v>2025-10-27</c:v>
                </c:pt>
                <c:pt idx="27">
                  <c:v>2025-10-28</c:v>
                </c:pt>
                <c:pt idx="28">
                  <c:v>2025-10-29</c:v>
                </c:pt>
                <c:pt idx="29">
                  <c:v>2025-10-30</c:v>
                </c:pt>
                <c:pt idx="30">
                  <c:v>2025-10-31</c:v>
                </c:pt>
                <c:pt idx="31">
                  <c:v>2025-11-03</c:v>
                </c:pt>
                <c:pt idx="32">
                  <c:v>2025-11-04</c:v>
                </c:pt>
                <c:pt idx="33">
                  <c:v>2025-11-05</c:v>
                </c:pt>
                <c:pt idx="34">
                  <c:v>2025-11-06</c:v>
                </c:pt>
                <c:pt idx="35">
                  <c:v>2025-11-07</c:v>
                </c:pt>
                <c:pt idx="36">
                  <c:v>2025-11-10</c:v>
                </c:pt>
                <c:pt idx="37">
                  <c:v>2025-11-11</c:v>
                </c:pt>
                <c:pt idx="38">
                  <c:v>2025-11-12</c:v>
                </c:pt>
                <c:pt idx="39">
                  <c:v>2025-11-13</c:v>
                </c:pt>
                <c:pt idx="40">
                  <c:v>2025-11-14</c:v>
                </c:pt>
                <c:pt idx="41">
                  <c:v>2025-11-17</c:v>
                </c:pt>
                <c:pt idx="42">
                  <c:v>2025-11-18</c:v>
                </c:pt>
                <c:pt idx="43">
                  <c:v>2025-11-19</c:v>
                </c:pt>
                <c:pt idx="44">
                  <c:v>2025-11-20</c:v>
                </c:pt>
                <c:pt idx="45">
                  <c:v>2025-11-21</c:v>
                </c:pt>
                <c:pt idx="46">
                  <c:v>2025-11-24</c:v>
                </c:pt>
                <c:pt idx="47">
                  <c:v>2025-11-25</c:v>
                </c:pt>
                <c:pt idx="48">
                  <c:v>2025-11-26</c:v>
                </c:pt>
                <c:pt idx="49">
                  <c:v>2025-11-27</c:v>
                </c:pt>
                <c:pt idx="50">
                  <c:v>2025-11-28</c:v>
                </c:pt>
                <c:pt idx="51">
                  <c:v>2025-12-01</c:v>
                </c:pt>
                <c:pt idx="52">
                  <c:v>2025-12-02</c:v>
                </c:pt>
                <c:pt idx="53">
                  <c:v>2025-12-03</c:v>
                </c:pt>
                <c:pt idx="54">
                  <c:v>2025-12-04</c:v>
                </c:pt>
                <c:pt idx="55">
                  <c:v>2025-12-05</c:v>
                </c:pt>
                <c:pt idx="56">
                  <c:v>2025-12-08</c:v>
                </c:pt>
                <c:pt idx="57">
                  <c:v>2025-12-09</c:v>
                </c:pt>
                <c:pt idx="58">
                  <c:v>2025-12-10</c:v>
                </c:pt>
                <c:pt idx="59">
                  <c:v>2025-12-11</c:v>
                </c:pt>
                <c:pt idx="60">
                  <c:v>2025-12-12</c:v>
                </c:pt>
                <c:pt idx="61">
                  <c:v>2025-12-15</c:v>
                </c:pt>
                <c:pt idx="62">
                  <c:v>2025-12-16</c:v>
                </c:pt>
                <c:pt idx="63">
                  <c:v>2025-12-17</c:v>
                </c:pt>
                <c:pt idx="64">
                  <c:v>2025-12-18</c:v>
                </c:pt>
                <c:pt idx="65">
                  <c:v>2025-12-19</c:v>
                </c:pt>
                <c:pt idx="66">
                  <c:v>2025-12-22</c:v>
                </c:pt>
                <c:pt idx="67">
                  <c:v>2025-12-23</c:v>
                </c:pt>
                <c:pt idx="68">
                  <c:v>2025-12-24</c:v>
                </c:pt>
                <c:pt idx="69">
                  <c:v>2025-12-25</c:v>
                </c:pt>
                <c:pt idx="70">
                  <c:v>2025-12-26</c:v>
                </c:pt>
                <c:pt idx="71">
                  <c:v>2025-12-29</c:v>
                </c:pt>
                <c:pt idx="72">
                  <c:v>2025-12-30</c:v>
                </c:pt>
                <c:pt idx="73">
                  <c:v>2025-12-31</c:v>
                </c:pt>
                <c:pt idx="74">
                  <c:v>2026-01-01</c:v>
                </c:pt>
                <c:pt idx="75">
                  <c:v>2026-01-02</c:v>
                </c:pt>
                <c:pt idx="76">
                  <c:v>2026-01-05</c:v>
                </c:pt>
                <c:pt idx="77">
                  <c:v>2026-01-06</c:v>
                </c:pt>
                <c:pt idx="78">
                  <c:v>2026-01-07</c:v>
                </c:pt>
                <c:pt idx="79">
                  <c:v>2026-01-08</c:v>
                </c:pt>
                <c:pt idx="80">
                  <c:v>2026-01-09</c:v>
                </c:pt>
                <c:pt idx="81">
                  <c:v>2026-01-12</c:v>
                </c:pt>
                <c:pt idx="82">
                  <c:v>2026-01-13</c:v>
                </c:pt>
                <c:pt idx="83">
                  <c:v>2026-01-14</c:v>
                </c:pt>
                <c:pt idx="84">
                  <c:v>2026-01-15</c:v>
                </c:pt>
                <c:pt idx="85">
                  <c:v>2026-01-16</c:v>
                </c:pt>
                <c:pt idx="86">
                  <c:v>2026-01-19</c:v>
                </c:pt>
                <c:pt idx="87">
                  <c:v>2026-01-20</c:v>
                </c:pt>
                <c:pt idx="88">
                  <c:v>2026-01-21</c:v>
                </c:pt>
                <c:pt idx="89">
                  <c:v>2026-01-22</c:v>
                </c:pt>
                <c:pt idx="90">
                  <c:v>2026-01-23</c:v>
                </c:pt>
                <c:pt idx="91">
                  <c:v>2026-01-26</c:v>
                </c:pt>
                <c:pt idx="92">
                  <c:v>2026-01-27</c:v>
                </c:pt>
                <c:pt idx="93">
                  <c:v>2026-01-28</c:v>
                </c:pt>
                <c:pt idx="94">
                  <c:v>2026-01-29</c:v>
                </c:pt>
                <c:pt idx="95">
                  <c:v>2026-01-30</c:v>
                </c:pt>
                <c:pt idx="96">
                  <c:v>2026-02-02</c:v>
                </c:pt>
                <c:pt idx="97">
                  <c:v>2026-02-03</c:v>
                </c:pt>
                <c:pt idx="98">
                  <c:v>2026-02-04</c:v>
                </c:pt>
                <c:pt idx="99">
                  <c:v>2026-02-05</c:v>
                </c:pt>
                <c:pt idx="100">
                  <c:v>2026-02-06</c:v>
                </c:pt>
                <c:pt idx="101">
                  <c:v>2026-02-09</c:v>
                </c:pt>
                <c:pt idx="102">
                  <c:v>2026-02-10</c:v>
                </c:pt>
                <c:pt idx="103">
                  <c:v>2026-02-11</c:v>
                </c:pt>
                <c:pt idx="104">
                  <c:v>2026-02-12</c:v>
                </c:pt>
                <c:pt idx="105">
                  <c:v>2026-02-13</c:v>
                </c:pt>
                <c:pt idx="106">
                  <c:v>2026-02-16</c:v>
                </c:pt>
                <c:pt idx="107">
                  <c:v>2026-02-17</c:v>
                </c:pt>
                <c:pt idx="108">
                  <c:v>2026-02-18</c:v>
                </c:pt>
                <c:pt idx="109">
                  <c:v>2026-02-19</c:v>
                </c:pt>
                <c:pt idx="110">
                  <c:v>2026-02-20</c:v>
                </c:pt>
                <c:pt idx="111">
                  <c:v>2026-02-23</c:v>
                </c:pt>
                <c:pt idx="112">
                  <c:v>2026-02-24</c:v>
                </c:pt>
                <c:pt idx="113">
                  <c:v>2026-02-25</c:v>
                </c:pt>
                <c:pt idx="114">
                  <c:v>2026-02-26</c:v>
                </c:pt>
                <c:pt idx="115">
                  <c:v>2026-02-27</c:v>
                </c:pt>
                <c:pt idx="116">
                  <c:v>2026-03-02</c:v>
                </c:pt>
                <c:pt idx="117">
                  <c:v>2026-03-03</c:v>
                </c:pt>
                <c:pt idx="118">
                  <c:v>2026-03-04</c:v>
                </c:pt>
                <c:pt idx="119">
                  <c:v>2026-03-05</c:v>
                </c:pt>
              </c:strCache>
            </c:strRef>
          </c:cat>
          <c:val>
            <c:numRef>
              <c:f>日线!$N$191:$N$310</c:f>
              <c:numCache>
                <c:formatCode>0.000</c:formatCode>
                <c:ptCount val="120"/>
                <c:pt idx="0">
                  <c:v>-0.0338276022987383</c:v>
                </c:pt>
                <c:pt idx="1">
                  <c:v>-0.000473286176073506</c:v>
                </c:pt>
                <c:pt idx="2">
                  <c:v>0.0240070207929683</c:v>
                </c:pt>
                <c:pt idx="3">
                  <c:v>0.0326527828085573</c:v>
                </c:pt>
                <c:pt idx="4">
                  <c:v>0.0844529489919716</c:v>
                </c:pt>
                <c:pt idx="5">
                  <c:v>0.120826572440215</c:v>
                </c:pt>
                <c:pt idx="6">
                  <c:v>0.147263514033361</c:v>
                </c:pt>
                <c:pt idx="7">
                  <c:v>0.163198117892428</c:v>
                </c:pt>
                <c:pt idx="8">
                  <c:v>0.122841355635202</c:v>
                </c:pt>
                <c:pt idx="9">
                  <c:v>0.110940977410576</c:v>
                </c:pt>
                <c:pt idx="10">
                  <c:v>0.15170902842975</c:v>
                </c:pt>
                <c:pt idx="11">
                  <c:v>0.163655299027676</c:v>
                </c:pt>
                <c:pt idx="12">
                  <c:v>0.197380694095973</c:v>
                </c:pt>
                <c:pt idx="13">
                  <c:v>0.185741290186914</c:v>
                </c:pt>
                <c:pt idx="14">
                  <c:v>0.12096603506634</c:v>
                </c:pt>
                <c:pt idx="15">
                  <c:v>0.0649349525942918</c:v>
                </c:pt>
                <c:pt idx="16">
                  <c:v>0.0324900294900112</c:v>
                </c:pt>
                <c:pt idx="17">
                  <c:v>0.0458113446262883</c:v>
                </c:pt>
                <c:pt idx="18">
                  <c:v>0.0544683040324069</c:v>
                </c:pt>
                <c:pt idx="19">
                  <c:v>0.0385639501709069</c:v>
                </c:pt>
                <c:pt idx="20">
                  <c:v>0.00290546534655756</c:v>
                </c:pt>
                <c:pt idx="21">
                  <c:v>-0.0432718715100922</c:v>
                </c:pt>
                <c:pt idx="22">
                  <c:v>-0.0514032452662709</c:v>
                </c:pt>
                <c:pt idx="23">
                  <c:v>-0.0242957251323355</c:v>
                </c:pt>
                <c:pt idx="24">
                  <c:v>-0.00773745039592944</c:v>
                </c:pt>
                <c:pt idx="25">
                  <c:v>0.0268854503168537</c:v>
                </c:pt>
                <c:pt idx="26">
                  <c:v>0.0690401116605099</c:v>
                </c:pt>
                <c:pt idx="27">
                  <c:v>0.0350526347726546</c:v>
                </c:pt>
                <c:pt idx="28">
                  <c:v>0.0386436680158171</c:v>
                </c:pt>
                <c:pt idx="29">
                  <c:v>0.013819551067341</c:v>
                </c:pt>
                <c:pt idx="30">
                  <c:v>0.0113839670785169</c:v>
                </c:pt>
                <c:pt idx="31">
                  <c:v>0.0256355193371445</c:v>
                </c:pt>
                <c:pt idx="32">
                  <c:v>-0.00789517057684375</c:v>
                </c:pt>
                <c:pt idx="33">
                  <c:v>-0.0651318788586301</c:v>
                </c:pt>
                <c:pt idx="34">
                  <c:v>-0.116847399406638</c:v>
                </c:pt>
                <c:pt idx="35">
                  <c:v>-0.153190541609803</c:v>
                </c:pt>
                <c:pt idx="36">
                  <c:v>-0.132971890406441</c:v>
                </c:pt>
                <c:pt idx="37">
                  <c:v>-0.107414353506155</c:v>
                </c:pt>
                <c:pt idx="38">
                  <c:v>-0.111514287668087</c:v>
                </c:pt>
                <c:pt idx="39">
                  <c:v>-0.0909760264310882</c:v>
                </c:pt>
                <c:pt idx="40">
                  <c:v>-0.0864967970967898</c:v>
                </c:pt>
                <c:pt idx="41">
                  <c:v>-0.0946734293028619</c:v>
                </c:pt>
                <c:pt idx="42">
                  <c:v>-0.0546167303489511</c:v>
                </c:pt>
                <c:pt idx="43">
                  <c:v>0.00157097424234909</c:v>
                </c:pt>
                <c:pt idx="44">
                  <c:v>0.0457749486238221</c:v>
                </c:pt>
                <c:pt idx="45">
                  <c:v>0.0768552941344092</c:v>
                </c:pt>
                <c:pt idx="46">
                  <c:v>0.151512389091449</c:v>
                </c:pt>
                <c:pt idx="47">
                  <c:v>0.23518368467452</c:v>
                </c:pt>
                <c:pt idx="48">
                  <c:v>0.260870437098782</c:v>
                </c:pt>
                <c:pt idx="49">
                  <c:v>0.29549755394121</c:v>
                </c:pt>
                <c:pt idx="50">
                  <c:v>0.296863540239314</c:v>
                </c:pt>
                <c:pt idx="51">
                  <c:v>0.235790570127659</c:v>
                </c:pt>
                <c:pt idx="52">
                  <c:v>0.176536801679257</c:v>
                </c:pt>
                <c:pt idx="53">
                  <c:v>0.153035922871954</c:v>
                </c:pt>
                <c:pt idx="54">
                  <c:v>0.0813516342435579</c:v>
                </c:pt>
                <c:pt idx="55">
                  <c:v>-0.0335532827531317</c:v>
                </c:pt>
                <c:pt idx="56">
                  <c:v>-0.117755764257182</c:v>
                </c:pt>
                <c:pt idx="57">
                  <c:v>-0.162715892258495</c:v>
                </c:pt>
                <c:pt idx="58">
                  <c:v>-0.193115459463131</c:v>
                </c:pt>
                <c:pt idx="59">
                  <c:v>-0.173426229575448</c:v>
                </c:pt>
                <c:pt idx="60">
                  <c:v>-0.174033311613582</c:v>
                </c:pt>
                <c:pt idx="61">
                  <c:v>-0.201611310075899</c:v>
                </c:pt>
                <c:pt idx="62">
                  <c:v>-0.232701779744919</c:v>
                </c:pt>
                <c:pt idx="63">
                  <c:v>-0.254260960524389</c:v>
                </c:pt>
                <c:pt idx="64">
                  <c:v>-0.248991134892286</c:v>
                </c:pt>
                <c:pt idx="65">
                  <c:v>-0.284688233685173</c:v>
                </c:pt>
                <c:pt idx="66">
                  <c:v>-0.263132187659713</c:v>
                </c:pt>
                <c:pt idx="67">
                  <c:v>-0.24961726310634</c:v>
                </c:pt>
                <c:pt idx="68">
                  <c:v>-0.27893432580413</c:v>
                </c:pt>
                <c:pt idx="69">
                  <c:v>-0.306121632892154</c:v>
                </c:pt>
                <c:pt idx="70">
                  <c:v>-0.356654552541767</c:v>
                </c:pt>
                <c:pt idx="71">
                  <c:v>-0.349435065923473</c:v>
                </c:pt>
                <c:pt idx="72">
                  <c:v>-0.324106636633096</c:v>
                </c:pt>
                <c:pt idx="73">
                  <c:v>-0.284187866607038</c:v>
                </c:pt>
                <c:pt idx="74">
                  <c:v>-0.249970749325553</c:v>
                </c:pt>
                <c:pt idx="75">
                  <c:v>-0.247354720255823</c:v>
                </c:pt>
                <c:pt idx="76">
                  <c:v>-0.242421000488837</c:v>
                </c:pt>
                <c:pt idx="77">
                  <c:v>-0.206384578983745</c:v>
                </c:pt>
                <c:pt idx="78">
                  <c:v>-0.184181115057354</c:v>
                </c:pt>
                <c:pt idx="79">
                  <c:v>-0.201386339197951</c:v>
                </c:pt>
                <c:pt idx="80">
                  <c:v>-0.252780241911752</c:v>
                </c:pt>
                <c:pt idx="81">
                  <c:v>-0.285318410388059</c:v>
                </c:pt>
                <c:pt idx="82">
                  <c:v>-0.319636582965439</c:v>
                </c:pt>
                <c:pt idx="83">
                  <c:v>-0.300850588193648</c:v>
                </c:pt>
                <c:pt idx="84">
                  <c:v>-0.24524996383903</c:v>
                </c:pt>
                <c:pt idx="85">
                  <c:v>-0.17467393495117</c:v>
                </c:pt>
                <c:pt idx="86">
                  <c:v>-0.130560215995681</c:v>
                </c:pt>
                <c:pt idx="87">
                  <c:v>-0.0852640253624361</c:v>
                </c:pt>
                <c:pt idx="88">
                  <c:v>-0.0420450282284873</c:v>
                </c:pt>
                <c:pt idx="89">
                  <c:v>0.0385455469837259</c:v>
                </c:pt>
                <c:pt idx="90">
                  <c:v>0.0922986411581285</c:v>
                </c:pt>
                <c:pt idx="91">
                  <c:v>0.10195161660303</c:v>
                </c:pt>
                <c:pt idx="92">
                  <c:v>0.138108289592206</c:v>
                </c:pt>
                <c:pt idx="93">
                  <c:v>0.147185315986135</c:v>
                </c:pt>
                <c:pt idx="94">
                  <c:v>0.179959528165267</c:v>
                </c:pt>
                <c:pt idx="95">
                  <c:v>0.214609431928779</c:v>
                </c:pt>
                <c:pt idx="96">
                  <c:v>0.243662202854032</c:v>
                </c:pt>
                <c:pt idx="97">
                  <c:v>0.29903728155215</c:v>
                </c:pt>
                <c:pt idx="98">
                  <c:v>0.326482948389137</c:v>
                </c:pt>
                <c:pt idx="99">
                  <c:v>0.34253642936299</c:v>
                </c:pt>
                <c:pt idx="100">
                  <c:v>0.344083659387269</c:v>
                </c:pt>
                <c:pt idx="101">
                  <c:v>0.361200373260947</c:v>
                </c:pt>
                <c:pt idx="102">
                  <c:v>0.383164319650244</c:v>
                </c:pt>
                <c:pt idx="103">
                  <c:v>0.441879613857642</c:v>
                </c:pt>
                <c:pt idx="104">
                  <c:v>0.472957960530793</c:v>
                </c:pt>
                <c:pt idx="105">
                  <c:v>0.453374380124905</c:v>
                </c:pt>
                <c:pt idx="106">
                  <c:v>0.39309568410072</c:v>
                </c:pt>
                <c:pt idx="107">
                  <c:v>0.32106122176183</c:v>
                </c:pt>
                <c:pt idx="108">
                  <c:v>0.238959285179044</c:v>
                </c:pt>
                <c:pt idx="109">
                  <c:v>0.171537302645607</c:v>
                </c:pt>
                <c:pt idx="110">
                  <c:v>0.115821657796949</c:v>
                </c:pt>
                <c:pt idx="111">
                  <c:v>0.0464875081893968</c:v>
                </c:pt>
                <c:pt idx="112">
                  <c:v>-0.0265774468333378</c:v>
                </c:pt>
                <c:pt idx="113">
                  <c:v>-0.0789447382134951</c:v>
                </c:pt>
                <c:pt idx="114">
                  <c:v>-0.119243083857664</c:v>
                </c:pt>
                <c:pt idx="115">
                  <c:v>-0.126618204177452</c:v>
                </c:pt>
                <c:pt idx="116">
                  <c:v>-0.168842024358808</c:v>
                </c:pt>
                <c:pt idx="117">
                  <c:v>-0.182446819066441</c:v>
                </c:pt>
                <c:pt idx="118">
                  <c:v>-0.150181325221097</c:v>
                </c:pt>
                <c:pt idx="119">
                  <c:v>-0.14348300101941</c:v>
                </c:pt>
              </c:numCache>
            </c:numRef>
          </c:val>
        </c:ser>
        <c:gapWidth val="150"/>
        <c:overlap val="0"/>
        <c:axId val="61342149"/>
        <c:axId val="36844574"/>
      </c:barChart>
      <c:catAx>
        <c:axId val="61342149"/>
        <c:scaling>
          <c:orientation val="minMax"/>
        </c:scaling>
        <c:delete val="0"/>
        <c:axPos val="b"/>
        <c:numFmt formatCode="mm\-dd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844574"/>
        <c:crosses val="autoZero"/>
        <c:auto val="1"/>
        <c:lblAlgn val="ctr"/>
        <c:lblOffset val="100"/>
        <c:noMultiLvlLbl val="0"/>
      </c:catAx>
      <c:valAx>
        <c:axId val="368445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3421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评分构成(当前评分卡)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e8b04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评分卡!$B$8:$B$20</c:f>
              <c:strCache>
                <c:ptCount val="13"/>
                <c:pt idx="0">
                  <c:v>上周 EMA慢是否向上</c:v>
                </c:pt>
                <c:pt idx="1">
                  <c:v>上周动力系统</c:v>
                </c:pt>
                <c:pt idx="2">
                  <c:v>上周 MACD 柱斜率向上</c:v>
                </c:pt>
                <c:pt idx="3">
                  <c:v>ADX 上升且 +DI&gt;-DI</c:v>
                </c:pt>
                <c:pt idx="4">
                  <c:v>价格相对价值区间</c:v>
                </c:pt>
                <c:pt idx="5">
                  <c:v>2日强力指数&lt;0 且非数周新低</c:v>
                </c:pt>
                <c:pt idx="6">
                  <c:v>慢速随机指标 %K</c:v>
                </c:pt>
                <c:pt idx="7">
                  <c:v>形态A 回调到价值区(顺势)</c:v>
                </c:pt>
                <c:pt idx="8">
                  <c:v>形态B MACD柱牛市背离/假突破</c:v>
                </c:pt>
                <c:pt idx="9">
                  <c:v>形态C 极端超卖反弹</c:v>
                </c:pt>
                <c:pt idx="10">
                  <c:v>13日强力指数&gt;0</c:v>
                </c:pt>
                <c:pt idx="11">
                  <c:v>今日量&lt;5日均量(缩量回调)</c:v>
                </c:pt>
                <c:pt idx="12">
                  <c:v>盈亏比 (目标−买入)/(买入−止损)</c:v>
                </c:pt>
              </c:strCache>
            </c:strRef>
          </c:cat>
          <c:val>
            <c:numRef>
              <c:f>评分卡!$E$8:$E$20</c:f>
              <c:numCache>
                <c:formatCode>0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5</c:v>
                </c:pt>
                <c:pt idx="3">
                  <c:v>0</c:v>
                </c:pt>
                <c:pt idx="4">
                  <c:v>10</c:v>
                </c:pt>
                <c:pt idx="5">
                  <c:v>8</c:v>
                </c:pt>
                <c:pt idx="6">
                  <c:v>3</c:v>
                </c:pt>
                <c:pt idx="9">
                  <c:v>15</c:v>
                </c:pt>
                <c:pt idx="10">
                  <c:v>0</c:v>
                </c:pt>
                <c:pt idx="11">
                  <c:v>0</c:v>
                </c:pt>
                <c:pt idx="12">
                  <c:v>15</c:v>
                </c:pt>
              </c:numCache>
            </c:numRef>
          </c:val>
        </c:ser>
        <c:gapWidth val="150"/>
        <c:overlap val="0"/>
        <c:axId val="74663568"/>
        <c:axId val="71092594"/>
      </c:barChart>
      <c:catAx>
        <c:axId val="7466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092594"/>
        <c:crosses val="autoZero"/>
        <c:auto val="1"/>
        <c:lblAlgn val="ctr"/>
        <c:lblOffset val="100"/>
        <c:noMultiLvlLbl val="0"/>
      </c:catAx>
      <c:valAx>
        <c:axId val="710925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66356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134640</xdr:rowOff>
    </xdr:from>
    <xdr:to>
      <xdr:col>14</xdr:col>
      <xdr:colOff>78480</xdr:colOff>
      <xdr:row>19</xdr:row>
      <xdr:rowOff>125280</xdr:rowOff>
    </xdr:to>
    <xdr:graphicFrame>
      <xdr:nvGraphicFramePr>
        <xdr:cNvPr id="0" name="Chart 1"/>
        <xdr:cNvGraphicFramePr/>
      </xdr:nvGraphicFramePr>
      <xdr:xfrm>
        <a:off x="0" y="380880"/>
        <a:ext cx="863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22</xdr:row>
      <xdr:rowOff>134640</xdr:rowOff>
    </xdr:from>
    <xdr:to>
      <xdr:col>14</xdr:col>
      <xdr:colOff>78480</xdr:colOff>
      <xdr:row>35</xdr:row>
      <xdr:rowOff>177840</xdr:rowOff>
    </xdr:to>
    <xdr:graphicFrame>
      <xdr:nvGraphicFramePr>
        <xdr:cNvPr id="1" name="Chart 2"/>
        <xdr:cNvGraphicFramePr/>
      </xdr:nvGraphicFramePr>
      <xdr:xfrm>
        <a:off x="0" y="4381560"/>
        <a:ext cx="86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37</xdr:row>
      <xdr:rowOff>134640</xdr:rowOff>
    </xdr:from>
    <xdr:to>
      <xdr:col>8</xdr:col>
      <xdr:colOff>147600</xdr:colOff>
      <xdr:row>50</xdr:row>
      <xdr:rowOff>177480</xdr:rowOff>
    </xdr:to>
    <xdr:graphicFrame>
      <xdr:nvGraphicFramePr>
        <xdr:cNvPr id="2" name="Chart 3"/>
        <xdr:cNvGraphicFramePr/>
      </xdr:nvGraphicFramePr>
      <xdr:xfrm>
        <a:off x="0" y="723888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</cols>
  <sheetData>
    <row r="1" customFormat="false" ht="20.85" hidden="false" customHeight="fals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3" t="s">
        <v>2</v>
      </c>
    </row>
    <row r="4" customFormat="false" ht="30" hidden="false" customHeight="true" outlineLevel="0" collapsed="false">
      <c r="A4" s="2" t="s">
        <v>3</v>
      </c>
      <c r="B4" s="3" t="s">
        <v>4</v>
      </c>
    </row>
    <row r="5" customFormat="false" ht="30" hidden="false" customHeight="true" outlineLevel="0" collapsed="false">
      <c r="A5" s="2" t="s">
        <v>5</v>
      </c>
      <c r="B5" s="3" t="s">
        <v>6</v>
      </c>
    </row>
    <row r="6" customFormat="false" ht="48" hidden="false" customHeight="true" outlineLevel="0" collapsed="false">
      <c r="A6" s="2" t="s">
        <v>7</v>
      </c>
      <c r="B6" s="3" t="s">
        <v>8</v>
      </c>
    </row>
    <row r="7" customFormat="false" ht="30" hidden="false" customHeight="true" outlineLevel="0" collapsed="false">
      <c r="A7" s="2" t="s">
        <v>9</v>
      </c>
      <c r="B7" s="3" t="s">
        <v>10</v>
      </c>
    </row>
    <row r="8" customFormat="false" ht="48" hidden="false" customHeight="true" outlineLevel="0" collapsed="false">
      <c r="A8" s="2" t="s">
        <v>11</v>
      </c>
      <c r="B8" s="3" t="s">
        <v>12</v>
      </c>
    </row>
    <row r="9" customFormat="false" ht="30" hidden="false" customHeight="true" outlineLevel="0" collapsed="false">
      <c r="A9" s="2" t="s">
        <v>13</v>
      </c>
      <c r="B9" s="3" t="s">
        <v>14</v>
      </c>
    </row>
    <row r="10" customFormat="false" ht="30" hidden="false" customHeight="true" outlineLevel="0" collapsed="false">
      <c r="A10" s="2" t="s">
        <v>15</v>
      </c>
      <c r="B10" s="3" t="s">
        <v>16</v>
      </c>
    </row>
    <row r="11" customFormat="false" ht="30" hidden="false" customHeight="true" outlineLevel="0" collapsed="false">
      <c r="A11" s="2" t="s">
        <v>17</v>
      </c>
      <c r="B11" s="3" t="s">
        <v>18</v>
      </c>
    </row>
    <row r="12" customFormat="false" ht="30" hidden="false" customHeight="true" outlineLevel="0" collapsed="false">
      <c r="A12" s="2" t="s">
        <v>19</v>
      </c>
      <c r="B12" s="3" t="s">
        <v>20</v>
      </c>
    </row>
    <row r="13" customFormat="false" ht="30" hidden="false" customHeight="true" outlineLevel="0" collapsed="false">
      <c r="A13" s="2" t="s">
        <v>21</v>
      </c>
      <c r="B13" s="3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6"/>
    <col collapsed="false" customWidth="true" hidden="false" outlineLevel="0" max="3" min="3" style="0" width="14"/>
    <col collapsed="false" customWidth="true" hidden="false" outlineLevel="0" max="4" min="4" style="0" width="62"/>
  </cols>
  <sheetData>
    <row r="1" customFormat="false" ht="19.4" hidden="false" customHeight="false" outlineLevel="0" collapsed="false">
      <c r="A1" s="4" t="s">
        <v>23</v>
      </c>
    </row>
    <row r="3" customFormat="false" ht="15" hidden="false" customHeight="false" outlineLevel="0" collapsed="false">
      <c r="A3" s="5" t="s">
        <v>24</v>
      </c>
      <c r="B3" s="5" t="s">
        <v>25</v>
      </c>
      <c r="C3" s="5" t="s">
        <v>26</v>
      </c>
      <c r="D3" s="5" t="s">
        <v>27</v>
      </c>
    </row>
    <row r="4" customFormat="false" ht="15" hidden="false" customHeight="false" outlineLevel="0" collapsed="false">
      <c r="A4" s="6" t="s">
        <v>28</v>
      </c>
      <c r="B4" s="7"/>
      <c r="C4" s="7"/>
      <c r="D4" s="7"/>
    </row>
    <row r="5" customFormat="false" ht="15" hidden="false" customHeight="false" outlineLevel="0" collapsed="false">
      <c r="A5" s="8" t="s">
        <v>29</v>
      </c>
      <c r="B5" s="3" t="s">
        <v>30</v>
      </c>
      <c r="C5" s="9" t="n">
        <v>13</v>
      </c>
      <c r="D5" s="3" t="s">
        <v>31</v>
      </c>
    </row>
    <row r="6" customFormat="false" ht="15" hidden="false" customHeight="false" outlineLevel="0" collapsed="false">
      <c r="A6" s="8" t="s">
        <v>32</v>
      </c>
      <c r="B6" s="3" t="s">
        <v>33</v>
      </c>
      <c r="C6" s="9" t="n">
        <v>26</v>
      </c>
      <c r="D6" s="3" t="s">
        <v>34</v>
      </c>
    </row>
    <row r="7" customFormat="false" ht="15" hidden="false" customHeight="false" outlineLevel="0" collapsed="false">
      <c r="A7" s="8" t="s">
        <v>35</v>
      </c>
      <c r="B7" s="10" t="s">
        <v>36</v>
      </c>
      <c r="C7" s="9" t="n">
        <v>12</v>
      </c>
      <c r="D7" s="3" t="s">
        <v>37</v>
      </c>
    </row>
    <row r="8" customFormat="false" ht="15" hidden="false" customHeight="false" outlineLevel="0" collapsed="false">
      <c r="A8" s="8" t="s">
        <v>38</v>
      </c>
      <c r="B8" s="10" t="s">
        <v>39</v>
      </c>
      <c r="C8" s="9" t="n">
        <v>26</v>
      </c>
      <c r="D8" s="3" t="s">
        <v>40</v>
      </c>
    </row>
    <row r="9" customFormat="false" ht="15" hidden="false" customHeight="false" outlineLevel="0" collapsed="false">
      <c r="A9" s="8" t="s">
        <v>41</v>
      </c>
      <c r="B9" s="10" t="s">
        <v>42</v>
      </c>
      <c r="C9" s="9" t="n">
        <v>9</v>
      </c>
      <c r="D9" s="3" t="s">
        <v>40</v>
      </c>
    </row>
    <row r="10" customFormat="false" ht="15" hidden="false" customHeight="false" outlineLevel="0" collapsed="false">
      <c r="A10" s="8" t="s">
        <v>43</v>
      </c>
      <c r="B10" s="3" t="s">
        <v>44</v>
      </c>
      <c r="C10" s="9" t="n">
        <v>13</v>
      </c>
      <c r="D10" s="3" t="s">
        <v>45</v>
      </c>
    </row>
    <row r="11" customFormat="false" ht="15" hidden="false" customHeight="false" outlineLevel="0" collapsed="false">
      <c r="A11" s="6" t="s">
        <v>46</v>
      </c>
      <c r="B11" s="7"/>
      <c r="C11" s="7"/>
      <c r="D11" s="7"/>
    </row>
    <row r="12" customFormat="false" ht="15" hidden="false" customHeight="false" outlineLevel="0" collapsed="false">
      <c r="A12" s="8" t="s">
        <v>47</v>
      </c>
      <c r="B12" s="10" t="s">
        <v>48</v>
      </c>
      <c r="C12" s="9" t="n">
        <v>13</v>
      </c>
      <c r="D12" s="3" t="s">
        <v>49</v>
      </c>
    </row>
    <row r="13" customFormat="false" ht="15" hidden="false" customHeight="false" outlineLevel="0" collapsed="false">
      <c r="A13" s="8" t="s">
        <v>50</v>
      </c>
      <c r="B13" s="3" t="s">
        <v>51</v>
      </c>
      <c r="C13" s="11" t="n">
        <v>0.06</v>
      </c>
      <c r="D13" s="3" t="s">
        <v>52</v>
      </c>
    </row>
    <row r="14" customFormat="false" ht="15" hidden="false" customHeight="false" outlineLevel="0" collapsed="false">
      <c r="A14" s="8" t="s">
        <v>53</v>
      </c>
      <c r="B14" s="3" t="s">
        <v>54</v>
      </c>
      <c r="C14" s="9" t="n">
        <v>30</v>
      </c>
      <c r="D14" s="3" t="s">
        <v>55</v>
      </c>
    </row>
    <row r="15" customFormat="false" ht="15" hidden="false" customHeight="false" outlineLevel="0" collapsed="false">
      <c r="A15" s="8" t="s">
        <v>56</v>
      </c>
      <c r="B15" s="3" t="s">
        <v>57</v>
      </c>
      <c r="C15" s="9" t="n">
        <v>10</v>
      </c>
      <c r="D15" s="3" t="s">
        <v>58</v>
      </c>
    </row>
    <row r="16" customFormat="false" ht="15" hidden="false" customHeight="false" outlineLevel="0" collapsed="false">
      <c r="A16" s="8" t="s">
        <v>59</v>
      </c>
      <c r="B16" s="3" t="s">
        <v>60</v>
      </c>
      <c r="C16" s="9" t="n">
        <v>1</v>
      </c>
      <c r="D16" s="3" t="s">
        <v>61</v>
      </c>
    </row>
    <row r="17" customFormat="false" ht="15" hidden="false" customHeight="false" outlineLevel="0" collapsed="false">
      <c r="A17" s="6" t="s">
        <v>62</v>
      </c>
      <c r="B17" s="7"/>
      <c r="C17" s="7"/>
      <c r="D17" s="7"/>
    </row>
    <row r="18" customFormat="false" ht="15" hidden="false" customHeight="false" outlineLevel="0" collapsed="false">
      <c r="A18" s="8" t="s">
        <v>63</v>
      </c>
      <c r="B18" s="3" t="s">
        <v>64</v>
      </c>
      <c r="C18" s="9" t="n">
        <v>2</v>
      </c>
      <c r="D18" s="3" t="s">
        <v>65</v>
      </c>
    </row>
    <row r="19" customFormat="false" ht="15" hidden="false" customHeight="false" outlineLevel="0" collapsed="false">
      <c r="A19" s="8" t="s">
        <v>66</v>
      </c>
      <c r="B19" s="3" t="s">
        <v>67</v>
      </c>
      <c r="C19" s="9" t="n">
        <v>13</v>
      </c>
      <c r="D19" s="3" t="s">
        <v>68</v>
      </c>
    </row>
    <row r="20" customFormat="false" ht="15" hidden="false" customHeight="false" outlineLevel="0" collapsed="false">
      <c r="A20" s="8" t="s">
        <v>69</v>
      </c>
      <c r="B20" s="3" t="s">
        <v>70</v>
      </c>
      <c r="C20" s="9" t="n">
        <v>20</v>
      </c>
      <c r="D20" s="3" t="s">
        <v>71</v>
      </c>
    </row>
    <row r="21" customFormat="false" ht="15" hidden="false" customHeight="false" outlineLevel="0" collapsed="false">
      <c r="A21" s="8" t="s">
        <v>72</v>
      </c>
      <c r="B21" s="3" t="s">
        <v>73</v>
      </c>
      <c r="C21" s="9" t="n">
        <v>5</v>
      </c>
      <c r="D21" s="3" t="s">
        <v>74</v>
      </c>
    </row>
    <row r="22" customFormat="false" ht="15" hidden="false" customHeight="false" outlineLevel="0" collapsed="false">
      <c r="A22" s="8" t="s">
        <v>75</v>
      </c>
      <c r="B22" s="3" t="s">
        <v>76</v>
      </c>
      <c r="C22" s="9" t="n">
        <v>3</v>
      </c>
      <c r="D22" s="3" t="s">
        <v>77</v>
      </c>
    </row>
    <row r="23" customFormat="false" ht="15" hidden="false" customHeight="false" outlineLevel="0" collapsed="false">
      <c r="A23" s="6" t="s">
        <v>78</v>
      </c>
      <c r="B23" s="7"/>
      <c r="C23" s="7"/>
      <c r="D23" s="7"/>
    </row>
    <row r="24" customFormat="false" ht="15" hidden="false" customHeight="false" outlineLevel="0" collapsed="false">
      <c r="A24" s="8" t="s">
        <v>79</v>
      </c>
      <c r="B24" s="3" t="s">
        <v>80</v>
      </c>
      <c r="C24" s="9" t="n">
        <v>10</v>
      </c>
      <c r="D24" s="3" t="s">
        <v>81</v>
      </c>
    </row>
    <row r="25" customFormat="false" ht="15" hidden="false" customHeight="false" outlineLevel="0" collapsed="false">
      <c r="A25" s="8" t="s">
        <v>82</v>
      </c>
      <c r="B25" s="3" t="s">
        <v>83</v>
      </c>
      <c r="C25" s="9" t="n">
        <v>60</v>
      </c>
      <c r="D25" s="3" t="s">
        <v>84</v>
      </c>
    </row>
    <row r="26" customFormat="false" ht="15" hidden="false" customHeight="false" outlineLevel="0" collapsed="false">
      <c r="A26" s="6" t="s">
        <v>85</v>
      </c>
      <c r="B26" s="7"/>
      <c r="C26" s="7"/>
      <c r="D26" s="7"/>
    </row>
    <row r="27" customFormat="false" ht="15" hidden="false" customHeight="false" outlineLevel="0" collapsed="false">
      <c r="A27" s="8" t="s">
        <v>86</v>
      </c>
      <c r="B27" s="3" t="s">
        <v>87</v>
      </c>
      <c r="C27" s="9" t="n">
        <v>2</v>
      </c>
      <c r="D27" s="3" t="s">
        <v>88</v>
      </c>
    </row>
    <row r="28" customFormat="false" ht="15" hidden="false" customHeight="false" outlineLevel="0" collapsed="false">
      <c r="A28" s="8" t="s">
        <v>89</v>
      </c>
      <c r="B28" s="10" t="s">
        <v>90</v>
      </c>
      <c r="C28" s="9" t="n">
        <v>70</v>
      </c>
      <c r="D28" s="3" t="s">
        <v>91</v>
      </c>
    </row>
    <row r="29" customFormat="false" ht="15" hidden="false" customHeight="false" outlineLevel="0" collapsed="false">
      <c r="A29" s="8" t="s">
        <v>92</v>
      </c>
      <c r="B29" s="10" t="s">
        <v>93</v>
      </c>
      <c r="C29" s="9" t="n">
        <v>55</v>
      </c>
      <c r="D29" s="3" t="s">
        <v>91</v>
      </c>
    </row>
    <row r="30" customFormat="false" ht="15" hidden="false" customHeight="false" outlineLevel="0" collapsed="false">
      <c r="A30" s="8" t="s">
        <v>94</v>
      </c>
      <c r="B30" s="3" t="s">
        <v>95</v>
      </c>
      <c r="C30" s="12" t="n">
        <v>1000000</v>
      </c>
      <c r="D30" s="3" t="s">
        <v>96</v>
      </c>
    </row>
    <row r="31" customFormat="false" ht="15" hidden="false" customHeight="false" outlineLevel="0" collapsed="false">
      <c r="A31" s="8" t="s">
        <v>97</v>
      </c>
      <c r="B31" s="3" t="s">
        <v>98</v>
      </c>
      <c r="C31" s="11" t="n">
        <v>0.01</v>
      </c>
      <c r="D31" s="3" t="s">
        <v>99</v>
      </c>
    </row>
    <row r="32" customFormat="false" ht="15" hidden="false" customHeight="false" outlineLevel="0" collapsed="false">
      <c r="A32" s="8" t="s">
        <v>100</v>
      </c>
      <c r="B32" s="3" t="s">
        <v>101</v>
      </c>
      <c r="C32" s="11" t="n">
        <v>0.02</v>
      </c>
      <c r="D32" s="3" t="s">
        <v>102</v>
      </c>
    </row>
    <row r="33" customFormat="false" ht="15" hidden="false" customHeight="false" outlineLevel="0" collapsed="false">
      <c r="A33" s="8" t="s">
        <v>103</v>
      </c>
      <c r="B33" s="3" t="s">
        <v>104</v>
      </c>
      <c r="C33" s="11" t="n">
        <v>0.06</v>
      </c>
      <c r="D33" s="3" t="s">
        <v>105</v>
      </c>
    </row>
    <row r="34" customFormat="false" ht="15" hidden="false" customHeight="false" outlineLevel="0" collapsed="false">
      <c r="A34" s="8" t="s">
        <v>106</v>
      </c>
      <c r="B34" s="3" t="s">
        <v>107</v>
      </c>
      <c r="C34" s="11" t="n">
        <v>0.2</v>
      </c>
      <c r="D34" s="3" t="s">
        <v>108</v>
      </c>
    </row>
    <row r="35" customFormat="false" ht="15" hidden="false" customHeight="false" outlineLevel="0" collapsed="false">
      <c r="A35" s="8" t="s">
        <v>109</v>
      </c>
      <c r="B35" s="3" t="s">
        <v>110</v>
      </c>
      <c r="C35" s="9" t="n">
        <v>100</v>
      </c>
      <c r="D35" s="10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52"/>
    <col collapsed="false" customWidth="true" hidden="false" outlineLevel="0" max="6" min="5" style="0" width="10"/>
  </cols>
  <sheetData>
    <row r="1" customFormat="false" ht="17.35" hidden="false" customHeight="false" outlineLevel="0" collapsed="false">
      <c r="A1" s="4" t="s">
        <v>112</v>
      </c>
    </row>
    <row r="3" customFormat="false" ht="15" hidden="false" customHeight="false" outlineLevel="0" collapsed="false">
      <c r="A3" s="13" t="s">
        <v>113</v>
      </c>
      <c r="B3" s="9" t="s">
        <v>114</v>
      </c>
    </row>
    <row r="4" customFormat="false" ht="26.85" hidden="false" customHeight="false" outlineLevel="0" collapsed="false">
      <c r="A4" s="13" t="s">
        <v>115</v>
      </c>
      <c r="B4" s="14" t="n">
        <f aca="false">MAX(日线!$A$5:$A$310)</f>
        <v>46086</v>
      </c>
      <c r="C4" s="15" t="s">
        <v>116</v>
      </c>
    </row>
    <row r="5" customFormat="false" ht="15" hidden="false" customHeight="false" outlineLevel="0" collapsed="false">
      <c r="A5" s="3" t="s">
        <v>117</v>
      </c>
      <c r="B5" s="16" t="n">
        <f aca="false">MATCH(B4,日线!$A$5:$A$310,0)</f>
        <v>306</v>
      </c>
    </row>
    <row r="7" customFormat="false" ht="15" hidden="false" customHeight="false" outlineLevel="0" collapsed="false">
      <c r="A7" s="5" t="s">
        <v>118</v>
      </c>
      <c r="B7" s="5" t="s">
        <v>119</v>
      </c>
      <c r="C7" s="5" t="s">
        <v>120</v>
      </c>
      <c r="D7" s="5" t="s">
        <v>121</v>
      </c>
      <c r="E7" s="5" t="s">
        <v>122</v>
      </c>
      <c r="F7" s="5" t="s">
        <v>123</v>
      </c>
    </row>
    <row r="8" customFormat="false" ht="15" hidden="false" customHeight="false" outlineLevel="0" collapsed="false">
      <c r="A8" s="13" t="s">
        <v>124</v>
      </c>
      <c r="B8" s="3" t="s">
        <v>125</v>
      </c>
      <c r="C8" s="16" t="n">
        <f aca="false">INDEX(日线!$BS$5:$BS$310,$B$5)</f>
        <v>1</v>
      </c>
      <c r="D8" s="3" t="s">
        <v>126</v>
      </c>
      <c r="E8" s="17" t="n">
        <f aca="false">IF(C8=1,10,0)</f>
        <v>10</v>
      </c>
      <c r="F8" s="3" t="n">
        <v>10</v>
      </c>
    </row>
    <row r="9" customFormat="false" ht="15" hidden="false" customHeight="false" outlineLevel="0" collapsed="false">
      <c r="A9" s="13"/>
      <c r="B9" s="3" t="s">
        <v>127</v>
      </c>
      <c r="C9" s="16" t="n">
        <f aca="false">INDEX(日线!$BU$5:$BU$310,$B$5)</f>
        <v>1</v>
      </c>
      <c r="D9" s="3" t="s">
        <v>128</v>
      </c>
      <c r="E9" s="17" t="n">
        <f aca="false">IF(C9=1,5,IF(C9=-1,0,3))</f>
        <v>5</v>
      </c>
      <c r="F9" s="3" t="n">
        <v>5</v>
      </c>
    </row>
    <row r="10" customFormat="false" ht="15" hidden="false" customHeight="false" outlineLevel="0" collapsed="false">
      <c r="A10" s="13"/>
      <c r="B10" s="3" t="s">
        <v>129</v>
      </c>
      <c r="C10" s="16" t="n">
        <f aca="false">INDEX(日线!$BT$5:$BT$310,$B$5)</f>
        <v>1</v>
      </c>
      <c r="D10" s="3" t="s">
        <v>130</v>
      </c>
      <c r="E10" s="17" t="n">
        <f aca="false">IF(C10=1,5,0)</f>
        <v>5</v>
      </c>
      <c r="F10" s="3" t="n">
        <v>5</v>
      </c>
    </row>
    <row r="11" customFormat="false" ht="15" hidden="false" customHeight="false" outlineLevel="0" collapsed="false">
      <c r="A11" s="13"/>
      <c r="B11" s="10" t="s">
        <v>131</v>
      </c>
      <c r="C11" s="16" t="n">
        <f aca="false">IF(AND(INDEX(日线!$AE$5:$AE$310,$B$5)&gt;INDEX(日线!$AF$5:$AF$310,$B$5),INDEX(日线!$AH$5:$AH$310,$B$5)&gt;INDEX(日线!$AH$5:$AH$310,MAX(1,$B$5-1))),1,0)</f>
        <v>0</v>
      </c>
      <c r="D11" s="3" t="s">
        <v>132</v>
      </c>
      <c r="E11" s="17" t="n">
        <f aca="false">IF(C11=1,5,0)</f>
        <v>0</v>
      </c>
      <c r="F11" s="3" t="n">
        <v>5</v>
      </c>
    </row>
    <row r="12" customFormat="false" ht="15" hidden="false" customHeight="false" outlineLevel="0" collapsed="false">
      <c r="A12" s="13" t="s">
        <v>133</v>
      </c>
      <c r="B12" s="3" t="s">
        <v>134</v>
      </c>
      <c r="C12" s="18" t="str">
        <f aca="false">IF(AND(INDEX(日线!$E$5:$E$310,$B$5)&lt;=INDEX(日线!$H$5:$H$310,$B$5),INDEX(日线!$E$5:$E$310,$B$5)&gt;=INDEX(日线!$I$5:$I$310,$B$5)),"价值区间内",IF(AND(INDEX(日线!$E$5:$E$310,$B$5)&gt;=INDEX(日线!$AJ$5:$AJ$310,$B$5),INDEX(日线!$E$5:$E$310,$B$5)&lt;INDEX(日线!$I$5:$I$310,$B$5)),"慢EMA下方","区间外/追高"))</f>
        <v>价值区间内</v>
      </c>
      <c r="D12" s="3" t="s">
        <v>135</v>
      </c>
      <c r="E12" s="17" t="n">
        <f aca="false">IF(C12="价值区间内",10,IF(C12="慢EMA下方",6,0))</f>
        <v>10</v>
      </c>
      <c r="F12" s="3" t="n">
        <v>10</v>
      </c>
    </row>
    <row r="13" customFormat="false" ht="15" hidden="false" customHeight="false" outlineLevel="0" collapsed="false">
      <c r="A13" s="13"/>
      <c r="B13" s="10" t="s">
        <v>136</v>
      </c>
      <c r="C13" s="16" t="n">
        <f aca="false">IF(AND(INDEX(日线!$V$5:$V$310,$B$5)&lt;0,INDEX(日线!$BO$5:$BO$310,$B$5)=1),1,0)</f>
        <v>1</v>
      </c>
      <c r="D13" s="3" t="s">
        <v>137</v>
      </c>
      <c r="E13" s="17" t="n">
        <f aca="false">IF(C13=1,8,0)</f>
        <v>8</v>
      </c>
      <c r="F13" s="3" t="n">
        <v>8</v>
      </c>
    </row>
    <row r="14" customFormat="false" ht="15" hidden="false" customHeight="false" outlineLevel="0" collapsed="false">
      <c r="A14" s="13"/>
      <c r="B14" s="3" t="s">
        <v>138</v>
      </c>
      <c r="C14" s="19" t="n">
        <f aca="false">INDEX(日线!$AT$5:$AT$310,$B$5)</f>
        <v>47.7011494252874</v>
      </c>
      <c r="D14" s="10" t="s">
        <v>139</v>
      </c>
      <c r="E14" s="17" t="n">
        <f aca="false">IF(C14&lt;30,7,IF(C14&lt;50,3,0))</f>
        <v>3</v>
      </c>
      <c r="F14" s="3" t="n">
        <v>7</v>
      </c>
    </row>
    <row r="15" customFormat="false" ht="15" hidden="false" customHeight="false" outlineLevel="0" collapsed="false">
      <c r="A15" s="13" t="s">
        <v>140</v>
      </c>
      <c r="B15" s="3" t="s">
        <v>141</v>
      </c>
      <c r="C15" s="16" t="n">
        <f aca="false">INDEX(日线!$BV$5:$BV$310,$B$5)</f>
        <v>1</v>
      </c>
      <c r="D15" s="3" t="s">
        <v>142</v>
      </c>
      <c r="E15" s="20"/>
      <c r="F15" s="3"/>
    </row>
    <row r="16" customFormat="false" ht="15" hidden="false" customHeight="false" outlineLevel="0" collapsed="false">
      <c r="A16" s="13"/>
      <c r="B16" s="3" t="s">
        <v>143</v>
      </c>
      <c r="C16" s="16" t="n">
        <f aca="false">INDEX(日线!$BW$5:$BW$310,$B$5)</f>
        <v>0</v>
      </c>
      <c r="D16" s="3" t="s">
        <v>144</v>
      </c>
      <c r="E16" s="20"/>
      <c r="F16" s="3"/>
    </row>
    <row r="17" customFormat="false" ht="15" hidden="false" customHeight="false" outlineLevel="0" collapsed="false">
      <c r="A17" s="13"/>
      <c r="B17" s="3" t="s">
        <v>145</v>
      </c>
      <c r="C17" s="16" t="n">
        <f aca="false">INDEX(日线!$BX$5:$BX$310,$B$5)</f>
        <v>0</v>
      </c>
      <c r="D17" s="3" t="s">
        <v>146</v>
      </c>
      <c r="E17" s="17" t="n">
        <f aca="false">IF(AND(C15=1,C16=1),25,IF(C16=1,22,IF(C15=1,15,IF(C17=1,12,0))))</f>
        <v>15</v>
      </c>
      <c r="F17" s="3" t="n">
        <v>25</v>
      </c>
    </row>
    <row r="18" customFormat="false" ht="15" hidden="false" customHeight="false" outlineLevel="0" collapsed="false">
      <c r="A18" s="13" t="s">
        <v>147</v>
      </c>
      <c r="B18" s="10" t="s">
        <v>148</v>
      </c>
      <c r="C18" s="16" t="n">
        <f aca="false">IF(INDEX(日线!$W$5:$W$310,$B$5)&gt;0,1,0)</f>
        <v>0</v>
      </c>
      <c r="D18" s="3" t="s">
        <v>149</v>
      </c>
      <c r="E18" s="17" t="n">
        <f aca="false">IF(C18=1,6,0)</f>
        <v>0</v>
      </c>
      <c r="F18" s="3" t="n">
        <v>6</v>
      </c>
    </row>
    <row r="19" customFormat="false" ht="15" hidden="false" customHeight="false" outlineLevel="0" collapsed="false">
      <c r="A19" s="13"/>
      <c r="B19" s="3" t="s">
        <v>150</v>
      </c>
      <c r="C19" s="16" t="n">
        <f aca="false">IF(INDEX(日线!$F$5:$F$310,$B$5)&lt;INDEX(日线!$BR$5:$BR$310,$B$5),1,0)</f>
        <v>0</v>
      </c>
      <c r="D19" s="3" t="s">
        <v>151</v>
      </c>
      <c r="E19" s="17" t="n">
        <f aca="false">IF(C19=1,4,0)</f>
        <v>0</v>
      </c>
      <c r="F19" s="3" t="n">
        <v>4</v>
      </c>
    </row>
    <row r="20" customFormat="false" ht="15" hidden="false" customHeight="false" outlineLevel="0" collapsed="false">
      <c r="A20" s="13" t="s">
        <v>152</v>
      </c>
      <c r="B20" s="3" t="s">
        <v>153</v>
      </c>
      <c r="C20" s="21" t="n">
        <f aca="false">INDEX(日线!$BC$5:$BC$310,$B$5)</f>
        <v>3.26229508196721</v>
      </c>
      <c r="D20" s="10" t="s">
        <v>154</v>
      </c>
      <c r="E20" s="17" t="n">
        <f aca="false">IF(C20&gt;=3,15,IF(C20&gt;=p_RRmin,10,IF(C20&gt;=1.5,4,0)))</f>
        <v>15</v>
      </c>
      <c r="F20" s="3" t="n">
        <v>15</v>
      </c>
    </row>
    <row r="21" customFormat="false" ht="15" hidden="false" customHeight="false" outlineLevel="0" collapsed="false">
      <c r="A21" s="13" t="s">
        <v>155</v>
      </c>
      <c r="E21" s="17" t="n">
        <f aca="false">SUM(E8:E20)</f>
        <v>71</v>
      </c>
      <c r="F21" s="13" t="n">
        <v>100</v>
      </c>
    </row>
    <row r="23" customFormat="false" ht="26.85" hidden="false" customHeight="false" outlineLevel="0" collapsed="false">
      <c r="A23" s="5" t="s">
        <v>156</v>
      </c>
      <c r="B23" s="5" t="s">
        <v>157</v>
      </c>
      <c r="C23" s="5" t="s">
        <v>158</v>
      </c>
      <c r="D23" s="5" t="s">
        <v>159</v>
      </c>
    </row>
    <row r="24" customFormat="false" ht="15" hidden="false" customHeight="false" outlineLevel="0" collapsed="false">
      <c r="A24" s="3" t="s">
        <v>160</v>
      </c>
      <c r="B24" s="22" t="str">
        <f aca="false">IF(C24=1,"✗ 否决","✓ 通过")</f>
        <v>✓ 通过</v>
      </c>
      <c r="C24" s="16" t="n">
        <f aca="false">INDEX(日线!$CE$5:$CE$310,$B$5)</f>
        <v>0</v>
      </c>
      <c r="D24" s="3" t="s">
        <v>161</v>
      </c>
    </row>
    <row r="25" customFormat="false" ht="15" hidden="false" customHeight="false" outlineLevel="0" collapsed="false">
      <c r="A25" s="3" t="s">
        <v>162</v>
      </c>
      <c r="B25" s="22" t="str">
        <f aca="false">IF(C25=1,"✗ 否决","✓ 通过")</f>
        <v>✓ 通过</v>
      </c>
      <c r="C25" s="16" t="n">
        <f aca="false">INDEX(日线!$CF$5:$CF$310,$B$5)</f>
        <v>0</v>
      </c>
      <c r="D25" s="3" t="s">
        <v>163</v>
      </c>
    </row>
    <row r="26" customFormat="false" ht="15" hidden="false" customHeight="false" outlineLevel="0" collapsed="false">
      <c r="A26" s="3" t="s">
        <v>164</v>
      </c>
      <c r="B26" s="22" t="str">
        <f aca="false">IF(C26=1,"✗ 否决","✓ 通过")</f>
        <v>✓ 通过</v>
      </c>
      <c r="C26" s="16" t="n">
        <f aca="false">INDEX(日线!$CG$5:$CG$310,$B$5)</f>
        <v>0</v>
      </c>
      <c r="D26" s="3" t="s">
        <v>163</v>
      </c>
    </row>
    <row r="27" customFormat="false" ht="15" hidden="false" customHeight="false" outlineLevel="0" collapsed="false">
      <c r="A27" s="3" t="s">
        <v>165</v>
      </c>
      <c r="B27" s="22" t="str">
        <f aca="false">IF(C27=1,"✗ 否决","✓ 通过")</f>
        <v>✓ 通过</v>
      </c>
      <c r="C27" s="16" t="n">
        <f aca="false">INDEX(日线!$CH$5:$CH$310,$B$5)</f>
        <v>0</v>
      </c>
      <c r="D27" s="10" t="s">
        <v>166</v>
      </c>
    </row>
    <row r="28" customFormat="false" ht="15" hidden="false" customHeight="false" outlineLevel="0" collapsed="false">
      <c r="A28" s="3" t="s">
        <v>167</v>
      </c>
      <c r="B28" s="22" t="str">
        <f aca="false">IF(C28=1,"✗ 否决","✓ 通过")</f>
        <v>✓ 通过</v>
      </c>
      <c r="C28" s="16" t="n">
        <f aca="false">INDEX(日线!$CI$5:$CI$310,$B$5)</f>
        <v>0</v>
      </c>
      <c r="D28" s="3" t="s">
        <v>168</v>
      </c>
    </row>
    <row r="30" customFormat="false" ht="20.1" hidden="false" customHeight="false" outlineLevel="0" collapsed="false">
      <c r="A30" s="13" t="s">
        <v>169</v>
      </c>
      <c r="B30" s="23" t="str">
        <f aca="false">INDEX(日线!$CJ$5:$CJ$310,$B$5)</f>
        <v>A</v>
      </c>
      <c r="D30" s="13" t="str">
        <f aca="false">IF(B30="A","A级交易:按计划挂单",IF(B30="B","B级:仅在额度充足时以1/3风险试探","C级:放弃,翻到下一只(第55节)"))</f>
        <v>A级交易:按计划挂单</v>
      </c>
    </row>
    <row r="32" customFormat="false" ht="15" hidden="false" customHeight="false" outlineLevel="0" collapsed="false">
      <c r="A32" s="5" t="s">
        <v>170</v>
      </c>
      <c r="B32" s="5" t="s">
        <v>171</v>
      </c>
      <c r="C32" s="5"/>
      <c r="D32" s="5" t="s">
        <v>172</v>
      </c>
    </row>
    <row r="33" customFormat="false" ht="15" hidden="false" customHeight="false" outlineLevel="0" collapsed="false">
      <c r="A33" s="13" t="s">
        <v>173</v>
      </c>
      <c r="B33" s="24" t="n">
        <f aca="false">INDEX(日线!$AY$5:$AY$310,$B$5)</f>
        <v>29.39</v>
      </c>
      <c r="D33" s="3" t="s">
        <v>174</v>
      </c>
    </row>
    <row r="34" customFormat="false" ht="26.85" hidden="false" customHeight="false" outlineLevel="0" collapsed="false">
      <c r="A34" s="13" t="s">
        <v>175</v>
      </c>
      <c r="B34" s="24" t="n">
        <f aca="false">INDEX(日线!$BA$5:$BA$310,$B$5)</f>
        <v>28.78</v>
      </c>
      <c r="D34" s="10" t="s">
        <v>176</v>
      </c>
    </row>
    <row r="35" customFormat="false" ht="15" hidden="false" customHeight="false" outlineLevel="0" collapsed="false">
      <c r="A35" s="13" t="s">
        <v>177</v>
      </c>
      <c r="B35" s="24" t="n">
        <f aca="false">INDEX(日线!$BB$5:$BB$310,$B$5)</f>
        <v>31.38</v>
      </c>
      <c r="D35" s="3" t="s">
        <v>178</v>
      </c>
    </row>
    <row r="36" customFormat="false" ht="15" hidden="false" customHeight="false" outlineLevel="0" collapsed="false">
      <c r="A36" s="13" t="s">
        <v>179</v>
      </c>
      <c r="B36" s="24" t="n">
        <f aca="false">B33-B34</f>
        <v>0.609999999999999</v>
      </c>
      <c r="D36" s="3" t="s">
        <v>180</v>
      </c>
    </row>
    <row r="37" customFormat="false" ht="15" hidden="false" customHeight="false" outlineLevel="0" collapsed="false">
      <c r="A37" s="13" t="s">
        <v>181</v>
      </c>
      <c r="B37" s="24" t="n">
        <f aca="false">INDEX(日线!$BC$5:$BC$310,$B$5)</f>
        <v>3.26229508196721</v>
      </c>
      <c r="D37" s="10" t="s">
        <v>182</v>
      </c>
    </row>
    <row r="38" customFormat="false" ht="15" hidden="false" customHeight="false" outlineLevel="0" collapsed="false">
      <c r="A38" s="13" t="s">
        <v>183</v>
      </c>
      <c r="B38" s="25" t="n">
        <f aca="false">m_Mult</f>
        <v>1</v>
      </c>
      <c r="D38" s="3" t="s">
        <v>184</v>
      </c>
    </row>
    <row r="39" customFormat="false" ht="15" hidden="false" customHeight="false" outlineLevel="0" collapsed="false">
      <c r="A39" s="13" t="s">
        <v>185</v>
      </c>
      <c r="B39" s="26" t="n">
        <f aca="false">MIN(p_Equity*MIN(p_RiskTrade,p_RiskCap)*B38,pos_AvailRisk)</f>
        <v>10000</v>
      </c>
      <c r="D39" s="3" t="s">
        <v>186</v>
      </c>
    </row>
    <row r="40" customFormat="false" ht="15" hidden="false" customHeight="false" outlineLevel="0" collapsed="false">
      <c r="A40" s="13" t="s">
        <v>187</v>
      </c>
      <c r="B40" s="26" t="n">
        <f aca="false">IF(AND(B30&lt;&gt;"C",B36&gt;0),FLOOR(MIN(B39/B36,p_Equity*p_PosCap/B33),p_Lot),0)</f>
        <v>6800</v>
      </c>
      <c r="D40" s="3" t="s">
        <v>188</v>
      </c>
    </row>
    <row r="41" customFormat="false" ht="15" hidden="false" customHeight="false" outlineLevel="0" collapsed="false">
      <c r="A41" s="13" t="s">
        <v>189</v>
      </c>
      <c r="B41" s="26" t="n">
        <f aca="false">B40*B33</f>
        <v>199852</v>
      </c>
      <c r="D41" s="3"/>
    </row>
    <row r="42" customFormat="false" ht="15" hidden="false" customHeight="false" outlineLevel="0" collapsed="false">
      <c r="A42" s="13" t="s">
        <v>190</v>
      </c>
      <c r="B42" s="27" t="n">
        <f aca="false">B41/p_Equity</f>
        <v>0.199852</v>
      </c>
      <c r="D42" s="3"/>
    </row>
    <row r="44" customFormat="false" ht="15" hidden="false" customHeight="false" outlineLevel="0" collapsed="false">
      <c r="A44" s="28" t="s">
        <v>191</v>
      </c>
    </row>
  </sheetData>
  <conditionalFormatting sqref="B30">
    <cfRule type="cellIs" priority="2" operator="equal" aboveAverage="0" equalAverage="0" bottom="0" percent="0" rank="0" text="" dxfId="0">
      <formula>"A"</formula>
    </cfRule>
  </conditionalFormatting>
  <conditionalFormatting sqref="B24:B28">
    <cfRule type="expression" priority="3" aboveAverage="0" equalAverage="0" bottom="0" percent="0" rank="0" text="" dxfId="1">
      <formula>LEFT(B24,1)="✗"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J3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5" min="2" style="0" width="10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14" min="8" style="0" width="9"/>
    <col collapsed="false" customWidth="true" hidden="false" outlineLevel="0" max="16" min="15" style="0" width="7"/>
    <col collapsed="false" customWidth="true" hidden="false" outlineLevel="0" max="18" min="17" style="0" width="6"/>
    <col collapsed="false" customWidth="true" hidden="false" outlineLevel="0" max="19" min="19" style="0" width="10"/>
    <col collapsed="false" customWidth="true" hidden="false" outlineLevel="0" max="20" min="20" style="0" width="6"/>
    <col collapsed="false" customWidth="true" hidden="false" outlineLevel="0" max="23" min="21" style="0" width="12"/>
    <col collapsed="false" customWidth="true" hidden="false" outlineLevel="0" max="25" min="24" style="0" width="9"/>
    <col collapsed="false" customWidth="true" hidden="false" outlineLevel="0" max="27" min="26" style="0" width="8"/>
    <col collapsed="false" customWidth="true" hidden="false" outlineLevel="0" max="30" min="28" style="0" width="9"/>
    <col collapsed="false" customWidth="true" hidden="false" outlineLevel="0" max="34" min="31" style="0" width="8"/>
    <col collapsed="false" customWidth="true" hidden="false" outlineLevel="0" max="36" min="35" style="0" width="9"/>
    <col collapsed="false" customWidth="true" hidden="false" outlineLevel="0" max="47" min="37" style="0" width="8"/>
    <col collapsed="false" customWidth="true" hidden="false" outlineLevel="0" max="54" min="48" style="0" width="9"/>
    <col collapsed="false" customWidth="true" hidden="false" outlineLevel="0" max="55" min="55" style="0" width="8"/>
    <col collapsed="false" customWidth="true" hidden="false" outlineLevel="0" max="56" min="56" style="0" width="6"/>
    <col collapsed="false" customWidth="true" hidden="false" outlineLevel="0" max="58" min="57" style="0" width="9"/>
    <col collapsed="false" customWidth="true" hidden="false" outlineLevel="0" max="59" min="59" style="0" width="7"/>
    <col collapsed="false" customWidth="true" hidden="false" outlineLevel="0" max="61" min="60" style="0" width="9"/>
    <col collapsed="false" customWidth="true" hidden="false" outlineLevel="0" max="67" min="62" style="0" width="7"/>
    <col collapsed="false" customWidth="true" hidden="false" outlineLevel="0" max="68" min="68" style="0" width="12"/>
    <col collapsed="false" customWidth="true" hidden="false" outlineLevel="0" max="69" min="69" style="0" width="8"/>
    <col collapsed="false" customWidth="true" hidden="false" outlineLevel="0" max="70" min="70" style="0" width="12"/>
    <col collapsed="false" customWidth="true" hidden="false" outlineLevel="0" max="73" min="71" style="0" width="8"/>
    <col collapsed="false" customWidth="true" hidden="false" outlineLevel="0" max="74" min="74" style="0" width="9"/>
    <col collapsed="false" customWidth="true" hidden="false" outlineLevel="0" max="76" min="75" style="0" width="8"/>
    <col collapsed="false" customWidth="true" hidden="false" outlineLevel="0" max="88" min="77" style="0" width="7"/>
  </cols>
  <sheetData>
    <row r="1" customFormat="false" ht="17.15" hidden="false" customHeight="false" outlineLevel="0" collapsed="false">
      <c r="A1" s="29" t="s">
        <v>192</v>
      </c>
    </row>
    <row r="2" customFormat="false" ht="15" hidden="false" customHeight="false" outlineLevel="0" collapsed="false">
      <c r="A2" s="30" t="s">
        <v>193</v>
      </c>
    </row>
    <row r="3" customFormat="false" ht="15" hidden="false" customHeight="false" outlineLevel="0" collapsed="false">
      <c r="A3" s="31" t="s">
        <v>194</v>
      </c>
      <c r="B3" s="32"/>
      <c r="C3" s="32"/>
      <c r="D3" s="32"/>
      <c r="E3" s="32"/>
      <c r="F3" s="32"/>
      <c r="G3" s="31" t="s">
        <v>195</v>
      </c>
      <c r="H3" s="32"/>
      <c r="I3" s="32"/>
      <c r="J3" s="33" t="s">
        <v>196</v>
      </c>
      <c r="K3" s="32"/>
      <c r="L3" s="32"/>
      <c r="M3" s="32"/>
      <c r="N3" s="32"/>
      <c r="O3" s="31" t="s">
        <v>197</v>
      </c>
      <c r="P3" s="32"/>
      <c r="Q3" s="32"/>
      <c r="R3" s="32"/>
      <c r="S3" s="32"/>
      <c r="T3" s="32"/>
      <c r="U3" s="31" t="s">
        <v>198</v>
      </c>
      <c r="V3" s="32"/>
      <c r="W3" s="32"/>
      <c r="X3" s="31" t="s">
        <v>199</v>
      </c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1" t="s">
        <v>200</v>
      </c>
      <c r="AJ3" s="32"/>
      <c r="AK3" s="32"/>
      <c r="AL3" s="32"/>
      <c r="AM3" s="32"/>
      <c r="AN3" s="32"/>
      <c r="AO3" s="32"/>
      <c r="AP3" s="32"/>
      <c r="AQ3" s="31" t="s">
        <v>201</v>
      </c>
      <c r="AR3" s="32"/>
      <c r="AS3" s="32"/>
      <c r="AT3" s="32"/>
      <c r="AU3" s="32"/>
      <c r="AV3" s="31" t="s">
        <v>202</v>
      </c>
      <c r="AW3" s="32"/>
      <c r="AX3" s="32"/>
      <c r="AY3" s="32"/>
      <c r="AZ3" s="32"/>
      <c r="BA3" s="32"/>
      <c r="BB3" s="32"/>
      <c r="BC3" s="32"/>
      <c r="BD3" s="31" t="s">
        <v>203</v>
      </c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1" t="s">
        <v>204</v>
      </c>
      <c r="BP3" s="32"/>
      <c r="BQ3" s="32"/>
      <c r="BR3" s="32"/>
      <c r="BS3" s="31" t="s">
        <v>205</v>
      </c>
      <c r="BT3" s="32"/>
      <c r="BU3" s="32"/>
      <c r="BV3" s="31" t="s">
        <v>206</v>
      </c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</row>
    <row r="4" customFormat="false" ht="42" hidden="false" customHeight="true" outlineLevel="0" collapsed="false">
      <c r="A4" s="34" t="s">
        <v>207</v>
      </c>
      <c r="B4" s="34" t="s">
        <v>208</v>
      </c>
      <c r="C4" s="34" t="s">
        <v>209</v>
      </c>
      <c r="D4" s="34" t="s">
        <v>210</v>
      </c>
      <c r="E4" s="34" t="s">
        <v>211</v>
      </c>
      <c r="F4" s="34" t="s">
        <v>212</v>
      </c>
      <c r="G4" s="5" t="s">
        <v>213</v>
      </c>
      <c r="H4" s="35" t="s">
        <v>214</v>
      </c>
      <c r="I4" s="35" t="s">
        <v>215</v>
      </c>
      <c r="J4" s="35" t="s">
        <v>216</v>
      </c>
      <c r="K4" s="35" t="s">
        <v>217</v>
      </c>
      <c r="L4" s="35" t="s">
        <v>218</v>
      </c>
      <c r="M4" s="5" t="s">
        <v>219</v>
      </c>
      <c r="N4" s="35" t="s">
        <v>220</v>
      </c>
      <c r="O4" s="35" t="s">
        <v>221</v>
      </c>
      <c r="P4" s="35" t="s">
        <v>222</v>
      </c>
      <c r="Q4" s="5" t="s">
        <v>223</v>
      </c>
      <c r="R4" s="5" t="s">
        <v>224</v>
      </c>
      <c r="S4" s="5" t="s">
        <v>225</v>
      </c>
      <c r="T4" s="5" t="s">
        <v>226</v>
      </c>
      <c r="U4" s="5" t="s">
        <v>198</v>
      </c>
      <c r="V4" s="35" t="s">
        <v>227</v>
      </c>
      <c r="W4" s="35" t="s">
        <v>228</v>
      </c>
      <c r="X4" s="5" t="s">
        <v>229</v>
      </c>
      <c r="Y4" s="35" t="s">
        <v>230</v>
      </c>
      <c r="Z4" s="35" t="s">
        <v>231</v>
      </c>
      <c r="AA4" s="35" t="s">
        <v>232</v>
      </c>
      <c r="AB4" s="5" t="s">
        <v>233</v>
      </c>
      <c r="AC4" s="5" t="s">
        <v>234</v>
      </c>
      <c r="AD4" s="5" t="s">
        <v>235</v>
      </c>
      <c r="AE4" s="35" t="s">
        <v>236</v>
      </c>
      <c r="AF4" s="35" t="s">
        <v>237</v>
      </c>
      <c r="AG4" s="35" t="s">
        <v>238</v>
      </c>
      <c r="AH4" s="35" t="s">
        <v>239</v>
      </c>
      <c r="AI4" s="5" t="s">
        <v>240</v>
      </c>
      <c r="AJ4" s="5" t="s">
        <v>241</v>
      </c>
      <c r="AK4" s="35" t="s">
        <v>242</v>
      </c>
      <c r="AL4" s="35" t="s">
        <v>243</v>
      </c>
      <c r="AM4" s="35" t="s">
        <v>244</v>
      </c>
      <c r="AN4" s="35" t="s">
        <v>245</v>
      </c>
      <c r="AO4" s="35" t="s">
        <v>246</v>
      </c>
      <c r="AP4" s="35" t="s">
        <v>247</v>
      </c>
      <c r="AQ4" s="35" t="s">
        <v>248</v>
      </c>
      <c r="AR4" s="35" t="s">
        <v>249</v>
      </c>
      <c r="AS4" s="5" t="s">
        <v>250</v>
      </c>
      <c r="AT4" s="5" t="s">
        <v>251</v>
      </c>
      <c r="AU4" s="5" t="s">
        <v>252</v>
      </c>
      <c r="AV4" s="5" t="s">
        <v>253</v>
      </c>
      <c r="AW4" s="5" t="s">
        <v>254</v>
      </c>
      <c r="AX4" s="5" t="s">
        <v>255</v>
      </c>
      <c r="AY4" s="5" t="s">
        <v>256</v>
      </c>
      <c r="AZ4" s="5" t="s">
        <v>257</v>
      </c>
      <c r="BA4" s="5" t="s">
        <v>175</v>
      </c>
      <c r="BB4" s="5" t="s">
        <v>258</v>
      </c>
      <c r="BC4" s="5" t="s">
        <v>181</v>
      </c>
      <c r="BD4" s="5" t="s">
        <v>259</v>
      </c>
      <c r="BE4" s="5" t="s">
        <v>260</v>
      </c>
      <c r="BF4" s="5" t="s">
        <v>261</v>
      </c>
      <c r="BG4" s="5" t="s">
        <v>262</v>
      </c>
      <c r="BH4" s="5" t="s">
        <v>263</v>
      </c>
      <c r="BI4" s="5" t="s">
        <v>264</v>
      </c>
      <c r="BJ4" s="5" t="s">
        <v>265</v>
      </c>
      <c r="BK4" s="5" t="s">
        <v>266</v>
      </c>
      <c r="BL4" s="5" t="s">
        <v>267</v>
      </c>
      <c r="BM4" s="5" t="s">
        <v>268</v>
      </c>
      <c r="BN4" s="5" t="s">
        <v>269</v>
      </c>
      <c r="BO4" s="35" t="s">
        <v>270</v>
      </c>
      <c r="BP4" s="35" t="s">
        <v>271</v>
      </c>
      <c r="BQ4" s="5" t="s">
        <v>272</v>
      </c>
      <c r="BR4" s="35" t="s">
        <v>273</v>
      </c>
      <c r="BS4" s="5" t="s">
        <v>274</v>
      </c>
      <c r="BT4" s="5" t="s">
        <v>275</v>
      </c>
      <c r="BU4" s="5" t="s">
        <v>276</v>
      </c>
      <c r="BV4" s="5" t="s">
        <v>277</v>
      </c>
      <c r="BW4" s="5" t="s">
        <v>278</v>
      </c>
      <c r="BX4" s="5" t="s">
        <v>279</v>
      </c>
      <c r="BY4" s="5" t="s">
        <v>280</v>
      </c>
      <c r="BZ4" s="5" t="s">
        <v>281</v>
      </c>
      <c r="CA4" s="5" t="s">
        <v>282</v>
      </c>
      <c r="CB4" s="5" t="s">
        <v>283</v>
      </c>
      <c r="CC4" s="5" t="s">
        <v>284</v>
      </c>
      <c r="CD4" s="5" t="s">
        <v>155</v>
      </c>
      <c r="CE4" s="5" t="s">
        <v>285</v>
      </c>
      <c r="CF4" s="5" t="s">
        <v>286</v>
      </c>
      <c r="CG4" s="5" t="s">
        <v>287</v>
      </c>
      <c r="CH4" s="5" t="s">
        <v>288</v>
      </c>
      <c r="CI4" s="5" t="s">
        <v>289</v>
      </c>
      <c r="CJ4" s="5" t="s">
        <v>290</v>
      </c>
    </row>
    <row r="5" customFormat="false" ht="15" hidden="false" customHeight="false" outlineLevel="0" collapsed="false">
      <c r="A5" s="36" t="n">
        <v>45659</v>
      </c>
      <c r="B5" s="37" t="n">
        <v>19.79</v>
      </c>
      <c r="C5" s="37" t="n">
        <v>19.94</v>
      </c>
      <c r="D5" s="37" t="n">
        <v>19.66</v>
      </c>
      <c r="E5" s="37" t="n">
        <v>19.82</v>
      </c>
      <c r="F5" s="38" t="n">
        <v>4231300</v>
      </c>
      <c r="G5" s="39" t="n">
        <f aca="false">A5-WEEKDAY(A5,3)</f>
        <v>45656</v>
      </c>
      <c r="H5" s="40" t="n">
        <f aca="false">E5</f>
        <v>19.82</v>
      </c>
      <c r="I5" s="40" t="n">
        <f aca="false">E5</f>
        <v>19.82</v>
      </c>
      <c r="J5" s="41" t="n">
        <f aca="false">E5</f>
        <v>19.82</v>
      </c>
      <c r="K5" s="41" t="n">
        <f aca="false">E5</f>
        <v>19.82</v>
      </c>
      <c r="L5" s="41" t="n">
        <f aca="false">J5-K5</f>
        <v>0</v>
      </c>
      <c r="M5" s="41" t="n">
        <f aca="false">L5</f>
        <v>0</v>
      </c>
      <c r="N5" s="41" t="n">
        <f aca="false">L5-M5</f>
        <v>0</v>
      </c>
      <c r="O5" s="42" t="n">
        <f aca="false">0</f>
        <v>0</v>
      </c>
      <c r="P5" s="42" t="n">
        <f aca="false">0</f>
        <v>0</v>
      </c>
      <c r="Q5" s="42" t="n">
        <f aca="false">0</f>
        <v>0</v>
      </c>
      <c r="R5" s="42" t="n">
        <f aca="false">0</f>
        <v>0</v>
      </c>
      <c r="S5" s="42" t="n">
        <f aca="false">0</f>
        <v>0</v>
      </c>
      <c r="T5" s="43" t="str">
        <f aca="false">IF(S5=1,"绿",IF(S5=-1,"红","蓝"))</f>
        <v>蓝</v>
      </c>
      <c r="U5" s="44" t="n">
        <f aca="false">0</f>
        <v>0</v>
      </c>
      <c r="V5" s="44" t="n">
        <f aca="false">U5</f>
        <v>0</v>
      </c>
      <c r="W5" s="44" t="n">
        <f aca="false">U5</f>
        <v>0</v>
      </c>
      <c r="X5" s="41" t="n">
        <f aca="false">C5-D5</f>
        <v>0.280000000000001</v>
      </c>
      <c r="Y5" s="41" t="n">
        <f aca="true">AVERAGE(OFFSET(X5,1-MIN(p_AtrN,ROW()-4),0,MIN(p_AtrN,ROW()-4),1))</f>
        <v>0.280000000000001</v>
      </c>
      <c r="Z5" s="41" t="n">
        <f aca="false">0</f>
        <v>0</v>
      </c>
      <c r="AA5" s="41" t="n">
        <f aca="false">0</f>
        <v>0</v>
      </c>
      <c r="AB5" s="41" t="n">
        <f aca="false">X5</f>
        <v>0.280000000000001</v>
      </c>
      <c r="AC5" s="41" t="n">
        <f aca="false">Z5</f>
        <v>0</v>
      </c>
      <c r="AD5" s="41" t="n">
        <f aca="false">AA5</f>
        <v>0</v>
      </c>
      <c r="AE5" s="45" t="n">
        <f aca="false">100*AC5/AB5</f>
        <v>0</v>
      </c>
      <c r="AF5" s="45" t="n">
        <f aca="false">100*AD5/AB5</f>
        <v>0</v>
      </c>
      <c r="AG5" s="45" t="n">
        <f aca="false">IFERROR(100*ABS(AE5-AF5)/(AE5+AF5),0)</f>
        <v>0</v>
      </c>
      <c r="AH5" s="45" t="n">
        <f aca="false">AG5</f>
        <v>0</v>
      </c>
      <c r="AI5" s="40" t="n">
        <f aca="false">I5*(1+p_ChPct)</f>
        <v>21.0092</v>
      </c>
      <c r="AJ5" s="40" t="n">
        <f aca="false">I5*(1-p_ChPct)</f>
        <v>18.6308</v>
      </c>
      <c r="AK5" s="40" t="n">
        <f aca="false">I5+1*Y5</f>
        <v>20.1</v>
      </c>
      <c r="AL5" s="40" t="n">
        <f aca="false">I5+2*Y5</f>
        <v>20.38</v>
      </c>
      <c r="AM5" s="40" t="n">
        <f aca="false">I5+3*Y5</f>
        <v>20.66</v>
      </c>
      <c r="AN5" s="40" t="n">
        <f aca="false">I5-1*Y5</f>
        <v>19.54</v>
      </c>
      <c r="AO5" s="40" t="n">
        <f aca="false">I5-2*Y5</f>
        <v>19.26</v>
      </c>
      <c r="AP5" s="40" t="n">
        <f aca="false">I5-3*Y5</f>
        <v>18.98</v>
      </c>
      <c r="AQ5" s="40" t="n">
        <f aca="true">MAX(OFFSET(C5,1-MIN(p_StochN,ROW()-4),0,MIN(p_StochN,ROW()-4),1))</f>
        <v>19.94</v>
      </c>
      <c r="AR5" s="40" t="n">
        <f aca="true">MIN(OFFSET(D5,1-MIN(p_StochN,ROW()-4),0,MIN(p_StochN,ROW()-4),1))</f>
        <v>19.66</v>
      </c>
      <c r="AS5" s="45" t="n">
        <f aca="false">IF(AQ5=AR5,50,100*(E5-AR5)/(AQ5-AR5))</f>
        <v>57.142857142857</v>
      </c>
      <c r="AT5" s="45" t="n">
        <f aca="true">AVERAGE(OFFSET(AS5,1-MIN(p_StochSm,ROW()-4),0,MIN(p_StochSm,ROW()-4),1))</f>
        <v>57.142857142857</v>
      </c>
      <c r="AU5" s="45" t="n">
        <f aca="true">AVERAGE(OFFSET(AT5,1-MIN(p_StochSm,ROW()-4),0,MIN(p_StochSm,ROW()-4),1))</f>
        <v>57.142857142857</v>
      </c>
      <c r="AV5" s="41" t="n">
        <f aca="false">MAX(0,H5-D5)</f>
        <v>0.16</v>
      </c>
      <c r="AW5" s="41" t="n">
        <f aca="true">IF(COUNTIF(OFFSET(AV5,1-MIN(p_PenLb,ROW()-4),0,MIN(p_PenLb,ROW()-4),1),"&gt;0")&gt;0,SUM(OFFSET(AV5,1-MIN(p_PenLb,ROW()-4),0,MIN(p_PenLb,ROW()-4),1))/COUNTIF(OFFSET(AV5,1-MIN(p_PenLb,ROW()-4),0,MIN(p_PenLb,ROW()-4),1),"&gt;0"),0.5*Y5)</f>
        <v>0.16</v>
      </c>
      <c r="AX5" s="41" t="n">
        <f aca="false">H5</f>
        <v>19.82</v>
      </c>
      <c r="AY5" s="40" t="n">
        <f aca="false">ROUND(MAX(AX5-AW5,0.01),2)</f>
        <v>19.66</v>
      </c>
      <c r="AZ5" s="40" t="n">
        <f aca="true">IF(MIN(p_StopLb,ROW()-4)&lt;2,D5,SMALL(OFFSET(D5,1-MIN(p_StopLb,ROW()-4),0,MIN(p_StopLb,ROW()-4),1),2))</f>
        <v>19.66</v>
      </c>
      <c r="BA5" s="40" t="n">
        <f aca="false">IF(MOD(ROUND(ROUNDDOWN(MIN(AZ5-0.01,AY5-p_StopAtr*Y5),2)*100,0),50)=0,ROUNDDOWN(MIN(AZ5-0.01,AY5-p_StopAtr*Y5),2)-0.01,ROUNDDOWN(MIN(AZ5-0.01,AY5-p_StopAtr*Y5),2))</f>
        <v>19.38</v>
      </c>
      <c r="BB5" s="40" t="n">
        <f aca="false">ROUND(AI5,2)</f>
        <v>21.01</v>
      </c>
      <c r="BC5" s="40" t="n">
        <f aca="false">IF(AY5-BA5&gt;0,(BB5-AY5)/(AY5-BA5),0)</f>
        <v>4.82142857142856</v>
      </c>
      <c r="BD5" s="42" t="n">
        <f aca="false">IF(N5&lt;0,1,0)</f>
        <v>0</v>
      </c>
      <c r="BE5" s="41" t="str">
        <f aca="false">IF(BD5=1,N5,"")</f>
        <v/>
      </c>
      <c r="BF5" s="40" t="str">
        <f aca="false">IF(BD5=1,D5,"")</f>
        <v/>
      </c>
      <c r="BG5" s="42" t="str">
        <f aca="false">IF(BD5=1,ROW(),"")</f>
        <v/>
      </c>
      <c r="BH5" s="41" t="str">
        <f aca="false">""</f>
        <v/>
      </c>
      <c r="BI5" s="40" t="str">
        <f aca="false">""</f>
        <v/>
      </c>
      <c r="BJ5" s="42" t="str">
        <f aca="false">""</f>
        <v/>
      </c>
      <c r="BK5" s="42" t="str">
        <f aca="false">IF(AND(ISNUMBER(BG5),ISNUMBER(BJ5)),BG5-BJ5,"")</f>
        <v/>
      </c>
      <c r="BL5" s="42" t="n">
        <f aca="false">0</f>
        <v>0</v>
      </c>
      <c r="BM5" s="42" t="n">
        <f aca="false">0</f>
        <v>0</v>
      </c>
      <c r="BN5" s="42" t="n">
        <f aca="false">0</f>
        <v>0</v>
      </c>
      <c r="BO5" s="42" t="n">
        <f aca="false">0</f>
        <v>0</v>
      </c>
      <c r="BP5" s="44" t="str">
        <f aca="true">IF(COUNTIF(OFFSET(V5,1-MIN(100,ROW()-4),0,MIN(100,ROW()-4),1),"&lt;0")&gt;=5,AVERAGEIF(OFFSET(V5,1-MIN(100,ROW()-4),0,MIN(100,ROW()-4),1),"&lt;0"),"")</f>
        <v/>
      </c>
      <c r="BQ5" s="42" t="n">
        <f aca="false">0</f>
        <v>0</v>
      </c>
      <c r="BR5" s="44" t="n">
        <f aca="true">AVERAGE(OFFSET(F5,1-MIN(5,ROW()-4),0,MIN(5,ROW()-4),1))</f>
        <v>4231300</v>
      </c>
      <c r="BS5" s="42" t="str">
        <f aca="false">IFERROR(IF(MATCH(G5,周线!$A$5:$A$84,0)&lt;=1,"",INDEX(周线!$R$5:$R$84,MATCH(G5,周线!$A$5:$A$84,0)-1)),"")</f>
        <v/>
      </c>
      <c r="BT5" s="42" t="str">
        <f aca="false">IFERROR(IF(MATCH(G5,周线!$A$5:$A$84,0)&lt;=1,"",INDEX(周线!$S$5:$S$84,MATCH(G5,周线!$A$5:$A$84,0)-1)),"")</f>
        <v/>
      </c>
      <c r="BU5" s="42" t="str">
        <f aca="false">IFERROR(IF(MATCH(G5,周线!$A$5:$A$84,0)&lt;=1,"",INDEX(周线!$U$5:$U$84,MATCH(G5,周线!$A$5:$A$84,0)-1)),"")</f>
        <v/>
      </c>
      <c r="BV5" s="42" t="n">
        <f aca="false">IF(AND(BS5=1,S5&lt;&gt;-1,V5&lt;0,BO5=1,E5&lt;=H5,E5&gt;=AJ5),1,0)</f>
        <v>0</v>
      </c>
      <c r="BW5" s="42" t="n">
        <f aca="false">BL5</f>
        <v>0</v>
      </c>
      <c r="BX5" s="42" t="n">
        <f aca="false">BQ5</f>
        <v>0</v>
      </c>
      <c r="BY5" s="42" t="n">
        <f aca="false">IF(BS5=1,10,0)+IF(BU5=1,5,IF(BU5=-1,0,3))+IF(BT5=1,5,0)+IF(AND(AE5&gt;AF5,AH5&gt;0),5,0)</f>
        <v>3</v>
      </c>
      <c r="BZ5" s="42" t="n">
        <f aca="false">IF(AND(E5&lt;=H5,E5&gt;=I5),10,IF(AND(E5&gt;=AJ5,E5&lt;I5),6,0))+IF(AND(V5&lt;0,BO5=1),8,0)+IF(AT5&lt;30,7,IF(AT5&lt;50,3,0))</f>
        <v>10</v>
      </c>
      <c r="CA5" s="42" t="n">
        <f aca="false">IF(AND(BV5=1,BW5=1),25,IF(BW5=1,22,IF(BV5=1,15,IF(BX5=1,12,0))))</f>
        <v>0</v>
      </c>
      <c r="CB5" s="42" t="n">
        <f aca="false">IF(W5&gt;0,6,0)+IF(F5&lt;BR5,4,0)</f>
        <v>0</v>
      </c>
      <c r="CC5" s="42" t="n">
        <f aca="false">IF(BC5&gt;=3,15,IF(BC5&gt;=p_RRmin,10,IF(BC5&gt;=1.5,4,0)))</f>
        <v>15</v>
      </c>
      <c r="CD5" s="42" t="n">
        <f aca="false">BY5+BZ5+CA5+CB5+CC5</f>
        <v>28</v>
      </c>
      <c r="CE5" s="42" t="n">
        <f aca="false">IF(AND(BS5&lt;&gt;1,BW5+BX5=0),1,0)</f>
        <v>1</v>
      </c>
      <c r="CF5" s="42" t="n">
        <f aca="false">IF(BU5=-1,1,0)</f>
        <v>0</v>
      </c>
      <c r="CG5" s="42" t="n">
        <f aca="false">IF(S5=-1,1,0)</f>
        <v>0</v>
      </c>
      <c r="CH5" s="42" t="n">
        <f aca="false">IF(BV5+BW5+BX5=0,1,0)</f>
        <v>1</v>
      </c>
      <c r="CI5" s="42" t="n">
        <f aca="false">IF(BC5&lt;p_RRmin,1,0)</f>
        <v>0</v>
      </c>
      <c r="CJ5" s="46" t="str">
        <f aca="false">IF(SUM(CE5:CI5)=0,IF(CD5&gt;=p_GradeA,"A",IF(CD5&gt;=p_GradeB,"B","C")),IF(AND(CI5=1,SUM(CE5:CH5)=0,CD5&gt;=p_GradeB),"B","C"))</f>
        <v>C</v>
      </c>
    </row>
    <row r="6" customFormat="false" ht="15" hidden="false" customHeight="false" outlineLevel="0" collapsed="false">
      <c r="A6" s="36" t="n">
        <v>45660</v>
      </c>
      <c r="B6" s="37" t="n">
        <v>19.86</v>
      </c>
      <c r="C6" s="37" t="n">
        <v>20.15</v>
      </c>
      <c r="D6" s="37" t="n">
        <v>19.8</v>
      </c>
      <c r="E6" s="37" t="n">
        <v>20.09</v>
      </c>
      <c r="F6" s="38" t="n">
        <v>2822100</v>
      </c>
      <c r="G6" s="39" t="n">
        <f aca="false">A6-WEEKDAY(A6,3)</f>
        <v>45656</v>
      </c>
      <c r="H6" s="40" t="n">
        <f aca="false">2/(p_EmaF+1)*E6+(1-2/(p_EmaF+1))*H5</f>
        <v>19.8585714285714</v>
      </c>
      <c r="I6" s="40" t="n">
        <f aca="false">2/(p_EmaS+1)*E6+(1-2/(p_EmaS+1))*I5</f>
        <v>19.84</v>
      </c>
      <c r="J6" s="41" t="n">
        <f aca="false">2/(p_MacdF+1)*E6+(1-2/(p_MacdF+1))*J5</f>
        <v>19.8615384615385</v>
      </c>
      <c r="K6" s="41" t="n">
        <f aca="false">2/(p_MacdS+1)*E6+(1-2/(p_MacdS+1))*K5</f>
        <v>19.84</v>
      </c>
      <c r="L6" s="41" t="n">
        <f aca="false">J6-K6</f>
        <v>0.0215384615384586</v>
      </c>
      <c r="M6" s="41" t="n">
        <f aca="false">2/(p_MacdSig+1)*L6+(1-2/(p_MacdSig+1))*M5</f>
        <v>0.00430769230769172</v>
      </c>
      <c r="N6" s="41" t="n">
        <f aca="false">L6-M6</f>
        <v>0.0172307692307669</v>
      </c>
      <c r="O6" s="42" t="n">
        <f aca="false">IF(H6&gt;H5,1,0)</f>
        <v>1</v>
      </c>
      <c r="P6" s="42" t="n">
        <f aca="false">IF(H6&lt;H5,1,0)</f>
        <v>0</v>
      </c>
      <c r="Q6" s="42" t="n">
        <f aca="false">IF(N6&gt;N5,1,0)</f>
        <v>1</v>
      </c>
      <c r="R6" s="42" t="n">
        <f aca="false">IF(N6&lt;N5,1,0)</f>
        <v>0</v>
      </c>
      <c r="S6" s="42" t="n">
        <f aca="false">IF(AND(O6=1,Q6=1),1,IF(AND(P6=1,R6=1),-1,0))</f>
        <v>1</v>
      </c>
      <c r="T6" s="43" t="str">
        <f aca="false">IF(S6=1,"绿",IF(S6=-1,"红","蓝"))</f>
        <v>绿</v>
      </c>
      <c r="U6" s="44" t="n">
        <f aca="false">F6*(E6-E5)</f>
        <v>761966.999999999</v>
      </c>
      <c r="V6" s="44" t="n">
        <f aca="false">2/(p_FiS+1)*U6+(1-2/(p_FiS+1))*V5</f>
        <v>507977.999999999</v>
      </c>
      <c r="W6" s="44" t="n">
        <f aca="false">2/(p_FiL+1)*U6+(1-2/(p_FiL+1))*W5</f>
        <v>108852.428571428</v>
      </c>
      <c r="X6" s="41" t="n">
        <f aca="false">MAX(C6-D6,ABS(C6-E5),ABS(D6-E5))</f>
        <v>0.349999999999998</v>
      </c>
      <c r="Y6" s="41" t="n">
        <f aca="true">AVERAGE(OFFSET(X6,1-MIN(p_AtrN,ROW()-4),0,MIN(p_AtrN,ROW()-4),1))</f>
        <v>0.315</v>
      </c>
      <c r="Z6" s="41" t="n">
        <f aca="false">IF(AND(C6-C5&gt;D5-D6,C6-C5&gt;0),C6-C5,0)</f>
        <v>0.209999999999997</v>
      </c>
      <c r="AA6" s="41" t="n">
        <f aca="false">IF(AND(D5-D6&gt;C6-C5,D5-D6&gt;0),D5-D6,0)</f>
        <v>0</v>
      </c>
      <c r="AB6" s="41" t="n">
        <f aca="false">2/(p_AdxN+1)*X6+(1-2/(p_AdxN+1))*AB5</f>
        <v>0.290000000000001</v>
      </c>
      <c r="AC6" s="41" t="n">
        <f aca="false">2/(p_AdxN+1)*Z6+(1-2/(p_AdxN+1))*AC5</f>
        <v>0.0299999999999996</v>
      </c>
      <c r="AD6" s="41" t="n">
        <f aca="false">2/(p_AdxN+1)*AA6+(1-2/(p_AdxN+1))*AD5</f>
        <v>0</v>
      </c>
      <c r="AE6" s="45" t="n">
        <f aca="false">100*AC6/AB6</f>
        <v>10.3448275862067</v>
      </c>
      <c r="AF6" s="45" t="n">
        <f aca="false">100*AD6/AB6</f>
        <v>0</v>
      </c>
      <c r="AG6" s="45" t="n">
        <f aca="false">IFERROR(100*ABS(AE6-AF6)/(AE6+AF6),0)</f>
        <v>100</v>
      </c>
      <c r="AH6" s="45" t="n">
        <f aca="false">2/(p_AdxN+1)*AG6+(1-2/(p_AdxN+1))*AH5</f>
        <v>14.2857142857143</v>
      </c>
      <c r="AI6" s="40" t="n">
        <f aca="false">I6*(1+p_ChPct)</f>
        <v>21.0304</v>
      </c>
      <c r="AJ6" s="40" t="n">
        <f aca="false">I6*(1-p_ChPct)</f>
        <v>18.6496</v>
      </c>
      <c r="AK6" s="40" t="n">
        <f aca="false">I6+1*Y6</f>
        <v>20.155</v>
      </c>
      <c r="AL6" s="40" t="n">
        <f aca="false">I6+2*Y6</f>
        <v>20.47</v>
      </c>
      <c r="AM6" s="40" t="n">
        <f aca="false">I6+3*Y6</f>
        <v>20.785</v>
      </c>
      <c r="AN6" s="40" t="n">
        <f aca="false">I6-1*Y6</f>
        <v>19.525</v>
      </c>
      <c r="AO6" s="40" t="n">
        <f aca="false">I6-2*Y6</f>
        <v>19.21</v>
      </c>
      <c r="AP6" s="40" t="n">
        <f aca="false">I6-3*Y6</f>
        <v>18.895</v>
      </c>
      <c r="AQ6" s="40" t="n">
        <f aca="true">MAX(OFFSET(C6,1-MIN(p_StochN,ROW()-4),0,MIN(p_StochN,ROW()-4),1))</f>
        <v>20.15</v>
      </c>
      <c r="AR6" s="40" t="n">
        <f aca="true">MIN(OFFSET(D6,1-MIN(p_StochN,ROW()-4),0,MIN(p_StochN,ROW()-4),1))</f>
        <v>19.66</v>
      </c>
      <c r="AS6" s="45" t="n">
        <f aca="false">IF(AQ6=AR6,50,100*(E6-AR6)/(AQ6-AR6))</f>
        <v>87.7551020408166</v>
      </c>
      <c r="AT6" s="45" t="n">
        <f aca="true">AVERAGE(OFFSET(AS6,1-MIN(p_StochSm,ROW()-4),0,MIN(p_StochSm,ROW()-4),1))</f>
        <v>72.4489795918368</v>
      </c>
      <c r="AU6" s="45" t="n">
        <f aca="true">AVERAGE(OFFSET(AT6,1-MIN(p_StochSm,ROW()-4),0,MIN(p_StochSm,ROW()-4),1))</f>
        <v>64.7959183673469</v>
      </c>
      <c r="AV6" s="41" t="n">
        <f aca="false">MAX(0,H6-D6)</f>
        <v>0.0585714285714296</v>
      </c>
      <c r="AW6" s="41" t="n">
        <f aca="true">IF(COUNTIF(OFFSET(AV6,1-MIN(p_PenLb,ROW()-4),0,MIN(p_PenLb,ROW()-4),1),"&gt;0")&gt;0,SUM(OFFSET(AV6,1-MIN(p_PenLb,ROW()-4),0,MIN(p_PenLb,ROW()-4),1))/COUNTIF(OFFSET(AV6,1-MIN(p_PenLb,ROW()-4),0,MIN(p_PenLb,ROW()-4),1),"&gt;0"),0.5*Y6)</f>
        <v>0.109285714285715</v>
      </c>
      <c r="AX6" s="41" t="n">
        <f aca="false">2*H6-H5</f>
        <v>19.8971428571429</v>
      </c>
      <c r="AY6" s="40" t="n">
        <f aca="false">ROUND(MAX(AX6-AW6,0.01),2)</f>
        <v>19.79</v>
      </c>
      <c r="AZ6" s="40" t="n">
        <f aca="true">IF(MIN(p_StopLb,ROW()-4)&lt;2,D6,SMALL(OFFSET(D6,1-MIN(p_StopLb,ROW()-4),0,MIN(p_StopLb,ROW()-4),1),2))</f>
        <v>19.8</v>
      </c>
      <c r="BA6" s="40" t="n">
        <f aca="false">IF(MOD(ROUND(ROUNDDOWN(MIN(AZ6-0.01,AY6-p_StopAtr*Y6),2)*100,0),50)=0,ROUNDDOWN(MIN(AZ6-0.01,AY6-p_StopAtr*Y6),2)-0.01,ROUNDDOWN(MIN(AZ6-0.01,AY6-p_StopAtr*Y6),2))</f>
        <v>19.47</v>
      </c>
      <c r="BB6" s="40" t="n">
        <f aca="false">ROUND(AI6,2)</f>
        <v>21.03</v>
      </c>
      <c r="BC6" s="40" t="n">
        <f aca="false">IF(AY6-BA6&gt;0,(BB6-AY6)/(AY6-BA6),0)</f>
        <v>3.875</v>
      </c>
      <c r="BD6" s="42" t="n">
        <f aca="false">IF(N6&lt;0,1,0)</f>
        <v>0</v>
      </c>
      <c r="BE6" s="41" t="str">
        <f aca="false">IF(AND(BD6=1,BD5=0),N6,IF(BD6=1,MIN(BE5,N6),BE5))</f>
        <v/>
      </c>
      <c r="BF6" s="40" t="str">
        <f aca="false">IF(AND(BD6=1,BD5=0),D6,IF(BD6=1,MIN(BF5,D6),BF5))</f>
        <v/>
      </c>
      <c r="BG6" s="42" t="str">
        <f aca="false">IF(AND(BD6=1,BD5=0),ROW(),IF(BD6=1,IF(N6&lt;BE5,ROW(),BG5),BG5))</f>
        <v/>
      </c>
      <c r="BH6" s="41" t="str">
        <f aca="false">IF(AND(BD6=1,BD5=0),BE5,BH5)</f>
        <v/>
      </c>
      <c r="BI6" s="40" t="str">
        <f aca="false">IF(AND(BD6=1,BD5=0),BF5,BI5)</f>
        <v/>
      </c>
      <c r="BJ6" s="42" t="str">
        <f aca="false">IF(AND(BD6=1,BD5=0),BG5,BJ5)</f>
        <v/>
      </c>
      <c r="BK6" s="42" t="str">
        <f aca="false">IF(AND(ISNUMBER(BG6),ISNUMBER(BJ6)),BG6-BJ6,"")</f>
        <v/>
      </c>
      <c r="BL6" s="42" t="n">
        <f aca="false">IF(AND(BD6=1,N6&gt;N5,ISNUMBER(BH6),ISNUMBER(BK6)),IF(AND(BE6&gt;BH6,BF6&lt;BI6,BK6&gt;=p_GapMin,BK6&lt;=p_GapMax),1,0),0)</f>
        <v>0</v>
      </c>
      <c r="BM6" s="42" t="n">
        <f aca="false">IF(AND(BL6=1,E6&gt;BI6),1,0)</f>
        <v>0</v>
      </c>
      <c r="BN6" s="42" t="n">
        <f aca="false">IF(BL6=1,IF(BE6&gt;=BH6*0.5,1,0),0)</f>
        <v>0</v>
      </c>
      <c r="BO6" s="42" t="n">
        <f aca="true">IF(V6&gt;MIN(OFFSET(V6,-MIN(p_FiLb-1,ROW()-5),0,MIN(p_FiLb-1,ROW()-5),1)),1,0)</f>
        <v>1</v>
      </c>
      <c r="BP6" s="44" t="str">
        <f aca="true">IF(COUNTIF(OFFSET(V6,1-MIN(100,ROW()-4),0,MIN(100,ROW()-4),1),"&lt;0")&gt;=5,AVERAGEIF(OFFSET(V6,1-MIN(100,ROW()-4),0,MIN(100,ROW()-4),1),"&lt;0"),"")</f>
        <v/>
      </c>
      <c r="BQ6" s="42" t="n">
        <f aca="false">IF(ISNUMBER(BP6),IF(AND(V6&lt;5*BP6,V6&gt;V5,E6&lt;AJ6),1,0),0)</f>
        <v>0</v>
      </c>
      <c r="BR6" s="44" t="n">
        <f aca="true">AVERAGE(OFFSET(F6,1-MIN(5,ROW()-4),0,MIN(5,ROW()-4),1))</f>
        <v>3526700</v>
      </c>
      <c r="BS6" s="42" t="str">
        <f aca="false">IFERROR(IF(MATCH(G6,周线!$A$5:$A$84,0)&lt;=1,"",INDEX(周线!$R$5:$R$84,MATCH(G6,周线!$A$5:$A$84,0)-1)),"")</f>
        <v/>
      </c>
      <c r="BT6" s="42" t="str">
        <f aca="false">IFERROR(IF(MATCH(G6,周线!$A$5:$A$84,0)&lt;=1,"",INDEX(周线!$S$5:$S$84,MATCH(G6,周线!$A$5:$A$84,0)-1)),"")</f>
        <v/>
      </c>
      <c r="BU6" s="42" t="str">
        <f aca="false">IFERROR(IF(MATCH(G6,周线!$A$5:$A$84,0)&lt;=1,"",INDEX(周线!$U$5:$U$84,MATCH(G6,周线!$A$5:$A$84,0)-1)),"")</f>
        <v/>
      </c>
      <c r="BV6" s="42" t="n">
        <f aca="false">IF(AND(BS6=1,S6&lt;&gt;-1,V6&lt;0,BO6=1,E6&lt;=H6,E6&gt;=AJ6),1,0)</f>
        <v>0</v>
      </c>
      <c r="BW6" s="42" t="n">
        <f aca="false">BL6</f>
        <v>0</v>
      </c>
      <c r="BX6" s="42" t="n">
        <f aca="false">BQ6</f>
        <v>0</v>
      </c>
      <c r="BY6" s="42" t="n">
        <f aca="false">IF(BS6=1,10,0)+IF(BU6=1,5,IF(BU6=-1,0,3))+IF(BT6=1,5,0)+IF(AND(AE6&gt;AF6,AH6&gt;AH5),5,0)</f>
        <v>8</v>
      </c>
      <c r="BZ6" s="42" t="n">
        <f aca="false">IF(AND(E6&lt;=H6,E6&gt;=I6),10,IF(AND(E6&gt;=AJ6,E6&lt;I6),6,0))+IF(AND(V6&lt;0,BO6=1),8,0)+IF(AT6&lt;30,7,IF(AT6&lt;50,3,0))</f>
        <v>0</v>
      </c>
      <c r="CA6" s="42" t="n">
        <f aca="false">IF(AND(BV6=1,BW6=1),25,IF(BW6=1,22,IF(BV6=1,15,IF(BX6=1,12,0))))</f>
        <v>0</v>
      </c>
      <c r="CB6" s="42" t="n">
        <f aca="false">IF(W6&gt;0,6,0)+IF(F6&lt;BR6,4,0)</f>
        <v>10</v>
      </c>
      <c r="CC6" s="42" t="n">
        <f aca="false">IF(BC6&gt;=3,15,IF(BC6&gt;=p_RRmin,10,IF(BC6&gt;=1.5,4,0)))</f>
        <v>15</v>
      </c>
      <c r="CD6" s="42" t="n">
        <f aca="false">BY6+BZ6+CA6+CB6+CC6</f>
        <v>33</v>
      </c>
      <c r="CE6" s="42" t="n">
        <f aca="false">IF(AND(BS6&lt;&gt;1,BW6+BX6=0),1,0)</f>
        <v>1</v>
      </c>
      <c r="CF6" s="42" t="n">
        <f aca="false">IF(BU6=-1,1,0)</f>
        <v>0</v>
      </c>
      <c r="CG6" s="42" t="n">
        <f aca="false">IF(S6=-1,1,0)</f>
        <v>0</v>
      </c>
      <c r="CH6" s="42" t="n">
        <f aca="false">IF(BV6+BW6+BX6=0,1,0)</f>
        <v>1</v>
      </c>
      <c r="CI6" s="42" t="n">
        <f aca="false">IF(BC6&lt;p_RRmin,1,0)</f>
        <v>0</v>
      </c>
      <c r="CJ6" s="46" t="str">
        <f aca="false">IF(SUM(CE6:CI6)=0,IF(CD6&gt;=p_GradeA,"A",IF(CD6&gt;=p_GradeB,"B","C")),IF(AND(CI6=1,SUM(CE6:CH6)=0,CD6&gt;=p_GradeB),"B","C"))</f>
        <v>C</v>
      </c>
    </row>
    <row r="7" customFormat="false" ht="15" hidden="false" customHeight="false" outlineLevel="0" collapsed="false">
      <c r="A7" s="36" t="n">
        <v>45663</v>
      </c>
      <c r="B7" s="37" t="n">
        <v>20.05</v>
      </c>
      <c r="C7" s="37" t="n">
        <v>20.26</v>
      </c>
      <c r="D7" s="37" t="n">
        <v>19.75</v>
      </c>
      <c r="E7" s="37" t="n">
        <v>19.86</v>
      </c>
      <c r="F7" s="38" t="n">
        <v>3844400</v>
      </c>
      <c r="G7" s="39" t="n">
        <f aca="false">A7-WEEKDAY(A7,3)</f>
        <v>45663</v>
      </c>
      <c r="H7" s="40" t="n">
        <f aca="false">2/(p_EmaF+1)*E7+(1-2/(p_EmaF+1))*H6</f>
        <v>19.8587755102041</v>
      </c>
      <c r="I7" s="40" t="n">
        <f aca="false">2/(p_EmaS+1)*E7+(1-2/(p_EmaS+1))*I6</f>
        <v>19.8414814814815</v>
      </c>
      <c r="J7" s="41" t="n">
        <f aca="false">2/(p_MacdF+1)*E7+(1-2/(p_MacdF+1))*J6</f>
        <v>19.8613017751479</v>
      </c>
      <c r="K7" s="41" t="n">
        <f aca="false">2/(p_MacdS+1)*E7+(1-2/(p_MacdS+1))*K6</f>
        <v>19.8414814814815</v>
      </c>
      <c r="L7" s="41" t="n">
        <f aca="false">J7-K7</f>
        <v>0.0198202936664451</v>
      </c>
      <c r="M7" s="41" t="n">
        <f aca="false">2/(p_MacdSig+1)*L7+(1-2/(p_MacdSig+1))*M6</f>
        <v>0.0074102125794424</v>
      </c>
      <c r="N7" s="41" t="n">
        <f aca="false">L7-M7</f>
        <v>0.0124100810870027</v>
      </c>
      <c r="O7" s="42" t="n">
        <f aca="false">IF(H7&gt;H6,1,0)</f>
        <v>1</v>
      </c>
      <c r="P7" s="42" t="n">
        <f aca="false">IF(H7&lt;H6,1,0)</f>
        <v>0</v>
      </c>
      <c r="Q7" s="42" t="n">
        <f aca="false">IF(N7&gt;N6,1,0)</f>
        <v>0</v>
      </c>
      <c r="R7" s="42" t="n">
        <f aca="false">IF(N7&lt;N6,1,0)</f>
        <v>1</v>
      </c>
      <c r="S7" s="42" t="n">
        <f aca="false">IF(AND(O7=1,Q7=1),1,IF(AND(P7=1,R7=1),-1,0))</f>
        <v>0</v>
      </c>
      <c r="T7" s="43" t="str">
        <f aca="false">IF(S7=1,"绿",IF(S7=-1,"红","蓝"))</f>
        <v>蓝</v>
      </c>
      <c r="U7" s="44" t="n">
        <f aca="false">F7*(E7-E6)</f>
        <v>-884212.000000002</v>
      </c>
      <c r="V7" s="44" t="n">
        <f aca="false">2/(p_FiS+1)*U7+(1-2/(p_FiS+1))*V6</f>
        <v>-420148.666666668</v>
      </c>
      <c r="W7" s="44" t="n">
        <f aca="false">2/(p_FiL+1)*U7+(1-2/(p_FiL+1))*W6</f>
        <v>-33013.9183673473</v>
      </c>
      <c r="X7" s="41" t="n">
        <f aca="false">MAX(C7-D7,ABS(C7-E6),ABS(D7-E6))</f>
        <v>0.510000000000002</v>
      </c>
      <c r="Y7" s="41" t="n">
        <f aca="true">AVERAGE(OFFSET(X7,1-MIN(p_AtrN,ROW()-4),0,MIN(p_AtrN,ROW()-4),1))</f>
        <v>0.38</v>
      </c>
      <c r="Z7" s="41" t="n">
        <f aca="false">IF(AND(C7-C6&gt;D6-D7,C7-C6&gt;0),C7-C6,0)</f>
        <v>0.110000000000003</v>
      </c>
      <c r="AA7" s="41" t="n">
        <f aca="false">IF(AND(D6-D7&gt;C7-C6,D6-D7&gt;0),D6-D7,0)</f>
        <v>0</v>
      </c>
      <c r="AB7" s="41" t="n">
        <f aca="false">2/(p_AdxN+1)*X7+(1-2/(p_AdxN+1))*AB6</f>
        <v>0.321428571428572</v>
      </c>
      <c r="AC7" s="41" t="n">
        <f aca="false">2/(p_AdxN+1)*Z7+(1-2/(p_AdxN+1))*AC6</f>
        <v>0.0414285714285715</v>
      </c>
      <c r="AD7" s="41" t="n">
        <f aca="false">2/(p_AdxN+1)*AA7+(1-2/(p_AdxN+1))*AD6</f>
        <v>0</v>
      </c>
      <c r="AE7" s="45" t="n">
        <f aca="false">100*AC7/AB7</f>
        <v>12.8888888888889</v>
      </c>
      <c r="AF7" s="45" t="n">
        <f aca="false">100*AD7/AB7</f>
        <v>0</v>
      </c>
      <c r="AG7" s="45" t="n">
        <f aca="false">IFERROR(100*ABS(AE7-AF7)/(AE7+AF7),0)</f>
        <v>100</v>
      </c>
      <c r="AH7" s="45" t="n">
        <f aca="false">2/(p_AdxN+1)*AG7+(1-2/(p_AdxN+1))*AH6</f>
        <v>26.530612244898</v>
      </c>
      <c r="AI7" s="40" t="n">
        <f aca="false">I7*(1+p_ChPct)</f>
        <v>21.0319703703704</v>
      </c>
      <c r="AJ7" s="40" t="n">
        <f aca="false">I7*(1-p_ChPct)</f>
        <v>18.6509925925926</v>
      </c>
      <c r="AK7" s="40" t="n">
        <f aca="false">I7+1*Y7</f>
        <v>20.2214814814815</v>
      </c>
      <c r="AL7" s="40" t="n">
        <f aca="false">I7+2*Y7</f>
        <v>20.6014814814815</v>
      </c>
      <c r="AM7" s="40" t="n">
        <f aca="false">I7+3*Y7</f>
        <v>20.9814814814815</v>
      </c>
      <c r="AN7" s="40" t="n">
        <f aca="false">I7-1*Y7</f>
        <v>19.4614814814815</v>
      </c>
      <c r="AO7" s="40" t="n">
        <f aca="false">I7-2*Y7</f>
        <v>19.0814814814815</v>
      </c>
      <c r="AP7" s="40" t="n">
        <f aca="false">I7-3*Y7</f>
        <v>18.7014814814815</v>
      </c>
      <c r="AQ7" s="40" t="n">
        <f aca="true">MAX(OFFSET(C7,1-MIN(p_StochN,ROW()-4),0,MIN(p_StochN,ROW()-4),1))</f>
        <v>20.26</v>
      </c>
      <c r="AR7" s="40" t="n">
        <f aca="true">MIN(OFFSET(D7,1-MIN(p_StochN,ROW()-4),0,MIN(p_StochN,ROW()-4),1))</f>
        <v>19.66</v>
      </c>
      <c r="AS7" s="45" t="n">
        <f aca="false">IF(AQ7=AR7,50,100*(E7-AR7)/(AQ7-AR7))</f>
        <v>33.3333333333331</v>
      </c>
      <c r="AT7" s="45" t="n">
        <f aca="true">AVERAGE(OFFSET(AS7,1-MIN(p_StochSm,ROW()-4),0,MIN(p_StochSm,ROW()-4),1))</f>
        <v>59.4104308390022</v>
      </c>
      <c r="AU7" s="45" t="n">
        <f aca="true">AVERAGE(OFFSET(AT7,1-MIN(p_StochSm,ROW()-4),0,MIN(p_StochSm,ROW()-4),1))</f>
        <v>63.0007558578986</v>
      </c>
      <c r="AV7" s="41" t="n">
        <f aca="false">MAX(0,H7-D7)</f>
        <v>0.108775510204087</v>
      </c>
      <c r="AW7" s="41" t="n">
        <f aca="true">IF(COUNTIF(OFFSET(AV7,1-MIN(p_PenLb,ROW()-4),0,MIN(p_PenLb,ROW()-4),1),"&gt;0")&gt;0,SUM(OFFSET(AV7,1-MIN(p_PenLb,ROW()-4),0,MIN(p_PenLb,ROW()-4),1))/COUNTIF(OFFSET(AV7,1-MIN(p_PenLb,ROW()-4),0,MIN(p_PenLb,ROW()-4),1),"&gt;0"),0.5*Y7)</f>
        <v>0.109115646258505</v>
      </c>
      <c r="AX7" s="41" t="n">
        <f aca="false">2*H7-H6</f>
        <v>19.8589795918367</v>
      </c>
      <c r="AY7" s="40" t="n">
        <f aca="false">ROUND(MAX(AX7-AW7,0.01),2)</f>
        <v>19.75</v>
      </c>
      <c r="AZ7" s="40" t="n">
        <f aca="true">IF(MIN(p_StopLb,ROW()-4)&lt;2,D7,SMALL(OFFSET(D7,1-MIN(p_StopLb,ROW()-4),0,MIN(p_StopLb,ROW()-4),1),2))</f>
        <v>19.75</v>
      </c>
      <c r="BA7" s="40" t="n">
        <f aca="false">IF(MOD(ROUND(ROUNDDOWN(MIN(AZ7-0.01,AY7-p_StopAtr*Y7),2)*100,0),50)=0,ROUNDDOWN(MIN(AZ7-0.01,AY7-p_StopAtr*Y7),2)-0.01,ROUNDDOWN(MIN(AZ7-0.01,AY7-p_StopAtr*Y7),2))</f>
        <v>19.37</v>
      </c>
      <c r="BB7" s="40" t="n">
        <f aca="false">ROUND(AI7,2)</f>
        <v>21.03</v>
      </c>
      <c r="BC7" s="40" t="n">
        <f aca="false">IF(AY7-BA7&gt;0,(BB7-AY7)/(AY7-BA7),0)</f>
        <v>3.36842105263159</v>
      </c>
      <c r="BD7" s="42" t="n">
        <f aca="false">IF(N7&lt;0,1,0)</f>
        <v>0</v>
      </c>
      <c r="BE7" s="41" t="str">
        <f aca="false">IF(AND(BD7=1,BD6=0),N7,IF(BD7=1,MIN(BE6,N7),BE6))</f>
        <v/>
      </c>
      <c r="BF7" s="40" t="str">
        <f aca="false">IF(AND(BD7=1,BD6=0),D7,IF(BD7=1,MIN(BF6,D7),BF6))</f>
        <v/>
      </c>
      <c r="BG7" s="42" t="str">
        <f aca="false">IF(AND(BD7=1,BD6=0),ROW(),IF(BD7=1,IF(N7&lt;BE6,ROW(),BG6),BG6))</f>
        <v/>
      </c>
      <c r="BH7" s="41" t="str">
        <f aca="false">IF(AND(BD7=1,BD6=0),BE6,BH6)</f>
        <v/>
      </c>
      <c r="BI7" s="40" t="str">
        <f aca="false">IF(AND(BD7=1,BD6=0),BF6,BI6)</f>
        <v/>
      </c>
      <c r="BJ7" s="42" t="str">
        <f aca="false">IF(AND(BD7=1,BD6=0),BG6,BJ6)</f>
        <v/>
      </c>
      <c r="BK7" s="42" t="str">
        <f aca="false">IF(AND(ISNUMBER(BG7),ISNUMBER(BJ7)),BG7-BJ7,"")</f>
        <v/>
      </c>
      <c r="BL7" s="42" t="n">
        <f aca="false">IF(AND(BD7=1,N7&gt;N6,ISNUMBER(BH7),ISNUMBER(BK7)),IF(AND(BE7&gt;BH7,BF7&lt;BI7,BK7&gt;=p_GapMin,BK7&lt;=p_GapMax),1,0),0)</f>
        <v>0</v>
      </c>
      <c r="BM7" s="42" t="n">
        <f aca="false">IF(AND(BL7=1,E7&gt;BI7),1,0)</f>
        <v>0</v>
      </c>
      <c r="BN7" s="42" t="n">
        <f aca="false">IF(BL7=1,IF(BE7&gt;=BH7*0.5,1,0),0)</f>
        <v>0</v>
      </c>
      <c r="BO7" s="42" t="n">
        <f aca="true">IF(V7&gt;MIN(OFFSET(V7,-MIN(p_FiLb-1,ROW()-5),0,MIN(p_FiLb-1,ROW()-5),1)),1,0)</f>
        <v>0</v>
      </c>
      <c r="BP7" s="44" t="str">
        <f aca="true">IF(COUNTIF(OFFSET(V7,1-MIN(100,ROW()-4),0,MIN(100,ROW()-4),1),"&lt;0")&gt;=5,AVERAGEIF(OFFSET(V7,1-MIN(100,ROW()-4),0,MIN(100,ROW()-4),1),"&lt;0"),"")</f>
        <v/>
      </c>
      <c r="BQ7" s="42" t="n">
        <f aca="false">IF(ISNUMBER(BP7),IF(AND(V7&lt;5*BP7,V7&gt;V6,E7&lt;AJ7),1,0),0)</f>
        <v>0</v>
      </c>
      <c r="BR7" s="44" t="n">
        <f aca="true">AVERAGE(OFFSET(F7,1-MIN(5,ROW()-4),0,MIN(5,ROW()-4),1))</f>
        <v>3632600</v>
      </c>
      <c r="BS7" s="42" t="n">
        <f aca="false">IFERROR(IF(MATCH(G7,周线!$A$5:$A$84,0)&lt;=1,"",INDEX(周线!$R$5:$R$84,MATCH(G7,周线!$A$5:$A$84,0)-1)),"")</f>
        <v>0</v>
      </c>
      <c r="BT7" s="42" t="n">
        <f aca="false">IFERROR(IF(MATCH(G7,周线!$A$5:$A$84,0)&lt;=1,"",INDEX(周线!$S$5:$S$84,MATCH(G7,周线!$A$5:$A$84,0)-1)),"")</f>
        <v>0</v>
      </c>
      <c r="BU7" s="42" t="n">
        <f aca="false">IFERROR(IF(MATCH(G7,周线!$A$5:$A$84,0)&lt;=1,"",INDEX(周线!$U$5:$U$84,MATCH(G7,周线!$A$5:$A$84,0)-1)),"")</f>
        <v>0</v>
      </c>
      <c r="BV7" s="42" t="n">
        <f aca="false">IF(AND(BS7=1,S7&lt;&gt;-1,V7&lt;0,BO7=1,E7&lt;=H7,E7&gt;=AJ7),1,0)</f>
        <v>0</v>
      </c>
      <c r="BW7" s="42" t="n">
        <f aca="false">BL7</f>
        <v>0</v>
      </c>
      <c r="BX7" s="42" t="n">
        <f aca="false">BQ7</f>
        <v>0</v>
      </c>
      <c r="BY7" s="42" t="n">
        <f aca="false">IF(BS7=1,10,0)+IF(BU7=1,5,IF(BU7=-1,0,3))+IF(BT7=1,5,0)+IF(AND(AE7&gt;AF7,AH7&gt;AH6),5,0)</f>
        <v>8</v>
      </c>
      <c r="BZ7" s="42" t="n">
        <f aca="false">IF(AND(E7&lt;=H7,E7&gt;=I7),10,IF(AND(E7&gt;=AJ7,E7&lt;I7),6,0))+IF(AND(V7&lt;0,BO7=1),8,0)+IF(AT7&lt;30,7,IF(AT7&lt;50,3,0))</f>
        <v>0</v>
      </c>
      <c r="CA7" s="42" t="n">
        <f aca="false">IF(AND(BV7=1,BW7=1),25,IF(BW7=1,22,IF(BV7=1,15,IF(BX7=1,12,0))))</f>
        <v>0</v>
      </c>
      <c r="CB7" s="42" t="n">
        <f aca="false">IF(W7&gt;0,6,0)+IF(F7&lt;BR7,4,0)</f>
        <v>0</v>
      </c>
      <c r="CC7" s="42" t="n">
        <f aca="false">IF(BC7&gt;=3,15,IF(BC7&gt;=p_RRmin,10,IF(BC7&gt;=1.5,4,0)))</f>
        <v>15</v>
      </c>
      <c r="CD7" s="42" t="n">
        <f aca="false">BY7+BZ7+CA7+CB7+CC7</f>
        <v>23</v>
      </c>
      <c r="CE7" s="42" t="n">
        <f aca="false">IF(AND(BS7&lt;&gt;1,BW7+BX7=0),1,0)</f>
        <v>1</v>
      </c>
      <c r="CF7" s="42" t="n">
        <f aca="false">IF(BU7=-1,1,0)</f>
        <v>0</v>
      </c>
      <c r="CG7" s="42" t="n">
        <f aca="false">IF(S7=-1,1,0)</f>
        <v>0</v>
      </c>
      <c r="CH7" s="42" t="n">
        <f aca="false">IF(BV7+BW7+BX7=0,1,0)</f>
        <v>1</v>
      </c>
      <c r="CI7" s="42" t="n">
        <f aca="false">IF(BC7&lt;p_RRmin,1,0)</f>
        <v>0</v>
      </c>
      <c r="CJ7" s="46" t="str">
        <f aca="false">IF(SUM(CE7:CI7)=0,IF(CD7&gt;=p_GradeA,"A",IF(CD7&gt;=p_GradeB,"B","C")),IF(AND(CI7=1,SUM(CE7:CH7)=0,CD7&gt;=p_GradeB),"B","C"))</f>
        <v>C</v>
      </c>
    </row>
    <row r="8" customFormat="false" ht="15" hidden="false" customHeight="false" outlineLevel="0" collapsed="false">
      <c r="A8" s="36" t="n">
        <v>45664</v>
      </c>
      <c r="B8" s="37" t="n">
        <v>19.91</v>
      </c>
      <c r="C8" s="37" t="n">
        <v>19.99</v>
      </c>
      <c r="D8" s="37" t="n">
        <v>19.48</v>
      </c>
      <c r="E8" s="37" t="n">
        <v>19.66</v>
      </c>
      <c r="F8" s="38" t="n">
        <v>3603000</v>
      </c>
      <c r="G8" s="39" t="n">
        <f aca="false">A8-WEEKDAY(A8,3)</f>
        <v>45663</v>
      </c>
      <c r="H8" s="40" t="n">
        <f aca="false">2/(p_EmaF+1)*E8+(1-2/(p_EmaF+1))*H7</f>
        <v>19.8303790087464</v>
      </c>
      <c r="I8" s="40" t="n">
        <f aca="false">2/(p_EmaS+1)*E8+(1-2/(p_EmaS+1))*I7</f>
        <v>19.8280384087792</v>
      </c>
      <c r="J8" s="41" t="n">
        <f aca="false">2/(p_MacdF+1)*E8+(1-2/(p_MacdF+1))*J7</f>
        <v>19.830332271279</v>
      </c>
      <c r="K8" s="41" t="n">
        <f aca="false">2/(p_MacdS+1)*E8+(1-2/(p_MacdS+1))*K7</f>
        <v>19.8280384087792</v>
      </c>
      <c r="L8" s="41" t="n">
        <f aca="false">J8-K8</f>
        <v>0.00229386249986163</v>
      </c>
      <c r="M8" s="41" t="n">
        <f aca="false">2/(p_MacdSig+1)*L8+(1-2/(p_MacdSig+1))*M7</f>
        <v>0.00638694256352625</v>
      </c>
      <c r="N8" s="41" t="n">
        <f aca="false">L8-M8</f>
        <v>-0.00409308006366462</v>
      </c>
      <c r="O8" s="42" t="n">
        <f aca="false">IF(H8&gt;H7,1,0)</f>
        <v>0</v>
      </c>
      <c r="P8" s="42" t="n">
        <f aca="false">IF(H8&lt;H7,1,0)</f>
        <v>1</v>
      </c>
      <c r="Q8" s="42" t="n">
        <f aca="false">IF(N8&gt;N7,1,0)</f>
        <v>0</v>
      </c>
      <c r="R8" s="42" t="n">
        <f aca="false">IF(N8&lt;N7,1,0)</f>
        <v>1</v>
      </c>
      <c r="S8" s="42" t="n">
        <f aca="false">IF(AND(O8=1,Q8=1),1,IF(AND(P8=1,R8=1),-1,0))</f>
        <v>-1</v>
      </c>
      <c r="T8" s="43" t="str">
        <f aca="false">IF(S8=1,"绿",IF(S8=-1,"红","蓝"))</f>
        <v>红</v>
      </c>
      <c r="U8" s="44" t="n">
        <f aca="false">F8*(E8-E7)</f>
        <v>-720599.999999997</v>
      </c>
      <c r="V8" s="44" t="n">
        <f aca="false">2/(p_FiS+1)*U8+(1-2/(p_FiS+1))*V7</f>
        <v>-620449.555555554</v>
      </c>
      <c r="W8" s="44" t="n">
        <f aca="false">2/(p_FiL+1)*U8+(1-2/(p_FiL+1))*W7</f>
        <v>-131240.501457726</v>
      </c>
      <c r="X8" s="41" t="n">
        <f aca="false">MAX(C8-D8,ABS(C8-E7),ABS(D8-E7))</f>
        <v>0.509999999999998</v>
      </c>
      <c r="Y8" s="41" t="n">
        <f aca="true">AVERAGE(OFFSET(X8,1-MIN(p_AtrN,ROW()-4),0,MIN(p_AtrN,ROW()-4),1))</f>
        <v>0.4125</v>
      </c>
      <c r="Z8" s="41" t="n">
        <f aca="false">IF(AND(C8-C7&gt;D7-D8,C8-C7&gt;0),C8-C7,0)</f>
        <v>0</v>
      </c>
      <c r="AA8" s="41" t="n">
        <f aca="false">IF(AND(D7-D8&gt;C8-C7,D7-D8&gt;0),D7-D8,0)</f>
        <v>0.27</v>
      </c>
      <c r="AB8" s="41" t="n">
        <f aca="false">2/(p_AdxN+1)*X8+(1-2/(p_AdxN+1))*AB7</f>
        <v>0.348367346938776</v>
      </c>
      <c r="AC8" s="41" t="n">
        <f aca="false">2/(p_AdxN+1)*Z8+(1-2/(p_AdxN+1))*AC7</f>
        <v>0.0355102040816327</v>
      </c>
      <c r="AD8" s="41" t="n">
        <f aca="false">2/(p_AdxN+1)*AA8+(1-2/(p_AdxN+1))*AD7</f>
        <v>0.0385714285714285</v>
      </c>
      <c r="AE8" s="45" t="n">
        <f aca="false">100*AC8/AB8</f>
        <v>10.1933216168717</v>
      </c>
      <c r="AF8" s="45" t="n">
        <f aca="false">100*AD8/AB8</f>
        <v>11.0720562390158</v>
      </c>
      <c r="AG8" s="45" t="n">
        <f aca="false">IFERROR(100*ABS(AE8-AF8)/(AE8+AF8),0)</f>
        <v>4.13223140495847</v>
      </c>
      <c r="AH8" s="45" t="n">
        <f aca="false">2/(p_AdxN+1)*AG8+(1-2/(p_AdxN+1))*AH7</f>
        <v>23.330843553478</v>
      </c>
      <c r="AI8" s="40" t="n">
        <f aca="false">I8*(1+p_ChPct)</f>
        <v>21.0177207133059</v>
      </c>
      <c r="AJ8" s="40" t="n">
        <f aca="false">I8*(1-p_ChPct)</f>
        <v>18.6383561042524</v>
      </c>
      <c r="AK8" s="40" t="n">
        <f aca="false">I8+1*Y8</f>
        <v>20.2405384087792</v>
      </c>
      <c r="AL8" s="40" t="n">
        <f aca="false">I8+2*Y8</f>
        <v>20.6530384087792</v>
      </c>
      <c r="AM8" s="40" t="n">
        <f aca="false">I8+3*Y8</f>
        <v>21.0655384087791</v>
      </c>
      <c r="AN8" s="40" t="n">
        <f aca="false">I8-1*Y8</f>
        <v>19.4155384087792</v>
      </c>
      <c r="AO8" s="40" t="n">
        <f aca="false">I8-2*Y8</f>
        <v>19.0030384087792</v>
      </c>
      <c r="AP8" s="40" t="n">
        <f aca="false">I8-3*Y8</f>
        <v>18.5905384087792</v>
      </c>
      <c r="AQ8" s="40" t="n">
        <f aca="true">MAX(OFFSET(C8,1-MIN(p_StochN,ROW()-4),0,MIN(p_StochN,ROW()-4),1))</f>
        <v>20.26</v>
      </c>
      <c r="AR8" s="40" t="n">
        <f aca="true">MIN(OFFSET(D8,1-MIN(p_StochN,ROW()-4),0,MIN(p_StochN,ROW()-4),1))</f>
        <v>19.48</v>
      </c>
      <c r="AS8" s="45" t="n">
        <f aca="false">IF(AQ8=AR8,50,100*(E8-AR8)/(AQ8-AR8))</f>
        <v>23.076923076923</v>
      </c>
      <c r="AT8" s="45" t="n">
        <f aca="true">AVERAGE(OFFSET(AS8,1-MIN(p_StochSm,ROW()-4),0,MIN(p_StochSm,ROW()-4),1))</f>
        <v>48.0551194836909</v>
      </c>
      <c r="AU8" s="45" t="n">
        <f aca="true">AVERAGE(OFFSET(AT8,1-MIN(p_StochSm,ROW()-4),0,MIN(p_StochSm,ROW()-4),1))</f>
        <v>59.97150997151</v>
      </c>
      <c r="AV8" s="41" t="n">
        <f aca="false">MAX(0,H8-D8)</f>
        <v>0.350379008746362</v>
      </c>
      <c r="AW8" s="41" t="n">
        <f aca="true">IF(COUNTIF(OFFSET(AV8,1-MIN(p_PenLb,ROW()-4),0,MIN(p_PenLb,ROW()-4),1),"&gt;0")&gt;0,SUM(OFFSET(AV8,1-MIN(p_PenLb,ROW()-4),0,MIN(p_PenLb,ROW()-4),1))/COUNTIF(OFFSET(AV8,1-MIN(p_PenLb,ROW()-4),0,MIN(p_PenLb,ROW()-4),1),"&gt;0"),0.5*Y8)</f>
        <v>0.16943148688047</v>
      </c>
      <c r="AX8" s="41" t="n">
        <f aca="false">2*H8-H7</f>
        <v>19.8019825072886</v>
      </c>
      <c r="AY8" s="40" t="n">
        <f aca="false">ROUND(MAX(AX8-AW8,0.01),2)</f>
        <v>19.63</v>
      </c>
      <c r="AZ8" s="40" t="n">
        <f aca="true">IF(MIN(p_StopLb,ROW()-4)&lt;2,D8,SMALL(OFFSET(D8,1-MIN(p_StopLb,ROW()-4),0,MIN(p_StopLb,ROW()-4),1),2))</f>
        <v>19.66</v>
      </c>
      <c r="BA8" s="40" t="n">
        <f aca="false">IF(MOD(ROUND(ROUNDDOWN(MIN(AZ8-0.01,AY8-p_StopAtr*Y8),2)*100,0),50)=0,ROUNDDOWN(MIN(AZ8-0.01,AY8-p_StopAtr*Y8),2)-0.01,ROUNDDOWN(MIN(AZ8-0.01,AY8-p_StopAtr*Y8),2))</f>
        <v>19.21</v>
      </c>
      <c r="BB8" s="40" t="n">
        <f aca="false">ROUND(AI8,2)</f>
        <v>21.02</v>
      </c>
      <c r="BC8" s="40" t="n">
        <f aca="false">IF(AY8-BA8&gt;0,(BB8-AY8)/(AY8-BA8),0)</f>
        <v>3.30952380952383</v>
      </c>
      <c r="BD8" s="42" t="n">
        <f aca="false">IF(N8&lt;0,1,0)</f>
        <v>1</v>
      </c>
      <c r="BE8" s="41" t="n">
        <f aca="false">IF(AND(BD8=1,BD7=0),N8,IF(BD8=1,MIN(BE7,N8),BE7))</f>
        <v>-0.00409308006366462</v>
      </c>
      <c r="BF8" s="40" t="n">
        <f aca="false">IF(AND(BD8=1,BD7=0),D8,IF(BD8=1,MIN(BF7,D8),BF7))</f>
        <v>19.48</v>
      </c>
      <c r="BG8" s="42" t="n">
        <f aca="false">IF(AND(BD8=1,BD7=0),ROW(),IF(BD8=1,IF(N8&lt;BE7,ROW(),BG7),BG7))</f>
        <v>8</v>
      </c>
      <c r="BH8" s="41" t="str">
        <f aca="false">IF(AND(BD8=1,BD7=0),BE7,BH7)</f>
        <v/>
      </c>
      <c r="BI8" s="40" t="str">
        <f aca="false">IF(AND(BD8=1,BD7=0),BF7,BI7)</f>
        <v/>
      </c>
      <c r="BJ8" s="42" t="str">
        <f aca="false">IF(AND(BD8=1,BD7=0),BG7,BJ7)</f>
        <v/>
      </c>
      <c r="BK8" s="42" t="str">
        <f aca="false">IF(AND(ISNUMBER(BG8),ISNUMBER(BJ8)),BG8-BJ8,"")</f>
        <v/>
      </c>
      <c r="BL8" s="42" t="n">
        <f aca="false">IF(AND(BD8=1,N8&gt;N7,ISNUMBER(BH8),ISNUMBER(BK8)),IF(AND(BE8&gt;BH8,BF8&lt;BI8,BK8&gt;=p_GapMin,BK8&lt;=p_GapMax),1,0),0)</f>
        <v>0</v>
      </c>
      <c r="BM8" s="42" t="n">
        <f aca="false">IF(AND(BL8=1,E8&gt;BI8),1,0)</f>
        <v>0</v>
      </c>
      <c r="BN8" s="42" t="n">
        <f aca="false">IF(BL8=1,IF(BE8&gt;=BH8*0.5,1,0),0)</f>
        <v>0</v>
      </c>
      <c r="BO8" s="42" t="n">
        <f aca="true">IF(V8&gt;MIN(OFFSET(V8,-MIN(p_FiLb-1,ROW()-5),0,MIN(p_FiLb-1,ROW()-5),1)),1,0)</f>
        <v>0</v>
      </c>
      <c r="BP8" s="44" t="str">
        <f aca="true">IF(COUNTIF(OFFSET(V8,1-MIN(100,ROW()-4),0,MIN(100,ROW()-4),1),"&lt;0")&gt;=5,AVERAGEIF(OFFSET(V8,1-MIN(100,ROW()-4),0,MIN(100,ROW()-4),1),"&lt;0"),"")</f>
        <v/>
      </c>
      <c r="BQ8" s="42" t="n">
        <f aca="false">IF(ISNUMBER(BP8),IF(AND(V8&lt;5*BP8,V8&gt;V7,E8&lt;AJ8),1,0),0)</f>
        <v>0</v>
      </c>
      <c r="BR8" s="44" t="n">
        <f aca="true">AVERAGE(OFFSET(F8,1-MIN(5,ROW()-4),0,MIN(5,ROW()-4),1))</f>
        <v>3625200</v>
      </c>
      <c r="BS8" s="42" t="n">
        <f aca="false">IFERROR(IF(MATCH(G8,周线!$A$5:$A$84,0)&lt;=1,"",INDEX(周线!$R$5:$R$84,MATCH(G8,周线!$A$5:$A$84,0)-1)),"")</f>
        <v>0</v>
      </c>
      <c r="BT8" s="42" t="n">
        <f aca="false">IFERROR(IF(MATCH(G8,周线!$A$5:$A$84,0)&lt;=1,"",INDEX(周线!$S$5:$S$84,MATCH(G8,周线!$A$5:$A$84,0)-1)),"")</f>
        <v>0</v>
      </c>
      <c r="BU8" s="42" t="n">
        <f aca="false">IFERROR(IF(MATCH(G8,周线!$A$5:$A$84,0)&lt;=1,"",INDEX(周线!$U$5:$U$84,MATCH(G8,周线!$A$5:$A$84,0)-1)),"")</f>
        <v>0</v>
      </c>
      <c r="BV8" s="42" t="n">
        <f aca="false">IF(AND(BS8=1,S8&lt;&gt;-1,V8&lt;0,BO8=1,E8&lt;=H8,E8&gt;=AJ8),1,0)</f>
        <v>0</v>
      </c>
      <c r="BW8" s="42" t="n">
        <f aca="false">BL8</f>
        <v>0</v>
      </c>
      <c r="BX8" s="42" t="n">
        <f aca="false">BQ8</f>
        <v>0</v>
      </c>
      <c r="BY8" s="42" t="n">
        <f aca="false">IF(BS8=1,10,0)+IF(BU8=1,5,IF(BU8=-1,0,3))+IF(BT8=1,5,0)+IF(AND(AE8&gt;AF8,AH8&gt;AH7),5,0)</f>
        <v>3</v>
      </c>
      <c r="BZ8" s="42" t="n">
        <f aca="false">IF(AND(E8&lt;=H8,E8&gt;=I8),10,IF(AND(E8&gt;=AJ8,E8&lt;I8),6,0))+IF(AND(V8&lt;0,BO8=1),8,0)+IF(AT8&lt;30,7,IF(AT8&lt;50,3,0))</f>
        <v>9</v>
      </c>
      <c r="CA8" s="42" t="n">
        <f aca="false">IF(AND(BV8=1,BW8=1),25,IF(BW8=1,22,IF(BV8=1,15,IF(BX8=1,12,0))))</f>
        <v>0</v>
      </c>
      <c r="CB8" s="42" t="n">
        <f aca="false">IF(W8&gt;0,6,0)+IF(F8&lt;BR8,4,0)</f>
        <v>4</v>
      </c>
      <c r="CC8" s="42" t="n">
        <f aca="false">IF(BC8&gt;=3,15,IF(BC8&gt;=p_RRmin,10,IF(BC8&gt;=1.5,4,0)))</f>
        <v>15</v>
      </c>
      <c r="CD8" s="42" t="n">
        <f aca="false">BY8+BZ8+CA8+CB8+CC8</f>
        <v>31</v>
      </c>
      <c r="CE8" s="42" t="n">
        <f aca="false">IF(AND(BS8&lt;&gt;1,BW8+BX8=0),1,0)</f>
        <v>1</v>
      </c>
      <c r="CF8" s="42" t="n">
        <f aca="false">IF(BU8=-1,1,0)</f>
        <v>0</v>
      </c>
      <c r="CG8" s="42" t="n">
        <f aca="false">IF(S8=-1,1,0)</f>
        <v>1</v>
      </c>
      <c r="CH8" s="42" t="n">
        <f aca="false">IF(BV8+BW8+BX8=0,1,0)</f>
        <v>1</v>
      </c>
      <c r="CI8" s="42" t="n">
        <f aca="false">IF(BC8&lt;p_RRmin,1,0)</f>
        <v>0</v>
      </c>
      <c r="CJ8" s="46" t="str">
        <f aca="false">IF(SUM(CE8:CI8)=0,IF(CD8&gt;=p_GradeA,"A",IF(CD8&gt;=p_GradeB,"B","C")),IF(AND(CI8=1,SUM(CE8:CH8)=0,CD8&gt;=p_GradeB),"B","C"))</f>
        <v>C</v>
      </c>
    </row>
    <row r="9" customFormat="false" ht="15" hidden="false" customHeight="false" outlineLevel="0" collapsed="false">
      <c r="A9" s="36" t="n">
        <v>45665</v>
      </c>
      <c r="B9" s="37" t="n">
        <v>19.61</v>
      </c>
      <c r="C9" s="37" t="n">
        <v>19.69</v>
      </c>
      <c r="D9" s="37" t="n">
        <v>19.42</v>
      </c>
      <c r="E9" s="37" t="n">
        <v>19.53</v>
      </c>
      <c r="F9" s="38" t="n">
        <v>3016400</v>
      </c>
      <c r="G9" s="39" t="n">
        <f aca="false">A9-WEEKDAY(A9,3)</f>
        <v>45663</v>
      </c>
      <c r="H9" s="40" t="n">
        <f aca="false">2/(p_EmaF+1)*E9+(1-2/(p_EmaF+1))*H8</f>
        <v>19.7874677217826</v>
      </c>
      <c r="I9" s="40" t="n">
        <f aca="false">2/(p_EmaS+1)*E9+(1-2/(p_EmaS+1))*I8</f>
        <v>19.8059614896103</v>
      </c>
      <c r="J9" s="41" t="n">
        <f aca="false">2/(p_MacdF+1)*E9+(1-2/(p_MacdF+1))*J8</f>
        <v>19.7841273064669</v>
      </c>
      <c r="K9" s="41" t="n">
        <f aca="false">2/(p_MacdS+1)*E9+(1-2/(p_MacdS+1))*K8</f>
        <v>19.8059614896103</v>
      </c>
      <c r="L9" s="41" t="n">
        <f aca="false">J9-K9</f>
        <v>-0.021834183143465</v>
      </c>
      <c r="M9" s="41" t="n">
        <f aca="false">2/(p_MacdSig+1)*L9+(1-2/(p_MacdSig+1))*M8</f>
        <v>0.000742717422128005</v>
      </c>
      <c r="N9" s="41" t="n">
        <f aca="false">L9-M9</f>
        <v>-0.022576900565593</v>
      </c>
      <c r="O9" s="42" t="n">
        <f aca="false">IF(H9&gt;H8,1,0)</f>
        <v>0</v>
      </c>
      <c r="P9" s="42" t="n">
        <f aca="false">IF(H9&lt;H8,1,0)</f>
        <v>1</v>
      </c>
      <c r="Q9" s="42" t="n">
        <f aca="false">IF(N9&gt;N8,1,0)</f>
        <v>0</v>
      </c>
      <c r="R9" s="42" t="n">
        <f aca="false">IF(N9&lt;N8,1,0)</f>
        <v>1</v>
      </c>
      <c r="S9" s="42" t="n">
        <f aca="false">IF(AND(O9=1,Q9=1),1,IF(AND(P9=1,R9=1),-1,0))</f>
        <v>-1</v>
      </c>
      <c r="T9" s="43" t="str">
        <f aca="false">IF(S9=1,"绿",IF(S9=-1,"红","蓝"))</f>
        <v>红</v>
      </c>
      <c r="U9" s="44" t="n">
        <f aca="false">F9*(E9-E8)</f>
        <v>-392131.999999997</v>
      </c>
      <c r="V9" s="44" t="n">
        <f aca="false">2/(p_FiS+1)*U9+(1-2/(p_FiS+1))*V8</f>
        <v>-468237.851851849</v>
      </c>
      <c r="W9" s="44" t="n">
        <f aca="false">2/(p_FiL+1)*U9+(1-2/(p_FiL+1))*W8</f>
        <v>-168510.715535193</v>
      </c>
      <c r="X9" s="41" t="n">
        <f aca="false">MAX(C9-D9,ABS(C9-E8),ABS(D9-E8))</f>
        <v>0.27</v>
      </c>
      <c r="Y9" s="41" t="n">
        <f aca="true">AVERAGE(OFFSET(X9,1-MIN(p_AtrN,ROW()-4),0,MIN(p_AtrN,ROW()-4),1))</f>
        <v>0.384</v>
      </c>
      <c r="Z9" s="41" t="n">
        <f aca="false">IF(AND(C9-C8&gt;D8-D9,C9-C8&gt;0),C9-C8,0)</f>
        <v>0</v>
      </c>
      <c r="AA9" s="41" t="n">
        <f aca="false">IF(AND(D8-D9&gt;C9-C8,D8-D9&gt;0),D8-D9,0)</f>
        <v>0.0599999999999987</v>
      </c>
      <c r="AB9" s="41" t="n">
        <f aca="false">2/(p_AdxN+1)*X9+(1-2/(p_AdxN+1))*AB8</f>
        <v>0.337172011661808</v>
      </c>
      <c r="AC9" s="41" t="n">
        <f aca="false">2/(p_AdxN+1)*Z9+(1-2/(p_AdxN+1))*AC8</f>
        <v>0.0304373177842566</v>
      </c>
      <c r="AD9" s="41" t="n">
        <f aca="false">2/(p_AdxN+1)*AA9+(1-2/(p_AdxN+1))*AD8</f>
        <v>0.0416326530612243</v>
      </c>
      <c r="AE9" s="45" t="n">
        <f aca="false">100*AC9/AB9</f>
        <v>9.02723735408562</v>
      </c>
      <c r="AF9" s="45" t="n">
        <f aca="false">100*AD9/AB9</f>
        <v>12.3476005188067</v>
      </c>
      <c r="AG9" s="45" t="n">
        <f aca="false">IFERROR(100*ABS(AE9-AF9)/(AE9+AF9),0)</f>
        <v>15.5339805825239</v>
      </c>
      <c r="AH9" s="45" t="n">
        <f aca="false">2/(p_AdxN+1)*AG9+(1-2/(p_AdxN+1))*AH8</f>
        <v>22.2170059861989</v>
      </c>
      <c r="AI9" s="40" t="n">
        <f aca="false">I9*(1+p_ChPct)</f>
        <v>20.9943191789869</v>
      </c>
      <c r="AJ9" s="40" t="n">
        <f aca="false">I9*(1-p_ChPct)</f>
        <v>18.6176038002337</v>
      </c>
      <c r="AK9" s="40" t="n">
        <f aca="false">I9+1*Y9</f>
        <v>20.1899614896103</v>
      </c>
      <c r="AL9" s="40" t="n">
        <f aca="false">I9+2*Y9</f>
        <v>20.5739614896103</v>
      </c>
      <c r="AM9" s="40" t="n">
        <f aca="false">I9+3*Y9</f>
        <v>20.9579614896103</v>
      </c>
      <c r="AN9" s="40" t="n">
        <f aca="false">I9-1*Y9</f>
        <v>19.4219614896103</v>
      </c>
      <c r="AO9" s="40" t="n">
        <f aca="false">I9-2*Y9</f>
        <v>19.0379614896103</v>
      </c>
      <c r="AP9" s="40" t="n">
        <f aca="false">I9-3*Y9</f>
        <v>18.6539614896103</v>
      </c>
      <c r="AQ9" s="40" t="n">
        <f aca="true">MAX(OFFSET(C9,1-MIN(p_StochN,ROW()-4),0,MIN(p_StochN,ROW()-4),1))</f>
        <v>20.26</v>
      </c>
      <c r="AR9" s="40" t="n">
        <f aca="true">MIN(OFFSET(D9,1-MIN(p_StochN,ROW()-4),0,MIN(p_StochN,ROW()-4),1))</f>
        <v>19.42</v>
      </c>
      <c r="AS9" s="45" t="n">
        <f aca="false">IF(AQ9=AR9,50,100*(E9-AR9)/(AQ9-AR9))</f>
        <v>13.095238095238</v>
      </c>
      <c r="AT9" s="45" t="n">
        <f aca="true">AVERAGE(OFFSET(AS9,1-MIN(p_StochSm,ROW()-4),0,MIN(p_StochSm,ROW()-4),1))</f>
        <v>23.1684981684981</v>
      </c>
      <c r="AU9" s="45" t="n">
        <f aca="true">AVERAGE(OFFSET(AT9,1-MIN(p_StochSm,ROW()-4),0,MIN(p_StochSm,ROW()-4),1))</f>
        <v>43.5446828303971</v>
      </c>
      <c r="AV9" s="41" t="n">
        <f aca="false">MAX(0,H9-D9)</f>
        <v>0.367467721782596</v>
      </c>
      <c r="AW9" s="41" t="n">
        <f aca="true">IF(COUNTIF(OFFSET(AV9,1-MIN(p_PenLb,ROW()-4),0,MIN(p_PenLb,ROW()-4),1),"&gt;0")&gt;0,SUM(OFFSET(AV9,1-MIN(p_PenLb,ROW()-4),0,MIN(p_PenLb,ROW()-4),1))/COUNTIF(OFFSET(AV9,1-MIN(p_PenLb,ROW()-4),0,MIN(p_PenLb,ROW()-4),1),"&gt;0"),0.5*Y9)</f>
        <v>0.209038733860895</v>
      </c>
      <c r="AX9" s="41" t="n">
        <f aca="false">2*H9-H8</f>
        <v>19.7445564348188</v>
      </c>
      <c r="AY9" s="40" t="n">
        <f aca="false">ROUND(MAX(AX9-AW9,0.01),2)</f>
        <v>19.54</v>
      </c>
      <c r="AZ9" s="40" t="n">
        <f aca="true">IF(MIN(p_StopLb,ROW()-4)&lt;2,D9,SMALL(OFFSET(D9,1-MIN(p_StopLb,ROW()-4),0,MIN(p_StopLb,ROW()-4),1),2))</f>
        <v>19.48</v>
      </c>
      <c r="BA9" s="40" t="n">
        <f aca="false">IF(MOD(ROUND(ROUNDDOWN(MIN(AZ9-0.01,AY9-p_StopAtr*Y9),2)*100,0),50)=0,ROUNDDOWN(MIN(AZ9-0.01,AY9-p_StopAtr*Y9),2)-0.01,ROUNDDOWN(MIN(AZ9-0.01,AY9-p_StopAtr*Y9),2))</f>
        <v>19.15</v>
      </c>
      <c r="BB9" s="40" t="n">
        <f aca="false">ROUND(AI9,2)</f>
        <v>20.99</v>
      </c>
      <c r="BC9" s="40" t="n">
        <f aca="false">IF(AY9-BA9&gt;0,(BB9-AY9)/(AY9-BA9),0)</f>
        <v>3.71794871794871</v>
      </c>
      <c r="BD9" s="42" t="n">
        <f aca="false">IF(N9&lt;0,1,0)</f>
        <v>1</v>
      </c>
      <c r="BE9" s="41" t="n">
        <f aca="false">IF(AND(BD9=1,BD8=0),N9,IF(BD9=1,MIN(BE8,N9),BE8))</f>
        <v>-0.022576900565593</v>
      </c>
      <c r="BF9" s="40" t="n">
        <f aca="false">IF(AND(BD9=1,BD8=0),D9,IF(BD9=1,MIN(BF8,D9),BF8))</f>
        <v>19.42</v>
      </c>
      <c r="BG9" s="42" t="n">
        <f aca="false">IF(AND(BD9=1,BD8=0),ROW(),IF(BD9=1,IF(N9&lt;BE8,ROW(),BG8),BG8))</f>
        <v>9</v>
      </c>
      <c r="BH9" s="41" t="str">
        <f aca="false">IF(AND(BD9=1,BD8=0),BE8,BH8)</f>
        <v/>
      </c>
      <c r="BI9" s="40" t="str">
        <f aca="false">IF(AND(BD9=1,BD8=0),BF8,BI8)</f>
        <v/>
      </c>
      <c r="BJ9" s="42" t="str">
        <f aca="false">IF(AND(BD9=1,BD8=0),BG8,BJ8)</f>
        <v/>
      </c>
      <c r="BK9" s="42" t="str">
        <f aca="false">IF(AND(ISNUMBER(BG9),ISNUMBER(BJ9)),BG9-BJ9,"")</f>
        <v/>
      </c>
      <c r="BL9" s="42" t="n">
        <f aca="false">IF(AND(BD9=1,N9&gt;N8,ISNUMBER(BH9),ISNUMBER(BK9)),IF(AND(BE9&gt;BH9,BF9&lt;BI9,BK9&gt;=p_GapMin,BK9&lt;=p_GapMax),1,0),0)</f>
        <v>0</v>
      </c>
      <c r="BM9" s="42" t="n">
        <f aca="false">IF(AND(BL9=1,E9&gt;BI9),1,0)</f>
        <v>0</v>
      </c>
      <c r="BN9" s="42" t="n">
        <f aca="false">IF(BL9=1,IF(BE9&gt;=BH9*0.5,1,0),0)</f>
        <v>0</v>
      </c>
      <c r="BO9" s="42" t="n">
        <f aca="true">IF(V9&gt;MIN(OFFSET(V9,-MIN(p_FiLb-1,ROW()-5),0,MIN(p_FiLb-1,ROW()-5),1)),1,0)</f>
        <v>1</v>
      </c>
      <c r="BP9" s="44" t="str">
        <f aca="true">IF(COUNTIF(OFFSET(V9,1-MIN(100,ROW()-4),0,MIN(100,ROW()-4),1),"&lt;0")&gt;=5,AVERAGEIF(OFFSET(V9,1-MIN(100,ROW()-4),0,MIN(100,ROW()-4),1),"&lt;0"),"")</f>
        <v/>
      </c>
      <c r="BQ9" s="42" t="n">
        <f aca="false">IF(ISNUMBER(BP9),IF(AND(V9&lt;5*BP9,V9&gt;V8,E9&lt;AJ9),1,0),0)</f>
        <v>0</v>
      </c>
      <c r="BR9" s="44" t="n">
        <f aca="true">AVERAGE(OFFSET(F9,1-MIN(5,ROW()-4),0,MIN(5,ROW()-4),1))</f>
        <v>3503440</v>
      </c>
      <c r="BS9" s="42" t="n">
        <f aca="false">IFERROR(IF(MATCH(G9,周线!$A$5:$A$84,0)&lt;=1,"",INDEX(周线!$R$5:$R$84,MATCH(G9,周线!$A$5:$A$84,0)-1)),"")</f>
        <v>0</v>
      </c>
      <c r="BT9" s="42" t="n">
        <f aca="false">IFERROR(IF(MATCH(G9,周线!$A$5:$A$84,0)&lt;=1,"",INDEX(周线!$S$5:$S$84,MATCH(G9,周线!$A$5:$A$84,0)-1)),"")</f>
        <v>0</v>
      </c>
      <c r="BU9" s="42" t="n">
        <f aca="false">IFERROR(IF(MATCH(G9,周线!$A$5:$A$84,0)&lt;=1,"",INDEX(周线!$U$5:$U$84,MATCH(G9,周线!$A$5:$A$84,0)-1)),"")</f>
        <v>0</v>
      </c>
      <c r="BV9" s="42" t="n">
        <f aca="false">IF(AND(BS9=1,S9&lt;&gt;-1,V9&lt;0,BO9=1,E9&lt;=H9,E9&gt;=AJ9),1,0)</f>
        <v>0</v>
      </c>
      <c r="BW9" s="42" t="n">
        <f aca="false">BL9</f>
        <v>0</v>
      </c>
      <c r="BX9" s="42" t="n">
        <f aca="false">BQ9</f>
        <v>0</v>
      </c>
      <c r="BY9" s="42" t="n">
        <f aca="false">IF(BS9=1,10,0)+IF(BU9=1,5,IF(BU9=-1,0,3))+IF(BT9=1,5,0)+IF(AND(AE9&gt;AF9,AH9&gt;AH8),5,0)</f>
        <v>3</v>
      </c>
      <c r="BZ9" s="42" t="n">
        <f aca="false">IF(AND(E9&lt;=H9,E9&gt;=I9),10,IF(AND(E9&gt;=AJ9,E9&lt;I9),6,0))+IF(AND(V9&lt;0,BO9=1),8,0)+IF(AT9&lt;30,7,IF(AT9&lt;50,3,0))</f>
        <v>21</v>
      </c>
      <c r="CA9" s="42" t="n">
        <f aca="false">IF(AND(BV9=1,BW9=1),25,IF(BW9=1,22,IF(BV9=1,15,IF(BX9=1,12,0))))</f>
        <v>0</v>
      </c>
      <c r="CB9" s="42" t="n">
        <f aca="false">IF(W9&gt;0,6,0)+IF(F9&lt;BR9,4,0)</f>
        <v>4</v>
      </c>
      <c r="CC9" s="42" t="n">
        <f aca="false">IF(BC9&gt;=3,15,IF(BC9&gt;=p_RRmin,10,IF(BC9&gt;=1.5,4,0)))</f>
        <v>15</v>
      </c>
      <c r="CD9" s="42" t="n">
        <f aca="false">BY9+BZ9+CA9+CB9+CC9</f>
        <v>43</v>
      </c>
      <c r="CE9" s="42" t="n">
        <f aca="false">IF(AND(BS9&lt;&gt;1,BW9+BX9=0),1,0)</f>
        <v>1</v>
      </c>
      <c r="CF9" s="42" t="n">
        <f aca="false">IF(BU9=-1,1,0)</f>
        <v>0</v>
      </c>
      <c r="CG9" s="42" t="n">
        <f aca="false">IF(S9=-1,1,0)</f>
        <v>1</v>
      </c>
      <c r="CH9" s="42" t="n">
        <f aca="false">IF(BV9+BW9+BX9=0,1,0)</f>
        <v>1</v>
      </c>
      <c r="CI9" s="42" t="n">
        <f aca="false">IF(BC9&lt;p_RRmin,1,0)</f>
        <v>0</v>
      </c>
      <c r="CJ9" s="46" t="str">
        <f aca="false">IF(SUM(CE9:CI9)=0,IF(CD9&gt;=p_GradeA,"A",IF(CD9&gt;=p_GradeB,"B","C")),IF(AND(CI9=1,SUM(CE9:CH9)=0,CD9&gt;=p_GradeB),"B","C"))</f>
        <v>C</v>
      </c>
    </row>
    <row r="10" customFormat="false" ht="15" hidden="false" customHeight="false" outlineLevel="0" collapsed="false">
      <c r="A10" s="36" t="n">
        <v>45666</v>
      </c>
      <c r="B10" s="37" t="n">
        <v>19.51</v>
      </c>
      <c r="C10" s="37" t="n">
        <v>19.77</v>
      </c>
      <c r="D10" s="37" t="n">
        <v>19.42</v>
      </c>
      <c r="E10" s="37" t="n">
        <v>19.68</v>
      </c>
      <c r="F10" s="38" t="n">
        <v>4598500</v>
      </c>
      <c r="G10" s="39" t="n">
        <f aca="false">A10-WEEKDAY(A10,3)</f>
        <v>45663</v>
      </c>
      <c r="H10" s="40" t="n">
        <f aca="false">2/(p_EmaF+1)*E10+(1-2/(p_EmaF+1))*H9</f>
        <v>19.7721151900994</v>
      </c>
      <c r="I10" s="40" t="n">
        <f aca="false">2/(p_EmaS+1)*E10+(1-2/(p_EmaS+1))*I9</f>
        <v>19.7966310088984</v>
      </c>
      <c r="J10" s="41" t="n">
        <f aca="false">2/(p_MacdF+1)*E10+(1-2/(p_MacdF+1))*J9</f>
        <v>19.7681077208566</v>
      </c>
      <c r="K10" s="41" t="n">
        <f aca="false">2/(p_MacdS+1)*E10+(1-2/(p_MacdS+1))*K9</f>
        <v>19.7966310088984</v>
      </c>
      <c r="L10" s="41" t="n">
        <f aca="false">J10-K10</f>
        <v>-0.0285232880418747</v>
      </c>
      <c r="M10" s="41" t="n">
        <f aca="false">2/(p_MacdSig+1)*L10+(1-2/(p_MacdSig+1))*M9</f>
        <v>-0.00511048367067253</v>
      </c>
      <c r="N10" s="41" t="n">
        <f aca="false">L10-M10</f>
        <v>-0.0234128043712021</v>
      </c>
      <c r="O10" s="42" t="n">
        <f aca="false">IF(H10&gt;H9,1,0)</f>
        <v>0</v>
      </c>
      <c r="P10" s="42" t="n">
        <f aca="false">IF(H10&lt;H9,1,0)</f>
        <v>1</v>
      </c>
      <c r="Q10" s="42" t="n">
        <f aca="false">IF(N10&gt;N9,1,0)</f>
        <v>0</v>
      </c>
      <c r="R10" s="42" t="n">
        <f aca="false">IF(N10&lt;N9,1,0)</f>
        <v>1</v>
      </c>
      <c r="S10" s="42" t="n">
        <f aca="false">IF(AND(O10=1,Q10=1),1,IF(AND(P10=1,R10=1),-1,0))</f>
        <v>-1</v>
      </c>
      <c r="T10" s="43" t="str">
        <f aca="false">IF(S10=1,"绿",IF(S10=-1,"红","蓝"))</f>
        <v>红</v>
      </c>
      <c r="U10" s="44" t="n">
        <f aca="false">F10*(E10-E9)</f>
        <v>689774.999999994</v>
      </c>
      <c r="V10" s="44" t="n">
        <f aca="false">2/(p_FiS+1)*U10+(1-2/(p_FiS+1))*V9</f>
        <v>303770.716049379</v>
      </c>
      <c r="W10" s="44" t="n">
        <f aca="false">2/(p_FiL+1)*U10+(1-2/(p_FiL+1))*W9</f>
        <v>-45898.470458738</v>
      </c>
      <c r="X10" s="41" t="n">
        <f aca="false">MAX(C10-D10,ABS(C10-E9),ABS(D10-E9))</f>
        <v>0.349999999999998</v>
      </c>
      <c r="Y10" s="41" t="n">
        <f aca="true">AVERAGE(OFFSET(X10,1-MIN(p_AtrN,ROW()-4),0,MIN(p_AtrN,ROW()-4),1))</f>
        <v>0.378333333333333</v>
      </c>
      <c r="Z10" s="41" t="n">
        <f aca="false">IF(AND(C10-C9&gt;D9-D10,C10-C9&gt;0),C10-C9,0)</f>
        <v>0.0799999999999983</v>
      </c>
      <c r="AA10" s="41" t="n">
        <f aca="false">IF(AND(D9-D10&gt;C10-C9,D9-D10&gt;0),D9-D10,0)</f>
        <v>0</v>
      </c>
      <c r="AB10" s="41" t="n">
        <f aca="false">2/(p_AdxN+1)*X10+(1-2/(p_AdxN+1))*AB9</f>
        <v>0.339004581424407</v>
      </c>
      <c r="AC10" s="41" t="n">
        <f aca="false">2/(p_AdxN+1)*Z10+(1-2/(p_AdxN+1))*AC9</f>
        <v>0.037517700957934</v>
      </c>
      <c r="AD10" s="41" t="n">
        <f aca="false">2/(p_AdxN+1)*AA10+(1-2/(p_AdxN+1))*AD9</f>
        <v>0.0356851311953351</v>
      </c>
      <c r="AE10" s="45" t="n">
        <f aca="false">100*AC10/AB10</f>
        <v>11.0670188586522</v>
      </c>
      <c r="AF10" s="45" t="n">
        <f aca="false">100*AD10/AB10</f>
        <v>10.5264451133361</v>
      </c>
      <c r="AG10" s="45" t="n">
        <f aca="false">IFERROR(100*ABS(AE10-AF10)/(AE10+AF10),0)</f>
        <v>2.50341374601734</v>
      </c>
      <c r="AH10" s="45" t="n">
        <f aca="false">2/(p_AdxN+1)*AG10+(1-2/(p_AdxN+1))*AH9</f>
        <v>19.4007785233158</v>
      </c>
      <c r="AI10" s="40" t="n">
        <f aca="false">I10*(1+p_ChPct)</f>
        <v>20.9844288694324</v>
      </c>
      <c r="AJ10" s="40" t="n">
        <f aca="false">I10*(1-p_ChPct)</f>
        <v>18.6088331483645</v>
      </c>
      <c r="AK10" s="40" t="n">
        <f aca="false">I10+1*Y10</f>
        <v>20.1749643422318</v>
      </c>
      <c r="AL10" s="40" t="n">
        <f aca="false">I10+2*Y10</f>
        <v>20.5532976755651</v>
      </c>
      <c r="AM10" s="40" t="n">
        <f aca="false">I10+3*Y10</f>
        <v>20.9316310088984</v>
      </c>
      <c r="AN10" s="40" t="n">
        <f aca="false">I10-1*Y10</f>
        <v>19.4182976755651</v>
      </c>
      <c r="AO10" s="40" t="n">
        <f aca="false">I10-2*Y10</f>
        <v>19.0399643422318</v>
      </c>
      <c r="AP10" s="40" t="n">
        <f aca="false">I10-3*Y10</f>
        <v>18.6616310088985</v>
      </c>
      <c r="AQ10" s="40" t="n">
        <f aca="true">MAX(OFFSET(C10,1-MIN(p_StochN,ROW()-4),0,MIN(p_StochN,ROW()-4),1))</f>
        <v>20.26</v>
      </c>
      <c r="AR10" s="40" t="n">
        <f aca="true">MIN(OFFSET(D10,1-MIN(p_StochN,ROW()-4),0,MIN(p_StochN,ROW()-4),1))</f>
        <v>19.42</v>
      </c>
      <c r="AS10" s="45" t="n">
        <f aca="false">IF(AQ10=AR10,50,100*(E10-AR10)/(AQ10-AR10))</f>
        <v>30.9523809523807</v>
      </c>
      <c r="AT10" s="45" t="n">
        <f aca="true">AVERAGE(OFFSET(AS10,1-MIN(p_StochSm,ROW()-4),0,MIN(p_StochSm,ROW()-4),1))</f>
        <v>22.3748473748473</v>
      </c>
      <c r="AU10" s="45" t="n">
        <f aca="true">AVERAGE(OFFSET(AT10,1-MIN(p_StochSm,ROW()-4),0,MIN(p_StochSm,ROW()-4),1))</f>
        <v>31.1994883423454</v>
      </c>
      <c r="AV10" s="41" t="n">
        <f aca="false">MAX(0,H10-D10)</f>
        <v>0.352115190099369</v>
      </c>
      <c r="AW10" s="41" t="n">
        <f aca="true">IF(COUNTIF(OFFSET(AV10,1-MIN(p_PenLb,ROW()-4),0,MIN(p_PenLb,ROW()-4),1),"&gt;0")&gt;0,SUM(OFFSET(AV10,1-MIN(p_PenLb,ROW()-4),0,MIN(p_PenLb,ROW()-4),1))/COUNTIF(OFFSET(AV10,1-MIN(p_PenLb,ROW()-4),0,MIN(p_PenLb,ROW()-4),1),"&gt;0"),0.5*Y10)</f>
        <v>0.232884809900641</v>
      </c>
      <c r="AX10" s="41" t="n">
        <f aca="false">2*H10-H9</f>
        <v>19.7567626584161</v>
      </c>
      <c r="AY10" s="40" t="n">
        <f aca="false">ROUND(MAX(AX10-AW10,0.01),2)</f>
        <v>19.52</v>
      </c>
      <c r="AZ10" s="40" t="n">
        <f aca="true">IF(MIN(p_StopLb,ROW()-4)&lt;2,D10,SMALL(OFFSET(D10,1-MIN(p_StopLb,ROW()-4),0,MIN(p_StopLb,ROW()-4),1),2))</f>
        <v>19.42</v>
      </c>
      <c r="BA10" s="40" t="n">
        <f aca="false">IF(MOD(ROUND(ROUNDDOWN(MIN(AZ10-0.01,AY10-p_StopAtr*Y10),2)*100,0),50)=0,ROUNDDOWN(MIN(AZ10-0.01,AY10-p_StopAtr*Y10),2)-0.01,ROUNDDOWN(MIN(AZ10-0.01,AY10-p_StopAtr*Y10),2))</f>
        <v>19.14</v>
      </c>
      <c r="BB10" s="40" t="n">
        <f aca="false">ROUND(AI10,2)</f>
        <v>20.98</v>
      </c>
      <c r="BC10" s="40" t="n">
        <f aca="false">IF(AY10-BA10&gt;0,(BB10-AY10)/(AY10-BA10),0)</f>
        <v>3.84210526315791</v>
      </c>
      <c r="BD10" s="42" t="n">
        <f aca="false">IF(N10&lt;0,1,0)</f>
        <v>1</v>
      </c>
      <c r="BE10" s="41" t="n">
        <f aca="false">IF(AND(BD10=1,BD9=0),N10,IF(BD10=1,MIN(BE9,N10),BE9))</f>
        <v>-0.0234128043712021</v>
      </c>
      <c r="BF10" s="40" t="n">
        <f aca="false">IF(AND(BD10=1,BD9=0),D10,IF(BD10=1,MIN(BF9,D10),BF9))</f>
        <v>19.42</v>
      </c>
      <c r="BG10" s="42" t="n">
        <f aca="false">IF(AND(BD10=1,BD9=0),ROW(),IF(BD10=1,IF(N10&lt;BE9,ROW(),BG9),BG9))</f>
        <v>10</v>
      </c>
      <c r="BH10" s="41" t="str">
        <f aca="false">IF(AND(BD10=1,BD9=0),BE9,BH9)</f>
        <v/>
      </c>
      <c r="BI10" s="40" t="str">
        <f aca="false">IF(AND(BD10=1,BD9=0),BF9,BI9)</f>
        <v/>
      </c>
      <c r="BJ10" s="42" t="str">
        <f aca="false">IF(AND(BD10=1,BD9=0),BG9,BJ9)</f>
        <v/>
      </c>
      <c r="BK10" s="42" t="str">
        <f aca="false">IF(AND(ISNUMBER(BG10),ISNUMBER(BJ10)),BG10-BJ10,"")</f>
        <v/>
      </c>
      <c r="BL10" s="42" t="n">
        <f aca="false">IF(AND(BD10=1,N10&gt;N9,ISNUMBER(BH10),ISNUMBER(BK10)),IF(AND(BE10&gt;BH10,BF10&lt;BI10,BK10&gt;=p_GapMin,BK10&lt;=p_GapMax),1,0),0)</f>
        <v>0</v>
      </c>
      <c r="BM10" s="42" t="n">
        <f aca="false">IF(AND(BL10=1,E10&gt;BI10),1,0)</f>
        <v>0</v>
      </c>
      <c r="BN10" s="42" t="n">
        <f aca="false">IF(BL10=1,IF(BE10&gt;=BH10*0.5,1,0),0)</f>
        <v>0</v>
      </c>
      <c r="BO10" s="42" t="n">
        <f aca="true">IF(V10&gt;MIN(OFFSET(V10,-MIN(p_FiLb-1,ROW()-5),0,MIN(p_FiLb-1,ROW()-5),1)),1,0)</f>
        <v>1</v>
      </c>
      <c r="BP10" s="44" t="str">
        <f aca="true">IF(COUNTIF(OFFSET(V10,1-MIN(100,ROW()-4),0,MIN(100,ROW()-4),1),"&lt;0")&gt;=5,AVERAGEIF(OFFSET(V10,1-MIN(100,ROW()-4),0,MIN(100,ROW()-4),1),"&lt;0"),"")</f>
        <v/>
      </c>
      <c r="BQ10" s="42" t="n">
        <f aca="false">IF(ISNUMBER(BP10),IF(AND(V10&lt;5*BP10,V10&gt;V9,E10&lt;AJ10),1,0),0)</f>
        <v>0</v>
      </c>
      <c r="BR10" s="44" t="n">
        <f aca="true">AVERAGE(OFFSET(F10,1-MIN(5,ROW()-4),0,MIN(5,ROW()-4),1))</f>
        <v>3576880</v>
      </c>
      <c r="BS10" s="42" t="n">
        <f aca="false">IFERROR(IF(MATCH(G10,周线!$A$5:$A$84,0)&lt;=1,"",INDEX(周线!$R$5:$R$84,MATCH(G10,周线!$A$5:$A$84,0)-1)),"")</f>
        <v>0</v>
      </c>
      <c r="BT10" s="42" t="n">
        <f aca="false">IFERROR(IF(MATCH(G10,周线!$A$5:$A$84,0)&lt;=1,"",INDEX(周线!$S$5:$S$84,MATCH(G10,周线!$A$5:$A$84,0)-1)),"")</f>
        <v>0</v>
      </c>
      <c r="BU10" s="42" t="n">
        <f aca="false">IFERROR(IF(MATCH(G10,周线!$A$5:$A$84,0)&lt;=1,"",INDEX(周线!$U$5:$U$84,MATCH(G10,周线!$A$5:$A$84,0)-1)),"")</f>
        <v>0</v>
      </c>
      <c r="BV10" s="42" t="n">
        <f aca="false">IF(AND(BS10=1,S10&lt;&gt;-1,V10&lt;0,BO10=1,E10&lt;=H10,E10&gt;=AJ10),1,0)</f>
        <v>0</v>
      </c>
      <c r="BW10" s="42" t="n">
        <f aca="false">BL10</f>
        <v>0</v>
      </c>
      <c r="BX10" s="42" t="n">
        <f aca="false">BQ10</f>
        <v>0</v>
      </c>
      <c r="BY10" s="42" t="n">
        <f aca="false">IF(BS10=1,10,0)+IF(BU10=1,5,IF(BU10=-1,0,3))+IF(BT10=1,5,0)+IF(AND(AE10&gt;AF10,AH10&gt;AH9),5,0)</f>
        <v>3</v>
      </c>
      <c r="BZ10" s="42" t="n">
        <f aca="false">IF(AND(E10&lt;=H10,E10&gt;=I10),10,IF(AND(E10&gt;=AJ10,E10&lt;I10),6,0))+IF(AND(V10&lt;0,BO10=1),8,0)+IF(AT10&lt;30,7,IF(AT10&lt;50,3,0))</f>
        <v>13</v>
      </c>
      <c r="CA10" s="42" t="n">
        <f aca="false">IF(AND(BV10=1,BW10=1),25,IF(BW10=1,22,IF(BV10=1,15,IF(BX10=1,12,0))))</f>
        <v>0</v>
      </c>
      <c r="CB10" s="42" t="n">
        <f aca="false">IF(W10&gt;0,6,0)+IF(F10&lt;BR10,4,0)</f>
        <v>0</v>
      </c>
      <c r="CC10" s="42" t="n">
        <f aca="false">IF(BC10&gt;=3,15,IF(BC10&gt;=p_RRmin,10,IF(BC10&gt;=1.5,4,0)))</f>
        <v>15</v>
      </c>
      <c r="CD10" s="42" t="n">
        <f aca="false">BY10+BZ10+CA10+CB10+CC10</f>
        <v>31</v>
      </c>
      <c r="CE10" s="42" t="n">
        <f aca="false">IF(AND(BS10&lt;&gt;1,BW10+BX10=0),1,0)</f>
        <v>1</v>
      </c>
      <c r="CF10" s="42" t="n">
        <f aca="false">IF(BU10=-1,1,0)</f>
        <v>0</v>
      </c>
      <c r="CG10" s="42" t="n">
        <f aca="false">IF(S10=-1,1,0)</f>
        <v>1</v>
      </c>
      <c r="CH10" s="42" t="n">
        <f aca="false">IF(BV10+BW10+BX10=0,1,0)</f>
        <v>1</v>
      </c>
      <c r="CI10" s="42" t="n">
        <f aca="false">IF(BC10&lt;p_RRmin,1,0)</f>
        <v>0</v>
      </c>
      <c r="CJ10" s="46" t="str">
        <f aca="false">IF(SUM(CE10:CI10)=0,IF(CD10&gt;=p_GradeA,"A",IF(CD10&gt;=p_GradeB,"B","C")),IF(AND(CI10=1,SUM(CE10:CH10)=0,CD10&gt;=p_GradeB),"B","C"))</f>
        <v>C</v>
      </c>
    </row>
    <row r="11" customFormat="false" ht="15" hidden="false" customHeight="false" outlineLevel="0" collapsed="false">
      <c r="A11" s="36" t="n">
        <v>45667</v>
      </c>
      <c r="B11" s="37" t="n">
        <v>19.73</v>
      </c>
      <c r="C11" s="37" t="n">
        <v>19.92</v>
      </c>
      <c r="D11" s="37" t="n">
        <v>19.62</v>
      </c>
      <c r="E11" s="37" t="n">
        <v>19.83</v>
      </c>
      <c r="F11" s="38" t="n">
        <v>3373900</v>
      </c>
      <c r="G11" s="39" t="n">
        <f aca="false">A11-WEEKDAY(A11,3)</f>
        <v>45663</v>
      </c>
      <c r="H11" s="40" t="n">
        <f aca="false">2/(p_EmaF+1)*E11+(1-2/(p_EmaF+1))*H10</f>
        <v>19.7803844486566</v>
      </c>
      <c r="I11" s="40" t="n">
        <f aca="false">2/(p_EmaS+1)*E11+(1-2/(p_EmaS+1))*I10</f>
        <v>19.7991027860171</v>
      </c>
      <c r="J11" s="41" t="n">
        <f aca="false">2/(p_MacdF+1)*E11+(1-2/(p_MacdF+1))*J10</f>
        <v>19.7776296099556</v>
      </c>
      <c r="K11" s="41" t="n">
        <f aca="false">2/(p_MacdS+1)*E11+(1-2/(p_MacdS+1))*K10</f>
        <v>19.7991027860171</v>
      </c>
      <c r="L11" s="41" t="n">
        <f aca="false">J11-K11</f>
        <v>-0.0214731760615194</v>
      </c>
      <c r="M11" s="41" t="n">
        <f aca="false">2/(p_MacdSig+1)*L11+(1-2/(p_MacdSig+1))*M10</f>
        <v>-0.00838302214884191</v>
      </c>
      <c r="N11" s="41" t="n">
        <f aca="false">L11-M11</f>
        <v>-0.0130901539126775</v>
      </c>
      <c r="O11" s="42" t="n">
        <f aca="false">IF(H11&gt;H10,1,0)</f>
        <v>1</v>
      </c>
      <c r="P11" s="42" t="n">
        <f aca="false">IF(H11&lt;H10,1,0)</f>
        <v>0</v>
      </c>
      <c r="Q11" s="42" t="n">
        <f aca="false">IF(N11&gt;N10,1,0)</f>
        <v>1</v>
      </c>
      <c r="R11" s="42" t="n">
        <f aca="false">IF(N11&lt;N10,1,0)</f>
        <v>0</v>
      </c>
      <c r="S11" s="42" t="n">
        <f aca="false">IF(AND(O11=1,Q11=1),1,IF(AND(P11=1,R11=1),-1,0))</f>
        <v>1</v>
      </c>
      <c r="T11" s="43" t="str">
        <f aca="false">IF(S11=1,"绿",IF(S11=-1,"红","蓝"))</f>
        <v>绿</v>
      </c>
      <c r="U11" s="44" t="n">
        <f aca="false">F11*(E11-E10)</f>
        <v>506084.999999995</v>
      </c>
      <c r="V11" s="44" t="n">
        <f aca="false">2/(p_FiS+1)*U11+(1-2/(p_FiS+1))*V10</f>
        <v>438646.90534979</v>
      </c>
      <c r="W11" s="44" t="n">
        <f aca="false">2/(p_FiL+1)*U11+(1-2/(p_FiL+1))*W10</f>
        <v>32956.3110353668</v>
      </c>
      <c r="X11" s="41" t="n">
        <f aca="false">MAX(C11-D11,ABS(C11-E10),ABS(D11-E10))</f>
        <v>0.300000000000001</v>
      </c>
      <c r="Y11" s="41" t="n">
        <f aca="true">AVERAGE(OFFSET(X11,1-MIN(p_AtrN,ROW()-4),0,MIN(p_AtrN,ROW()-4),1))</f>
        <v>0.367142857142857</v>
      </c>
      <c r="Z11" s="41" t="n">
        <f aca="false">IF(AND(C11-C10&gt;D10-D11,C11-C10&gt;0),C11-C10,0)</f>
        <v>0.150000000000002</v>
      </c>
      <c r="AA11" s="41" t="n">
        <f aca="false">IF(AND(D10-D11&gt;C11-C10,D10-D11&gt;0),D10-D11,0)</f>
        <v>0</v>
      </c>
      <c r="AB11" s="41" t="n">
        <f aca="false">2/(p_AdxN+1)*X11+(1-2/(p_AdxN+1))*AB10</f>
        <v>0.333432498363777</v>
      </c>
      <c r="AC11" s="41" t="n">
        <f aca="false">2/(p_AdxN+1)*Z11+(1-2/(p_AdxN+1))*AC10</f>
        <v>0.0535866008210866</v>
      </c>
      <c r="AD11" s="41" t="n">
        <f aca="false">2/(p_AdxN+1)*AA11+(1-2/(p_AdxN+1))*AD10</f>
        <v>0.0305872553102872</v>
      </c>
      <c r="AE11" s="45" t="n">
        <f aca="false">100*AC11/AB11</f>
        <v>16.071199143469</v>
      </c>
      <c r="AF11" s="45" t="n">
        <f aca="false">100*AD11/AB11</f>
        <v>9.17344753747318</v>
      </c>
      <c r="AG11" s="45" t="n">
        <f aca="false">IFERROR(100*ABS(AE11-AF11)/(AE11+AF11),0)</f>
        <v>27.3236210954899</v>
      </c>
      <c r="AH11" s="45" t="n">
        <f aca="false">2/(p_AdxN+1)*AG11+(1-2/(p_AdxN+1))*AH10</f>
        <v>20.5326131764835</v>
      </c>
      <c r="AI11" s="40" t="n">
        <f aca="false">I11*(1+p_ChPct)</f>
        <v>20.9870489531781</v>
      </c>
      <c r="AJ11" s="40" t="n">
        <f aca="false">I11*(1-p_ChPct)</f>
        <v>18.6111566188561</v>
      </c>
      <c r="AK11" s="40" t="n">
        <f aca="false">I11+1*Y11</f>
        <v>20.1662456431599</v>
      </c>
      <c r="AL11" s="40" t="n">
        <f aca="false">I11+2*Y11</f>
        <v>20.5333885003028</v>
      </c>
      <c r="AM11" s="40" t="n">
        <f aca="false">I11+3*Y11</f>
        <v>20.9005313574457</v>
      </c>
      <c r="AN11" s="40" t="n">
        <f aca="false">I11-1*Y11</f>
        <v>19.4319599288742</v>
      </c>
      <c r="AO11" s="40" t="n">
        <f aca="false">I11-2*Y11</f>
        <v>19.0648170717314</v>
      </c>
      <c r="AP11" s="40" t="n">
        <f aca="false">I11-3*Y11</f>
        <v>18.6976742145885</v>
      </c>
      <c r="AQ11" s="40" t="n">
        <f aca="true">MAX(OFFSET(C11,1-MIN(p_StochN,ROW()-4),0,MIN(p_StochN,ROW()-4),1))</f>
        <v>20.26</v>
      </c>
      <c r="AR11" s="40" t="n">
        <f aca="true">MIN(OFFSET(D11,1-MIN(p_StochN,ROW()-4),0,MIN(p_StochN,ROW()-4),1))</f>
        <v>19.42</v>
      </c>
      <c r="AS11" s="45" t="n">
        <f aca="false">IF(AQ11=AR11,50,100*(E11-AR11)/(AQ11-AR11))</f>
        <v>48.8095238095234</v>
      </c>
      <c r="AT11" s="45" t="n">
        <f aca="true">AVERAGE(OFFSET(AS11,1-MIN(p_StochSm,ROW()-4),0,MIN(p_StochSm,ROW()-4),1))</f>
        <v>30.9523809523807</v>
      </c>
      <c r="AU11" s="45" t="n">
        <f aca="true">AVERAGE(OFFSET(AT11,1-MIN(p_StochSm,ROW()-4),0,MIN(p_StochSm,ROW()-4),1))</f>
        <v>25.4985754985753</v>
      </c>
      <c r="AV11" s="41" t="n">
        <f aca="false">MAX(0,H11-D11)</f>
        <v>0.160384448656604</v>
      </c>
      <c r="AW11" s="41" t="n">
        <f aca="true">IF(COUNTIF(OFFSET(AV11,1-MIN(p_PenLb,ROW()-4),0,MIN(p_PenLb,ROW()-4),1),"&gt;0")&gt;0,SUM(OFFSET(AV11,1-MIN(p_PenLb,ROW()-4),0,MIN(p_PenLb,ROW()-4),1))/COUNTIF(OFFSET(AV11,1-MIN(p_PenLb,ROW()-4),0,MIN(p_PenLb,ROW()-4),1),"&gt;0"),0.5*Y11)</f>
        <v>0.222527615437207</v>
      </c>
      <c r="AX11" s="41" t="n">
        <f aca="false">2*H11-H10</f>
        <v>19.7886537072138</v>
      </c>
      <c r="AY11" s="40" t="n">
        <f aca="false">ROUND(MAX(AX11-AW11,0.01),2)</f>
        <v>19.57</v>
      </c>
      <c r="AZ11" s="40" t="n">
        <f aca="true">IF(MIN(p_StopLb,ROW()-4)&lt;2,D11,SMALL(OFFSET(D11,1-MIN(p_StopLb,ROW()-4),0,MIN(p_StopLb,ROW()-4),1),2))</f>
        <v>19.42</v>
      </c>
      <c r="BA11" s="40" t="n">
        <f aca="false">IF(MOD(ROUND(ROUNDDOWN(MIN(AZ11-0.01,AY11-p_StopAtr*Y11),2)*100,0),50)=0,ROUNDDOWN(MIN(AZ11-0.01,AY11-p_StopAtr*Y11),2)-0.01,ROUNDDOWN(MIN(AZ11-0.01,AY11-p_StopAtr*Y11),2))</f>
        <v>19.2</v>
      </c>
      <c r="BB11" s="40" t="n">
        <f aca="false">ROUND(AI11,2)</f>
        <v>20.99</v>
      </c>
      <c r="BC11" s="40" t="n">
        <f aca="false">IF(AY11-BA11&gt;0,(BB11-AY11)/(AY11-BA11),0)</f>
        <v>3.83783783783782</v>
      </c>
      <c r="BD11" s="42" t="n">
        <f aca="false">IF(N11&lt;0,1,0)</f>
        <v>1</v>
      </c>
      <c r="BE11" s="41" t="n">
        <f aca="false">IF(AND(BD11=1,BD10=0),N11,IF(BD11=1,MIN(BE10,N11),BE10))</f>
        <v>-0.0234128043712021</v>
      </c>
      <c r="BF11" s="40" t="n">
        <f aca="false">IF(AND(BD11=1,BD10=0),D11,IF(BD11=1,MIN(BF10,D11),BF10))</f>
        <v>19.42</v>
      </c>
      <c r="BG11" s="42" t="n">
        <f aca="false">IF(AND(BD11=1,BD10=0),ROW(),IF(BD11=1,IF(N11&lt;BE10,ROW(),BG10),BG10))</f>
        <v>10</v>
      </c>
      <c r="BH11" s="41" t="str">
        <f aca="false">IF(AND(BD11=1,BD10=0),BE10,BH10)</f>
        <v/>
      </c>
      <c r="BI11" s="40" t="str">
        <f aca="false">IF(AND(BD11=1,BD10=0),BF10,BI10)</f>
        <v/>
      </c>
      <c r="BJ11" s="42" t="str">
        <f aca="false">IF(AND(BD11=1,BD10=0),BG10,BJ10)</f>
        <v/>
      </c>
      <c r="BK11" s="42" t="str">
        <f aca="false">IF(AND(ISNUMBER(BG11),ISNUMBER(BJ11)),BG11-BJ11,"")</f>
        <v/>
      </c>
      <c r="BL11" s="42" t="n">
        <f aca="false">IF(AND(BD11=1,N11&gt;N10,ISNUMBER(BH11),ISNUMBER(BK11)),IF(AND(BE11&gt;BH11,BF11&lt;BI11,BK11&gt;=p_GapMin,BK11&lt;=p_GapMax),1,0),0)</f>
        <v>0</v>
      </c>
      <c r="BM11" s="42" t="n">
        <f aca="false">IF(AND(BL11=1,E11&gt;BI11),1,0)</f>
        <v>0</v>
      </c>
      <c r="BN11" s="42" t="n">
        <f aca="false">IF(BL11=1,IF(BE11&gt;=BH11*0.5,1,0),0)</f>
        <v>0</v>
      </c>
      <c r="BO11" s="42" t="n">
        <f aca="true">IF(V11&gt;MIN(OFFSET(V11,-MIN(p_FiLb-1,ROW()-5),0,MIN(p_FiLb-1,ROW()-5),1)),1,0)</f>
        <v>1</v>
      </c>
      <c r="BP11" s="44" t="str">
        <f aca="true">IF(COUNTIF(OFFSET(V11,1-MIN(100,ROW()-4),0,MIN(100,ROW()-4),1),"&lt;0")&gt;=5,AVERAGEIF(OFFSET(V11,1-MIN(100,ROW()-4),0,MIN(100,ROW()-4),1),"&lt;0"),"")</f>
        <v/>
      </c>
      <c r="BQ11" s="42" t="n">
        <f aca="false">IF(ISNUMBER(BP11),IF(AND(V11&lt;5*BP11,V11&gt;V10,E11&lt;AJ11),1,0),0)</f>
        <v>0</v>
      </c>
      <c r="BR11" s="44" t="n">
        <f aca="true">AVERAGE(OFFSET(F11,1-MIN(5,ROW()-4),0,MIN(5,ROW()-4),1))</f>
        <v>3687240</v>
      </c>
      <c r="BS11" s="42" t="n">
        <f aca="false">IFERROR(IF(MATCH(G11,周线!$A$5:$A$84,0)&lt;=1,"",INDEX(周线!$R$5:$R$84,MATCH(G11,周线!$A$5:$A$84,0)-1)),"")</f>
        <v>0</v>
      </c>
      <c r="BT11" s="42" t="n">
        <f aca="false">IFERROR(IF(MATCH(G11,周线!$A$5:$A$84,0)&lt;=1,"",INDEX(周线!$S$5:$S$84,MATCH(G11,周线!$A$5:$A$84,0)-1)),"")</f>
        <v>0</v>
      </c>
      <c r="BU11" s="42" t="n">
        <f aca="false">IFERROR(IF(MATCH(G11,周线!$A$5:$A$84,0)&lt;=1,"",INDEX(周线!$U$5:$U$84,MATCH(G11,周线!$A$5:$A$84,0)-1)),"")</f>
        <v>0</v>
      </c>
      <c r="BV11" s="42" t="n">
        <f aca="false">IF(AND(BS11=1,S11&lt;&gt;-1,V11&lt;0,BO11=1,E11&lt;=H11,E11&gt;=AJ11),1,0)</f>
        <v>0</v>
      </c>
      <c r="BW11" s="42" t="n">
        <f aca="false">BL11</f>
        <v>0</v>
      </c>
      <c r="BX11" s="42" t="n">
        <f aca="false">BQ11</f>
        <v>0</v>
      </c>
      <c r="BY11" s="42" t="n">
        <f aca="false">IF(BS11=1,10,0)+IF(BU11=1,5,IF(BU11=-1,0,3))+IF(BT11=1,5,0)+IF(AND(AE11&gt;AF11,AH11&gt;AH10),5,0)</f>
        <v>8</v>
      </c>
      <c r="BZ11" s="42" t="n">
        <f aca="false">IF(AND(E11&lt;=H11,E11&gt;=I11),10,IF(AND(E11&gt;=AJ11,E11&lt;I11),6,0))+IF(AND(V11&lt;0,BO11=1),8,0)+IF(AT11&lt;30,7,IF(AT11&lt;50,3,0))</f>
        <v>3</v>
      </c>
      <c r="CA11" s="42" t="n">
        <f aca="false">IF(AND(BV11=1,BW11=1),25,IF(BW11=1,22,IF(BV11=1,15,IF(BX11=1,12,0))))</f>
        <v>0</v>
      </c>
      <c r="CB11" s="42" t="n">
        <f aca="false">IF(W11&gt;0,6,0)+IF(F11&lt;BR11,4,0)</f>
        <v>10</v>
      </c>
      <c r="CC11" s="42" t="n">
        <f aca="false">IF(BC11&gt;=3,15,IF(BC11&gt;=p_RRmin,10,IF(BC11&gt;=1.5,4,0)))</f>
        <v>15</v>
      </c>
      <c r="CD11" s="42" t="n">
        <f aca="false">BY11+BZ11+CA11+CB11+CC11</f>
        <v>36</v>
      </c>
      <c r="CE11" s="42" t="n">
        <f aca="false">IF(AND(BS11&lt;&gt;1,BW11+BX11=0),1,0)</f>
        <v>1</v>
      </c>
      <c r="CF11" s="42" t="n">
        <f aca="false">IF(BU11=-1,1,0)</f>
        <v>0</v>
      </c>
      <c r="CG11" s="42" t="n">
        <f aca="false">IF(S11=-1,1,0)</f>
        <v>0</v>
      </c>
      <c r="CH11" s="42" t="n">
        <f aca="false">IF(BV11+BW11+BX11=0,1,0)</f>
        <v>1</v>
      </c>
      <c r="CI11" s="42" t="n">
        <f aca="false">IF(BC11&lt;p_RRmin,1,0)</f>
        <v>0</v>
      </c>
      <c r="CJ11" s="46" t="str">
        <f aca="false">IF(SUM(CE11:CI11)=0,IF(CD11&gt;=p_GradeA,"A",IF(CD11&gt;=p_GradeB,"B","C")),IF(AND(CI11=1,SUM(CE11:CH11)=0,CD11&gt;=p_GradeB),"B","C"))</f>
        <v>C</v>
      </c>
    </row>
    <row r="12" customFormat="false" ht="15" hidden="false" customHeight="false" outlineLevel="0" collapsed="false">
      <c r="A12" s="36" t="n">
        <v>45670</v>
      </c>
      <c r="B12" s="37" t="n">
        <v>19.9</v>
      </c>
      <c r="C12" s="37" t="n">
        <v>20</v>
      </c>
      <c r="D12" s="37" t="n">
        <v>19.87</v>
      </c>
      <c r="E12" s="37" t="n">
        <v>19.97</v>
      </c>
      <c r="F12" s="38" t="n">
        <v>3313700</v>
      </c>
      <c r="G12" s="39" t="n">
        <f aca="false">A12-WEEKDAY(A12,3)</f>
        <v>45670</v>
      </c>
      <c r="H12" s="40" t="n">
        <f aca="false">2/(p_EmaF+1)*E12+(1-2/(p_EmaF+1))*H11</f>
        <v>19.8074723845628</v>
      </c>
      <c r="I12" s="40" t="n">
        <f aca="false">2/(p_EmaS+1)*E12+(1-2/(p_EmaS+1))*I11</f>
        <v>19.8117618389047</v>
      </c>
      <c r="J12" s="41" t="n">
        <f aca="false">2/(p_MacdF+1)*E12+(1-2/(p_MacdF+1))*J11</f>
        <v>19.8072250545778</v>
      </c>
      <c r="K12" s="41" t="n">
        <f aca="false">2/(p_MacdS+1)*E12+(1-2/(p_MacdS+1))*K11</f>
        <v>19.8117618389047</v>
      </c>
      <c r="L12" s="41" t="n">
        <f aca="false">J12-K12</f>
        <v>-0.00453678432692328</v>
      </c>
      <c r="M12" s="41" t="n">
        <f aca="false">2/(p_MacdSig+1)*L12+(1-2/(p_MacdSig+1))*M11</f>
        <v>-0.00761377458445819</v>
      </c>
      <c r="N12" s="41" t="n">
        <f aca="false">L12-M12</f>
        <v>0.0030769902575349</v>
      </c>
      <c r="O12" s="42" t="n">
        <f aca="false">IF(H12&gt;H11,1,0)</f>
        <v>1</v>
      </c>
      <c r="P12" s="42" t="n">
        <f aca="false">IF(H12&lt;H11,1,0)</f>
        <v>0</v>
      </c>
      <c r="Q12" s="42" t="n">
        <f aca="false">IF(N12&gt;N11,1,0)</f>
        <v>1</v>
      </c>
      <c r="R12" s="42" t="n">
        <f aca="false">IF(N12&lt;N11,1,0)</f>
        <v>0</v>
      </c>
      <c r="S12" s="42" t="n">
        <f aca="false">IF(AND(O12=1,Q12=1),1,IF(AND(P12=1,R12=1),-1,0))</f>
        <v>1</v>
      </c>
      <c r="T12" s="43" t="str">
        <f aca="false">IF(S12=1,"绿",IF(S12=-1,"红","蓝"))</f>
        <v>绿</v>
      </c>
      <c r="U12" s="44" t="n">
        <f aca="false">F12*(E12-E11)</f>
        <v>463918.000000002</v>
      </c>
      <c r="V12" s="44" t="n">
        <f aca="false">2/(p_FiS+1)*U12+(1-2/(p_FiS+1))*V11</f>
        <v>455494.301783265</v>
      </c>
      <c r="W12" s="44" t="n">
        <f aca="false">2/(p_FiL+1)*U12+(1-2/(p_FiL+1))*W11</f>
        <v>94522.2666017432</v>
      </c>
      <c r="X12" s="41" t="n">
        <f aca="false">MAX(C12-D12,ABS(C12-E11),ABS(D12-E11))</f>
        <v>0.170000000000002</v>
      </c>
      <c r="Y12" s="41" t="n">
        <f aca="true">AVERAGE(OFFSET(X12,1-MIN(p_AtrN,ROW()-4),0,MIN(p_AtrN,ROW()-4),1))</f>
        <v>0.3425</v>
      </c>
      <c r="Z12" s="41" t="n">
        <f aca="false">IF(AND(C12-C11&gt;D11-D12,C12-C11&gt;0),C12-C11,0)</f>
        <v>0.0799999999999983</v>
      </c>
      <c r="AA12" s="41" t="n">
        <f aca="false">IF(AND(D11-D12&gt;C12-C11,D11-D12&gt;0),D11-D12,0)</f>
        <v>0</v>
      </c>
      <c r="AB12" s="41" t="n">
        <f aca="false">2/(p_AdxN+1)*X12+(1-2/(p_AdxN+1))*AB11</f>
        <v>0.310084998597524</v>
      </c>
      <c r="AC12" s="41" t="n">
        <f aca="false">2/(p_AdxN+1)*Z12+(1-2/(p_AdxN+1))*AC11</f>
        <v>0.0573599435609311</v>
      </c>
      <c r="AD12" s="41" t="n">
        <f aca="false">2/(p_AdxN+1)*AA12+(1-2/(p_AdxN+1))*AD11</f>
        <v>0.0262176474088176</v>
      </c>
      <c r="AE12" s="45" t="n">
        <f aca="false">100*AC12/AB12</f>
        <v>18.4981356145454</v>
      </c>
      <c r="AF12" s="45" t="n">
        <f aca="false">100*AD12/AB12</f>
        <v>8.45498735101563</v>
      </c>
      <c r="AG12" s="45" t="n">
        <f aca="false">IFERROR(100*ABS(AE12-AF12)/(AE12+AF12),0)</f>
        <v>37.2615383989539</v>
      </c>
      <c r="AH12" s="45" t="n">
        <f aca="false">2/(p_AdxN+1)*AG12+(1-2/(p_AdxN+1))*AH11</f>
        <v>22.9224596368364</v>
      </c>
      <c r="AI12" s="40" t="n">
        <f aca="false">I12*(1+p_ChPct)</f>
        <v>21.000467549239</v>
      </c>
      <c r="AJ12" s="40" t="n">
        <f aca="false">I12*(1-p_ChPct)</f>
        <v>18.6230561285704</v>
      </c>
      <c r="AK12" s="40" t="n">
        <f aca="false">I12+1*Y12</f>
        <v>20.1542618389047</v>
      </c>
      <c r="AL12" s="40" t="n">
        <f aca="false">I12+2*Y12</f>
        <v>20.4967618389047</v>
      </c>
      <c r="AM12" s="40" t="n">
        <f aca="false">I12+3*Y12</f>
        <v>20.8392618389047</v>
      </c>
      <c r="AN12" s="40" t="n">
        <f aca="false">I12-1*Y12</f>
        <v>19.4692618389047</v>
      </c>
      <c r="AO12" s="40" t="n">
        <f aca="false">I12-2*Y12</f>
        <v>19.1267618389047</v>
      </c>
      <c r="AP12" s="40" t="n">
        <f aca="false">I12-3*Y12</f>
        <v>18.7842618389047</v>
      </c>
      <c r="AQ12" s="40" t="n">
        <f aca="true">MAX(OFFSET(C12,1-MIN(p_StochN,ROW()-4),0,MIN(p_StochN,ROW()-4),1))</f>
        <v>20</v>
      </c>
      <c r="AR12" s="40" t="n">
        <f aca="true">MIN(OFFSET(D12,1-MIN(p_StochN,ROW()-4),0,MIN(p_StochN,ROW()-4),1))</f>
        <v>19.42</v>
      </c>
      <c r="AS12" s="45" t="n">
        <f aca="false">IF(AQ12=AR12,50,100*(E12-AR12)/(AQ12-AR12))</f>
        <v>94.8275862068963</v>
      </c>
      <c r="AT12" s="45" t="n">
        <f aca="true">AVERAGE(OFFSET(AS12,1-MIN(p_StochSm,ROW()-4),0,MIN(p_StochSm,ROW()-4),1))</f>
        <v>58.1964969896002</v>
      </c>
      <c r="AU12" s="45" t="n">
        <f aca="true">AVERAGE(OFFSET(AT12,1-MIN(p_StochSm,ROW()-4),0,MIN(p_StochSm,ROW()-4),1))</f>
        <v>37.1745751056094</v>
      </c>
      <c r="AV12" s="41" t="n">
        <f aca="false">MAX(0,H12-D12)</f>
        <v>0</v>
      </c>
      <c r="AW12" s="41" t="n">
        <f aca="true">IF(COUNTIF(OFFSET(AV12,1-MIN(p_PenLb,ROW()-4),0,MIN(p_PenLb,ROW()-4),1),"&gt;0")&gt;0,SUM(OFFSET(AV12,1-MIN(p_PenLb,ROW()-4),0,MIN(p_PenLb,ROW()-4),1))/COUNTIF(OFFSET(AV12,1-MIN(p_PenLb,ROW()-4),0,MIN(p_PenLb,ROW()-4),1),"&gt;0"),0.5*Y12)</f>
        <v>0.222527615437207</v>
      </c>
      <c r="AX12" s="41" t="n">
        <f aca="false">2*H12-H11</f>
        <v>19.834560320469</v>
      </c>
      <c r="AY12" s="40" t="n">
        <f aca="false">ROUND(MAX(AX12-AW12,0.01),2)</f>
        <v>19.61</v>
      </c>
      <c r="AZ12" s="40" t="n">
        <f aca="true">IF(MIN(p_StopLb,ROW()-4)&lt;2,D12,SMALL(OFFSET(D12,1-MIN(p_StopLb,ROW()-4),0,MIN(p_StopLb,ROW()-4),1),2))</f>
        <v>19.42</v>
      </c>
      <c r="BA12" s="40" t="n">
        <f aca="false">IF(MOD(ROUND(ROUNDDOWN(MIN(AZ12-0.01,AY12-p_StopAtr*Y12),2)*100,0),50)=0,ROUNDDOWN(MIN(AZ12-0.01,AY12-p_StopAtr*Y12),2)-0.01,ROUNDDOWN(MIN(AZ12-0.01,AY12-p_StopAtr*Y12),2))</f>
        <v>19.26</v>
      </c>
      <c r="BB12" s="40" t="n">
        <f aca="false">ROUND(AI12,2)</f>
        <v>21</v>
      </c>
      <c r="BC12" s="40" t="n">
        <f aca="false">IF(AY12-BA12&gt;0,(BB12-AY12)/(AY12-BA12),0)</f>
        <v>3.9714285714286</v>
      </c>
      <c r="BD12" s="42" t="n">
        <f aca="false">IF(N12&lt;0,1,0)</f>
        <v>0</v>
      </c>
      <c r="BE12" s="41" t="n">
        <f aca="false">IF(AND(BD12=1,BD11=0),N12,IF(BD12=1,MIN(BE11,N12),BE11))</f>
        <v>-0.0234128043712021</v>
      </c>
      <c r="BF12" s="40" t="n">
        <f aca="false">IF(AND(BD12=1,BD11=0),D12,IF(BD12=1,MIN(BF11,D12),BF11))</f>
        <v>19.42</v>
      </c>
      <c r="BG12" s="42" t="n">
        <f aca="false">IF(AND(BD12=1,BD11=0),ROW(),IF(BD12=1,IF(N12&lt;BE11,ROW(),BG11),BG11))</f>
        <v>10</v>
      </c>
      <c r="BH12" s="41" t="str">
        <f aca="false">IF(AND(BD12=1,BD11=0),BE11,BH11)</f>
        <v/>
      </c>
      <c r="BI12" s="40" t="str">
        <f aca="false">IF(AND(BD12=1,BD11=0),BF11,BI11)</f>
        <v/>
      </c>
      <c r="BJ12" s="42" t="str">
        <f aca="false">IF(AND(BD12=1,BD11=0),BG11,BJ11)</f>
        <v/>
      </c>
      <c r="BK12" s="42" t="str">
        <f aca="false">IF(AND(ISNUMBER(BG12),ISNUMBER(BJ12)),BG12-BJ12,"")</f>
        <v/>
      </c>
      <c r="BL12" s="42" t="n">
        <f aca="false">IF(AND(BD12=1,N12&gt;N11,ISNUMBER(BH12),ISNUMBER(BK12)),IF(AND(BE12&gt;BH12,BF12&lt;BI12,BK12&gt;=p_GapMin,BK12&lt;=p_GapMax),1,0),0)</f>
        <v>0</v>
      </c>
      <c r="BM12" s="42" t="n">
        <f aca="false">IF(AND(BL12=1,E12&gt;BI12),1,0)</f>
        <v>0</v>
      </c>
      <c r="BN12" s="42" t="n">
        <f aca="false">IF(BL12=1,IF(BE12&gt;=BH12*0.5,1,0),0)</f>
        <v>0</v>
      </c>
      <c r="BO12" s="42" t="n">
        <f aca="true">IF(V12&gt;MIN(OFFSET(V12,-MIN(p_FiLb-1,ROW()-5),0,MIN(p_FiLb-1,ROW()-5),1)),1,0)</f>
        <v>1</v>
      </c>
      <c r="BP12" s="44" t="str">
        <f aca="true">IF(COUNTIF(OFFSET(V12,1-MIN(100,ROW()-4),0,MIN(100,ROW()-4),1),"&lt;0")&gt;=5,AVERAGEIF(OFFSET(V12,1-MIN(100,ROW()-4),0,MIN(100,ROW()-4),1),"&lt;0"),"")</f>
        <v/>
      </c>
      <c r="BQ12" s="42" t="n">
        <f aca="false">IF(ISNUMBER(BP12),IF(AND(V12&lt;5*BP12,V12&gt;V11,E12&lt;AJ12),1,0),0)</f>
        <v>0</v>
      </c>
      <c r="BR12" s="44" t="n">
        <f aca="true">AVERAGE(OFFSET(F12,1-MIN(5,ROW()-4),0,MIN(5,ROW()-4),1))</f>
        <v>3581100</v>
      </c>
      <c r="BS12" s="42" t="n">
        <f aca="false">IFERROR(IF(MATCH(G12,周线!$A$5:$A$84,0)&lt;=1,"",INDEX(周线!$R$5:$R$84,MATCH(G12,周线!$A$5:$A$84,0)-1)),"")</f>
        <v>0</v>
      </c>
      <c r="BT12" s="42" t="n">
        <f aca="false">IFERROR(IF(MATCH(G12,周线!$A$5:$A$84,0)&lt;=1,"",INDEX(周线!$S$5:$S$84,MATCH(G12,周线!$A$5:$A$84,0)-1)),"")</f>
        <v>0</v>
      </c>
      <c r="BU12" s="42" t="n">
        <f aca="false">IFERROR(IF(MATCH(G12,周线!$A$5:$A$84,0)&lt;=1,"",INDEX(周线!$U$5:$U$84,MATCH(G12,周线!$A$5:$A$84,0)-1)),"")</f>
        <v>-1</v>
      </c>
      <c r="BV12" s="42" t="n">
        <f aca="false">IF(AND(BS12=1,S12&lt;&gt;-1,V12&lt;0,BO12=1,E12&lt;=H12,E12&gt;=AJ12),1,0)</f>
        <v>0</v>
      </c>
      <c r="BW12" s="42" t="n">
        <f aca="false">BL12</f>
        <v>0</v>
      </c>
      <c r="BX12" s="42" t="n">
        <f aca="false">BQ12</f>
        <v>0</v>
      </c>
      <c r="BY12" s="42" t="n">
        <f aca="false">IF(BS12=1,10,0)+IF(BU12=1,5,IF(BU12=-1,0,3))+IF(BT12=1,5,0)+IF(AND(AE12&gt;AF12,AH12&gt;AH11),5,0)</f>
        <v>5</v>
      </c>
      <c r="BZ12" s="42" t="n">
        <f aca="false">IF(AND(E12&lt;=H12,E12&gt;=I12),10,IF(AND(E12&gt;=AJ12,E12&lt;I12),6,0))+IF(AND(V12&lt;0,BO12=1),8,0)+IF(AT12&lt;30,7,IF(AT12&lt;50,3,0))</f>
        <v>0</v>
      </c>
      <c r="CA12" s="42" t="n">
        <f aca="false">IF(AND(BV12=1,BW12=1),25,IF(BW12=1,22,IF(BV12=1,15,IF(BX12=1,12,0))))</f>
        <v>0</v>
      </c>
      <c r="CB12" s="42" t="n">
        <f aca="false">IF(W12&gt;0,6,0)+IF(F12&lt;BR12,4,0)</f>
        <v>10</v>
      </c>
      <c r="CC12" s="42" t="n">
        <f aca="false">IF(BC12&gt;=3,15,IF(BC12&gt;=p_RRmin,10,IF(BC12&gt;=1.5,4,0)))</f>
        <v>15</v>
      </c>
      <c r="CD12" s="42" t="n">
        <f aca="false">BY12+BZ12+CA12+CB12+CC12</f>
        <v>30</v>
      </c>
      <c r="CE12" s="42" t="n">
        <f aca="false">IF(AND(BS12&lt;&gt;1,BW12+BX12=0),1,0)</f>
        <v>1</v>
      </c>
      <c r="CF12" s="42" t="n">
        <f aca="false">IF(BU12=-1,1,0)</f>
        <v>1</v>
      </c>
      <c r="CG12" s="42" t="n">
        <f aca="false">IF(S12=-1,1,0)</f>
        <v>0</v>
      </c>
      <c r="CH12" s="42" t="n">
        <f aca="false">IF(BV12+BW12+BX12=0,1,0)</f>
        <v>1</v>
      </c>
      <c r="CI12" s="42" t="n">
        <f aca="false">IF(BC12&lt;p_RRmin,1,0)</f>
        <v>0</v>
      </c>
      <c r="CJ12" s="46" t="str">
        <f aca="false">IF(SUM(CE12:CI12)=0,IF(CD12&gt;=p_GradeA,"A",IF(CD12&gt;=p_GradeB,"B","C")),IF(AND(CI12=1,SUM(CE12:CH12)=0,CD12&gt;=p_GradeB),"B","C"))</f>
        <v>C</v>
      </c>
    </row>
    <row r="13" customFormat="false" ht="15" hidden="false" customHeight="false" outlineLevel="0" collapsed="false">
      <c r="A13" s="36" t="n">
        <v>45671</v>
      </c>
      <c r="B13" s="37" t="n">
        <v>20.03</v>
      </c>
      <c r="C13" s="37" t="n">
        <v>20.15</v>
      </c>
      <c r="D13" s="37" t="n">
        <v>19.98</v>
      </c>
      <c r="E13" s="37" t="n">
        <v>20.11</v>
      </c>
      <c r="F13" s="38" t="n">
        <v>2717800</v>
      </c>
      <c r="G13" s="39" t="n">
        <f aca="false">A13-WEEKDAY(A13,3)</f>
        <v>45670</v>
      </c>
      <c r="H13" s="40" t="n">
        <f aca="false">2/(p_EmaF+1)*E13+(1-2/(p_EmaF+1))*H12</f>
        <v>19.8506906153396</v>
      </c>
      <c r="I13" s="40" t="n">
        <f aca="false">2/(p_EmaS+1)*E13+(1-2/(p_EmaS+1))*I12</f>
        <v>19.8338535545414</v>
      </c>
      <c r="J13" s="41" t="n">
        <f aca="false">2/(p_MacdF+1)*E13+(1-2/(p_MacdF+1))*J12</f>
        <v>19.853805815412</v>
      </c>
      <c r="K13" s="41" t="n">
        <f aca="false">2/(p_MacdS+1)*E13+(1-2/(p_MacdS+1))*K12</f>
        <v>19.8338535545414</v>
      </c>
      <c r="L13" s="41" t="n">
        <f aca="false">J13-K13</f>
        <v>0.0199522608705784</v>
      </c>
      <c r="M13" s="41" t="n">
        <f aca="false">2/(p_MacdSig+1)*L13+(1-2/(p_MacdSig+1))*M12</f>
        <v>-0.00210056749345086</v>
      </c>
      <c r="N13" s="41" t="n">
        <f aca="false">L13-M13</f>
        <v>0.0220528283640293</v>
      </c>
      <c r="O13" s="42" t="n">
        <f aca="false">IF(H13&gt;H12,1,0)</f>
        <v>1</v>
      </c>
      <c r="P13" s="42" t="n">
        <f aca="false">IF(H13&lt;H12,1,0)</f>
        <v>0</v>
      </c>
      <c r="Q13" s="42" t="n">
        <f aca="false">IF(N13&gt;N12,1,0)</f>
        <v>1</v>
      </c>
      <c r="R13" s="42" t="n">
        <f aca="false">IF(N13&lt;N12,1,0)</f>
        <v>0</v>
      </c>
      <c r="S13" s="42" t="n">
        <f aca="false">IF(AND(O13=1,Q13=1),1,IF(AND(P13=1,R13=1),-1,0))</f>
        <v>1</v>
      </c>
      <c r="T13" s="43" t="str">
        <f aca="false">IF(S13=1,"绿",IF(S13=-1,"红","蓝"))</f>
        <v>绿</v>
      </c>
      <c r="U13" s="44" t="n">
        <f aca="false">F13*(E13-E12)</f>
        <v>380492.000000002</v>
      </c>
      <c r="V13" s="44" t="n">
        <f aca="false">2/(p_FiS+1)*U13+(1-2/(p_FiS+1))*V12</f>
        <v>405492.767261089</v>
      </c>
      <c r="W13" s="44" t="n">
        <f aca="false">2/(p_FiL+1)*U13+(1-2/(p_FiL+1))*W12</f>
        <v>135375.085658637</v>
      </c>
      <c r="X13" s="41" t="n">
        <f aca="false">MAX(C13-D13,ABS(C13-E12),ABS(D13-E12))</f>
        <v>0.18</v>
      </c>
      <c r="Y13" s="41" t="n">
        <f aca="true">AVERAGE(OFFSET(X13,1-MIN(p_AtrN,ROW()-4),0,MIN(p_AtrN,ROW()-4),1))</f>
        <v>0.324444444444444</v>
      </c>
      <c r="Z13" s="41" t="n">
        <f aca="false">IF(AND(C13-C12&gt;D12-D13,C13-C12&gt;0),C13-C12,0)</f>
        <v>0.149999999999999</v>
      </c>
      <c r="AA13" s="41" t="n">
        <f aca="false">IF(AND(D12-D13&gt;C13-C12,D12-D13&gt;0),D12-D13,0)</f>
        <v>0</v>
      </c>
      <c r="AB13" s="41" t="n">
        <f aca="false">2/(p_AdxN+1)*X13+(1-2/(p_AdxN+1))*AB12</f>
        <v>0.291501427369306</v>
      </c>
      <c r="AC13" s="41" t="n">
        <f aca="false">2/(p_AdxN+1)*Z13+(1-2/(p_AdxN+1))*AC12</f>
        <v>0.0705942373379408</v>
      </c>
      <c r="AD13" s="41" t="n">
        <f aca="false">2/(p_AdxN+1)*AA13+(1-2/(p_AdxN+1))*AD12</f>
        <v>0.022472269207558</v>
      </c>
      <c r="AE13" s="45" t="n">
        <f aca="false">100*AC13/AB13</f>
        <v>24.217458547297</v>
      </c>
      <c r="AF13" s="45" t="n">
        <f aca="false">100*AD13/AB13</f>
        <v>7.70914551272081</v>
      </c>
      <c r="AG13" s="45" t="n">
        <f aca="false">IFERROR(100*ABS(AE13-AF13)/(AE13+AF13),0)</f>
        <v>51.7070747754529</v>
      </c>
      <c r="AH13" s="45" t="n">
        <f aca="false">2/(p_AdxN+1)*AG13+(1-2/(p_AdxN+1))*AH12</f>
        <v>27.0345475137817</v>
      </c>
      <c r="AI13" s="40" t="n">
        <f aca="false">I13*(1+p_ChPct)</f>
        <v>21.0238847678139</v>
      </c>
      <c r="AJ13" s="40" t="n">
        <f aca="false">I13*(1-p_ChPct)</f>
        <v>18.6438223412689</v>
      </c>
      <c r="AK13" s="40" t="n">
        <f aca="false">I13+1*Y13</f>
        <v>20.1582979989858</v>
      </c>
      <c r="AL13" s="40" t="n">
        <f aca="false">I13+2*Y13</f>
        <v>20.4827424434303</v>
      </c>
      <c r="AM13" s="40" t="n">
        <f aca="false">I13+3*Y13</f>
        <v>20.8071868878747</v>
      </c>
      <c r="AN13" s="40" t="n">
        <f aca="false">I13-1*Y13</f>
        <v>19.5094091100969</v>
      </c>
      <c r="AO13" s="40" t="n">
        <f aca="false">I13-2*Y13</f>
        <v>19.1849646656525</v>
      </c>
      <c r="AP13" s="40" t="n">
        <f aca="false">I13-3*Y13</f>
        <v>18.8605202212081</v>
      </c>
      <c r="AQ13" s="40" t="n">
        <f aca="true">MAX(OFFSET(C13,1-MIN(p_StochN,ROW()-4),0,MIN(p_StochN,ROW()-4),1))</f>
        <v>20.15</v>
      </c>
      <c r="AR13" s="40" t="n">
        <f aca="true">MIN(OFFSET(D13,1-MIN(p_StochN,ROW()-4),0,MIN(p_StochN,ROW()-4),1))</f>
        <v>19.42</v>
      </c>
      <c r="AS13" s="45" t="n">
        <f aca="false">IF(AQ13=AR13,50,100*(E13-AR13)/(AQ13-AR13))</f>
        <v>94.5205479452056</v>
      </c>
      <c r="AT13" s="45" t="n">
        <f aca="true">AVERAGE(OFFSET(AS13,1-MIN(p_StochSm,ROW()-4),0,MIN(p_StochSm,ROW()-4),1))</f>
        <v>79.3858859872084</v>
      </c>
      <c r="AU13" s="45" t="n">
        <f aca="true">AVERAGE(OFFSET(AT13,1-MIN(p_StochSm,ROW()-4),0,MIN(p_StochSm,ROW()-4),1))</f>
        <v>56.1782546430631</v>
      </c>
      <c r="AV13" s="41" t="n">
        <f aca="false">MAX(0,H13-D13)</f>
        <v>0</v>
      </c>
      <c r="AW13" s="41" t="n">
        <f aca="true">IF(COUNTIF(OFFSET(AV13,1-MIN(p_PenLb,ROW()-4),0,MIN(p_PenLb,ROW()-4),1),"&gt;0")&gt;0,SUM(OFFSET(AV13,1-MIN(p_PenLb,ROW()-4),0,MIN(p_PenLb,ROW()-4),1))/COUNTIF(OFFSET(AV13,1-MIN(p_PenLb,ROW()-4),0,MIN(p_PenLb,ROW()-4),1),"&gt;0"),0.5*Y13)</f>
        <v>0.222527615437207</v>
      </c>
      <c r="AX13" s="41" t="n">
        <f aca="false">2*H13-H12</f>
        <v>19.8939088461163</v>
      </c>
      <c r="AY13" s="40" t="n">
        <f aca="false">ROUND(MAX(AX13-AW13,0.01),2)</f>
        <v>19.67</v>
      </c>
      <c r="AZ13" s="40" t="n">
        <f aca="true">IF(MIN(p_StopLb,ROW()-4)&lt;2,D13,SMALL(OFFSET(D13,1-MIN(p_StopLb,ROW()-4),0,MIN(p_StopLb,ROW()-4),1),2))</f>
        <v>19.42</v>
      </c>
      <c r="BA13" s="40" t="n">
        <f aca="false">IF(MOD(ROUND(ROUNDDOWN(MIN(AZ13-0.01,AY13-p_StopAtr*Y13),2)*100,0),50)=0,ROUNDDOWN(MIN(AZ13-0.01,AY13-p_StopAtr*Y13),2)-0.01,ROUNDDOWN(MIN(AZ13-0.01,AY13-p_StopAtr*Y13),2))</f>
        <v>19.34</v>
      </c>
      <c r="BB13" s="40" t="n">
        <f aca="false">ROUND(AI13,2)</f>
        <v>21.02</v>
      </c>
      <c r="BC13" s="40" t="n">
        <f aca="false">IF(AY13-BA13&gt;0,(BB13-AY13)/(AY13-BA13),0)</f>
        <v>4.09090909090906</v>
      </c>
      <c r="BD13" s="42" t="n">
        <f aca="false">IF(N13&lt;0,1,0)</f>
        <v>0</v>
      </c>
      <c r="BE13" s="41" t="n">
        <f aca="false">IF(AND(BD13=1,BD12=0),N13,IF(BD13=1,MIN(BE12,N13),BE12))</f>
        <v>-0.0234128043712021</v>
      </c>
      <c r="BF13" s="40" t="n">
        <f aca="false">IF(AND(BD13=1,BD12=0),D13,IF(BD13=1,MIN(BF12,D13),BF12))</f>
        <v>19.42</v>
      </c>
      <c r="BG13" s="42" t="n">
        <f aca="false">IF(AND(BD13=1,BD12=0),ROW(),IF(BD13=1,IF(N13&lt;BE12,ROW(),BG12),BG12))</f>
        <v>10</v>
      </c>
      <c r="BH13" s="41" t="str">
        <f aca="false">IF(AND(BD13=1,BD12=0),BE12,BH12)</f>
        <v/>
      </c>
      <c r="BI13" s="40" t="str">
        <f aca="false">IF(AND(BD13=1,BD12=0),BF12,BI12)</f>
        <v/>
      </c>
      <c r="BJ13" s="42" t="str">
        <f aca="false">IF(AND(BD13=1,BD12=0),BG12,BJ12)</f>
        <v/>
      </c>
      <c r="BK13" s="42" t="str">
        <f aca="false">IF(AND(ISNUMBER(BG13),ISNUMBER(BJ13)),BG13-BJ13,"")</f>
        <v/>
      </c>
      <c r="BL13" s="42" t="n">
        <f aca="false">IF(AND(BD13=1,N13&gt;N12,ISNUMBER(BH13),ISNUMBER(BK13)),IF(AND(BE13&gt;BH13,BF13&lt;BI13,BK13&gt;=p_GapMin,BK13&lt;=p_GapMax),1,0),0)</f>
        <v>0</v>
      </c>
      <c r="BM13" s="42" t="n">
        <f aca="false">IF(AND(BL13=1,E13&gt;BI13),1,0)</f>
        <v>0</v>
      </c>
      <c r="BN13" s="42" t="n">
        <f aca="false">IF(BL13=1,IF(BE13&gt;=BH13*0.5,1,0),0)</f>
        <v>0</v>
      </c>
      <c r="BO13" s="42" t="n">
        <f aca="true">IF(V13&gt;MIN(OFFSET(V13,-MIN(p_FiLb-1,ROW()-5),0,MIN(p_FiLb-1,ROW()-5),1)),1,0)</f>
        <v>1</v>
      </c>
      <c r="BP13" s="44" t="str">
        <f aca="true">IF(COUNTIF(OFFSET(V13,1-MIN(100,ROW()-4),0,MIN(100,ROW()-4),1),"&lt;0")&gt;=5,AVERAGEIF(OFFSET(V13,1-MIN(100,ROW()-4),0,MIN(100,ROW()-4),1),"&lt;0"),"")</f>
        <v/>
      </c>
      <c r="BQ13" s="42" t="n">
        <f aca="false">IF(ISNUMBER(BP13),IF(AND(V13&lt;5*BP13,V13&gt;V12,E13&lt;AJ13),1,0),0)</f>
        <v>0</v>
      </c>
      <c r="BR13" s="44" t="n">
        <f aca="true">AVERAGE(OFFSET(F13,1-MIN(5,ROW()-4),0,MIN(5,ROW()-4),1))</f>
        <v>3404060</v>
      </c>
      <c r="BS13" s="42" t="n">
        <f aca="false">IFERROR(IF(MATCH(G13,周线!$A$5:$A$84,0)&lt;=1,"",INDEX(周线!$R$5:$R$84,MATCH(G13,周线!$A$5:$A$84,0)-1)),"")</f>
        <v>0</v>
      </c>
      <c r="BT13" s="42" t="n">
        <f aca="false">IFERROR(IF(MATCH(G13,周线!$A$5:$A$84,0)&lt;=1,"",INDEX(周线!$S$5:$S$84,MATCH(G13,周线!$A$5:$A$84,0)-1)),"")</f>
        <v>0</v>
      </c>
      <c r="BU13" s="42" t="n">
        <f aca="false">IFERROR(IF(MATCH(G13,周线!$A$5:$A$84,0)&lt;=1,"",INDEX(周线!$U$5:$U$84,MATCH(G13,周线!$A$5:$A$84,0)-1)),"")</f>
        <v>-1</v>
      </c>
      <c r="BV13" s="42" t="n">
        <f aca="false">IF(AND(BS13=1,S13&lt;&gt;-1,V13&lt;0,BO13=1,E13&lt;=H13,E13&gt;=AJ13),1,0)</f>
        <v>0</v>
      </c>
      <c r="BW13" s="42" t="n">
        <f aca="false">BL13</f>
        <v>0</v>
      </c>
      <c r="BX13" s="42" t="n">
        <f aca="false">BQ13</f>
        <v>0</v>
      </c>
      <c r="BY13" s="42" t="n">
        <f aca="false">IF(BS13=1,10,0)+IF(BU13=1,5,IF(BU13=-1,0,3))+IF(BT13=1,5,0)+IF(AND(AE13&gt;AF13,AH13&gt;AH12),5,0)</f>
        <v>5</v>
      </c>
      <c r="BZ13" s="42" t="n">
        <f aca="false">IF(AND(E13&lt;=H13,E13&gt;=I13),10,IF(AND(E13&gt;=AJ13,E13&lt;I13),6,0))+IF(AND(V13&lt;0,BO13=1),8,0)+IF(AT13&lt;30,7,IF(AT13&lt;50,3,0))</f>
        <v>0</v>
      </c>
      <c r="CA13" s="42" t="n">
        <f aca="false">IF(AND(BV13=1,BW13=1),25,IF(BW13=1,22,IF(BV13=1,15,IF(BX13=1,12,0))))</f>
        <v>0</v>
      </c>
      <c r="CB13" s="42" t="n">
        <f aca="false">IF(W13&gt;0,6,0)+IF(F13&lt;BR13,4,0)</f>
        <v>10</v>
      </c>
      <c r="CC13" s="42" t="n">
        <f aca="false">IF(BC13&gt;=3,15,IF(BC13&gt;=p_RRmin,10,IF(BC13&gt;=1.5,4,0)))</f>
        <v>15</v>
      </c>
      <c r="CD13" s="42" t="n">
        <f aca="false">BY13+BZ13+CA13+CB13+CC13</f>
        <v>30</v>
      </c>
      <c r="CE13" s="42" t="n">
        <f aca="false">IF(AND(BS13&lt;&gt;1,BW13+BX13=0),1,0)</f>
        <v>1</v>
      </c>
      <c r="CF13" s="42" t="n">
        <f aca="false">IF(BU13=-1,1,0)</f>
        <v>1</v>
      </c>
      <c r="CG13" s="42" t="n">
        <f aca="false">IF(S13=-1,1,0)</f>
        <v>0</v>
      </c>
      <c r="CH13" s="42" t="n">
        <f aca="false">IF(BV13+BW13+BX13=0,1,0)</f>
        <v>1</v>
      </c>
      <c r="CI13" s="42" t="n">
        <f aca="false">IF(BC13&lt;p_RRmin,1,0)</f>
        <v>0</v>
      </c>
      <c r="CJ13" s="46" t="str">
        <f aca="false">IF(SUM(CE13:CI13)=0,IF(CD13&gt;=p_GradeA,"A",IF(CD13&gt;=p_GradeB,"B","C")),IF(AND(CI13=1,SUM(CE13:CH13)=0,CD13&gt;=p_GradeB),"B","C"))</f>
        <v>C</v>
      </c>
    </row>
    <row r="14" customFormat="false" ht="15" hidden="false" customHeight="false" outlineLevel="0" collapsed="false">
      <c r="A14" s="36" t="n">
        <v>45672</v>
      </c>
      <c r="B14" s="37" t="n">
        <v>20.17</v>
      </c>
      <c r="C14" s="37" t="n">
        <v>20.21</v>
      </c>
      <c r="D14" s="37" t="n">
        <v>19.77</v>
      </c>
      <c r="E14" s="37" t="n">
        <v>19.81</v>
      </c>
      <c r="F14" s="38" t="n">
        <v>5357200</v>
      </c>
      <c r="G14" s="39" t="n">
        <f aca="false">A14-WEEKDAY(A14,3)</f>
        <v>45670</v>
      </c>
      <c r="H14" s="40" t="n">
        <f aca="false">2/(p_EmaF+1)*E14+(1-2/(p_EmaF+1))*H13</f>
        <v>19.844877670291</v>
      </c>
      <c r="I14" s="40" t="n">
        <f aca="false">2/(p_EmaS+1)*E14+(1-2/(p_EmaS+1))*I13</f>
        <v>19.8320866245754</v>
      </c>
      <c r="J14" s="41" t="n">
        <f aca="false">2/(p_MacdF+1)*E14+(1-2/(p_MacdF+1))*J13</f>
        <v>19.8470664591947</v>
      </c>
      <c r="K14" s="41" t="n">
        <f aca="false">2/(p_MacdS+1)*E14+(1-2/(p_MacdS+1))*K13</f>
        <v>19.8320866245754</v>
      </c>
      <c r="L14" s="41" t="n">
        <f aca="false">J14-K14</f>
        <v>0.0149798346193819</v>
      </c>
      <c r="M14" s="41" t="n">
        <f aca="false">2/(p_MacdSig+1)*L14+(1-2/(p_MacdSig+1))*M13</f>
        <v>0.00131551292911569</v>
      </c>
      <c r="N14" s="41" t="n">
        <f aca="false">L14-M14</f>
        <v>0.0136643216902662</v>
      </c>
      <c r="O14" s="42" t="n">
        <f aca="false">IF(H14&gt;H13,1,0)</f>
        <v>0</v>
      </c>
      <c r="P14" s="42" t="n">
        <f aca="false">IF(H14&lt;H13,1,0)</f>
        <v>1</v>
      </c>
      <c r="Q14" s="42" t="n">
        <f aca="false">IF(N14&gt;N13,1,0)</f>
        <v>0</v>
      </c>
      <c r="R14" s="42" t="n">
        <f aca="false">IF(N14&lt;N13,1,0)</f>
        <v>1</v>
      </c>
      <c r="S14" s="42" t="n">
        <f aca="false">IF(AND(O14=1,Q14=1),1,IF(AND(P14=1,R14=1),-1,0))</f>
        <v>-1</v>
      </c>
      <c r="T14" s="43" t="str">
        <f aca="false">IF(S14=1,"绿",IF(S14=-1,"红","蓝"))</f>
        <v>红</v>
      </c>
      <c r="U14" s="44" t="n">
        <f aca="false">F14*(E14-E13)</f>
        <v>-1607160</v>
      </c>
      <c r="V14" s="44" t="n">
        <f aca="false">2/(p_FiS+1)*U14+(1-2/(p_FiS+1))*V13</f>
        <v>-936275.744246306</v>
      </c>
      <c r="W14" s="44" t="n">
        <f aca="false">2/(p_FiL+1)*U14+(1-2/(p_FiL+1))*W13</f>
        <v>-113558.498006883</v>
      </c>
      <c r="X14" s="41" t="n">
        <f aca="false">MAX(C14-D14,ABS(C14-E13),ABS(D14-E13))</f>
        <v>0.440000000000001</v>
      </c>
      <c r="Y14" s="41" t="n">
        <f aca="true">AVERAGE(OFFSET(X14,1-MIN(p_AtrN,ROW()-4),0,MIN(p_AtrN,ROW()-4),1))</f>
        <v>0.336</v>
      </c>
      <c r="Z14" s="41" t="n">
        <f aca="false">IF(AND(C14-C13&gt;D13-D14,C14-C13&gt;0),C14-C13,0)</f>
        <v>0</v>
      </c>
      <c r="AA14" s="41" t="n">
        <f aca="false">IF(AND(D13-D14&gt;C14-C13,D13-D14&gt;0),D13-D14,0)</f>
        <v>0.210000000000001</v>
      </c>
      <c r="AB14" s="41" t="n">
        <f aca="false">2/(p_AdxN+1)*X14+(1-2/(p_AdxN+1))*AB13</f>
        <v>0.312715509173691</v>
      </c>
      <c r="AC14" s="41" t="n">
        <f aca="false">2/(p_AdxN+1)*Z14+(1-2/(p_AdxN+1))*AC13</f>
        <v>0.0605093462896635</v>
      </c>
      <c r="AD14" s="41" t="n">
        <f aca="false">2/(p_AdxN+1)*AA14+(1-2/(p_AdxN+1))*AD13</f>
        <v>0.0492619450350498</v>
      </c>
      <c r="AE14" s="45" t="n">
        <f aca="false">100*AC14/AB14</f>
        <v>19.3496467282839</v>
      </c>
      <c r="AF14" s="45" t="n">
        <f aca="false">100*AD14/AB14</f>
        <v>15.7529587084497</v>
      </c>
      <c r="AG14" s="45" t="n">
        <f aca="false">IFERROR(100*ABS(AE14-AF14)/(AE14+AF14),0)</f>
        <v>10.2462138496147</v>
      </c>
      <c r="AH14" s="45" t="n">
        <f aca="false">2/(p_AdxN+1)*AG14+(1-2/(p_AdxN+1))*AH13</f>
        <v>24.6362141331864</v>
      </c>
      <c r="AI14" s="40" t="n">
        <f aca="false">I14*(1+p_ChPct)</f>
        <v>21.0220118220499</v>
      </c>
      <c r="AJ14" s="40" t="n">
        <f aca="false">I14*(1-p_ChPct)</f>
        <v>18.6421614271008</v>
      </c>
      <c r="AK14" s="40" t="n">
        <f aca="false">I14+1*Y14</f>
        <v>20.1680866245754</v>
      </c>
      <c r="AL14" s="40" t="n">
        <f aca="false">I14+2*Y14</f>
        <v>20.5040866245754</v>
      </c>
      <c r="AM14" s="40" t="n">
        <f aca="false">I14+3*Y14</f>
        <v>20.8400866245754</v>
      </c>
      <c r="AN14" s="40" t="n">
        <f aca="false">I14-1*Y14</f>
        <v>19.4960866245754</v>
      </c>
      <c r="AO14" s="40" t="n">
        <f aca="false">I14-2*Y14</f>
        <v>19.1600866245754</v>
      </c>
      <c r="AP14" s="40" t="n">
        <f aca="false">I14-3*Y14</f>
        <v>18.8240866245754</v>
      </c>
      <c r="AQ14" s="40" t="n">
        <f aca="true">MAX(OFFSET(C14,1-MIN(p_StochN,ROW()-4),0,MIN(p_StochN,ROW()-4),1))</f>
        <v>20.21</v>
      </c>
      <c r="AR14" s="40" t="n">
        <f aca="true">MIN(OFFSET(D14,1-MIN(p_StochN,ROW()-4),0,MIN(p_StochN,ROW()-4),1))</f>
        <v>19.42</v>
      </c>
      <c r="AS14" s="45" t="n">
        <f aca="false">IF(AQ14=AR14,50,100*(E14-AR14)/(AQ14-AR14))</f>
        <v>49.3670886075946</v>
      </c>
      <c r="AT14" s="45" t="n">
        <f aca="true">AVERAGE(OFFSET(AS14,1-MIN(p_StochSm,ROW()-4),0,MIN(p_StochSm,ROW()-4),1))</f>
        <v>79.5717409198988</v>
      </c>
      <c r="AU14" s="45" t="n">
        <f aca="true">AVERAGE(OFFSET(AT14,1-MIN(p_StochSm,ROW()-4),0,MIN(p_StochSm,ROW()-4),1))</f>
        <v>72.3847079655692</v>
      </c>
      <c r="AV14" s="41" t="n">
        <f aca="false">MAX(0,H14-D14)</f>
        <v>0.0748776702910412</v>
      </c>
      <c r="AW14" s="41" t="n">
        <f aca="true">IF(COUNTIF(OFFSET(AV14,1-MIN(p_PenLb,ROW()-4),0,MIN(p_PenLb,ROW()-4),1),"&gt;0")&gt;0,SUM(OFFSET(AV14,1-MIN(p_PenLb,ROW()-4),0,MIN(p_PenLb,ROW()-4),1))/COUNTIF(OFFSET(AV14,1-MIN(p_PenLb,ROW()-4),0,MIN(p_PenLb,ROW()-4),1),"&gt;0"),0.5*Y14)</f>
        <v>0.204071372293936</v>
      </c>
      <c r="AX14" s="41" t="n">
        <f aca="false">2*H14-H13</f>
        <v>19.8390647252425</v>
      </c>
      <c r="AY14" s="40" t="n">
        <f aca="false">ROUND(MAX(AX14-AW14,0.01),2)</f>
        <v>19.63</v>
      </c>
      <c r="AZ14" s="40" t="n">
        <f aca="true">IF(MIN(p_StopLb,ROW()-4)&lt;2,D14,SMALL(OFFSET(D14,1-MIN(p_StopLb,ROW()-4),0,MIN(p_StopLb,ROW()-4),1),2))</f>
        <v>19.42</v>
      </c>
      <c r="BA14" s="40" t="n">
        <f aca="false">IF(MOD(ROUND(ROUNDDOWN(MIN(AZ14-0.01,AY14-p_StopAtr*Y14),2)*100,0),50)=0,ROUNDDOWN(MIN(AZ14-0.01,AY14-p_StopAtr*Y14),2)-0.01,ROUNDDOWN(MIN(AZ14-0.01,AY14-p_StopAtr*Y14),2))</f>
        <v>19.29</v>
      </c>
      <c r="BB14" s="40" t="n">
        <f aca="false">ROUND(AI14,2)</f>
        <v>21.02</v>
      </c>
      <c r="BC14" s="40" t="n">
        <f aca="false">IF(AY14-BA14&gt;0,(BB14-AY14)/(AY14-BA14),0)</f>
        <v>4.08823529411765</v>
      </c>
      <c r="BD14" s="42" t="n">
        <f aca="false">IF(N14&lt;0,1,0)</f>
        <v>0</v>
      </c>
      <c r="BE14" s="41" t="n">
        <f aca="false">IF(AND(BD14=1,BD13=0),N14,IF(BD14=1,MIN(BE13,N14),BE13))</f>
        <v>-0.0234128043712021</v>
      </c>
      <c r="BF14" s="40" t="n">
        <f aca="false">IF(AND(BD14=1,BD13=0),D14,IF(BD14=1,MIN(BF13,D14),BF13))</f>
        <v>19.42</v>
      </c>
      <c r="BG14" s="42" t="n">
        <f aca="false">IF(AND(BD14=1,BD13=0),ROW(),IF(BD14=1,IF(N14&lt;BE13,ROW(),BG13),BG13))</f>
        <v>10</v>
      </c>
      <c r="BH14" s="41" t="str">
        <f aca="false">IF(AND(BD14=1,BD13=0),BE13,BH13)</f>
        <v/>
      </c>
      <c r="BI14" s="40" t="str">
        <f aca="false">IF(AND(BD14=1,BD13=0),BF13,BI13)</f>
        <v/>
      </c>
      <c r="BJ14" s="42" t="str">
        <f aca="false">IF(AND(BD14=1,BD13=0),BG13,BJ13)</f>
        <v/>
      </c>
      <c r="BK14" s="42" t="str">
        <f aca="false">IF(AND(ISNUMBER(BG14),ISNUMBER(BJ14)),BG14-BJ14,"")</f>
        <v/>
      </c>
      <c r="BL14" s="42" t="n">
        <f aca="false">IF(AND(BD14=1,N14&gt;N13,ISNUMBER(BH14),ISNUMBER(BK14)),IF(AND(BE14&gt;BH14,BF14&lt;BI14,BK14&gt;=p_GapMin,BK14&lt;=p_GapMax),1,0),0)</f>
        <v>0</v>
      </c>
      <c r="BM14" s="42" t="n">
        <f aca="false">IF(AND(BL14=1,E14&gt;BI14),1,0)</f>
        <v>0</v>
      </c>
      <c r="BN14" s="42" t="n">
        <f aca="false">IF(BL14=1,IF(BE14&gt;=BH14*0.5,1,0),0)</f>
        <v>0</v>
      </c>
      <c r="BO14" s="42" t="n">
        <f aca="true">IF(V14&gt;MIN(OFFSET(V14,-MIN(p_FiLb-1,ROW()-5),0,MIN(p_FiLb-1,ROW()-5),1)),1,0)</f>
        <v>0</v>
      </c>
      <c r="BP14" s="44" t="str">
        <f aca="true">IF(COUNTIF(OFFSET(V14,1-MIN(100,ROW()-4),0,MIN(100,ROW()-4),1),"&lt;0")&gt;=5,AVERAGEIF(OFFSET(V14,1-MIN(100,ROW()-4),0,MIN(100,ROW()-4),1),"&lt;0"),"")</f>
        <v/>
      </c>
      <c r="BQ14" s="42" t="n">
        <f aca="false">IF(ISNUMBER(BP14),IF(AND(V14&lt;5*BP14,V14&gt;V13,E14&lt;AJ14),1,0),0)</f>
        <v>0</v>
      </c>
      <c r="BR14" s="44" t="n">
        <f aca="true">AVERAGE(OFFSET(F14,1-MIN(5,ROW()-4),0,MIN(5,ROW()-4),1))</f>
        <v>3872220</v>
      </c>
      <c r="BS14" s="42" t="n">
        <f aca="false">IFERROR(IF(MATCH(G14,周线!$A$5:$A$84,0)&lt;=1,"",INDEX(周线!$R$5:$R$84,MATCH(G14,周线!$A$5:$A$84,0)-1)),"")</f>
        <v>0</v>
      </c>
      <c r="BT14" s="42" t="n">
        <f aca="false">IFERROR(IF(MATCH(G14,周线!$A$5:$A$84,0)&lt;=1,"",INDEX(周线!$S$5:$S$84,MATCH(G14,周线!$A$5:$A$84,0)-1)),"")</f>
        <v>0</v>
      </c>
      <c r="BU14" s="42" t="n">
        <f aca="false">IFERROR(IF(MATCH(G14,周线!$A$5:$A$84,0)&lt;=1,"",INDEX(周线!$U$5:$U$84,MATCH(G14,周线!$A$5:$A$84,0)-1)),"")</f>
        <v>-1</v>
      </c>
      <c r="BV14" s="42" t="n">
        <f aca="false">IF(AND(BS14=1,S14&lt;&gt;-1,V14&lt;0,BO14=1,E14&lt;=H14,E14&gt;=AJ14),1,0)</f>
        <v>0</v>
      </c>
      <c r="BW14" s="42" t="n">
        <f aca="false">BL14</f>
        <v>0</v>
      </c>
      <c r="BX14" s="42" t="n">
        <f aca="false">BQ14</f>
        <v>0</v>
      </c>
      <c r="BY14" s="42" t="n">
        <f aca="false">IF(BS14=1,10,0)+IF(BU14=1,5,IF(BU14=-1,0,3))+IF(BT14=1,5,0)+IF(AND(AE14&gt;AF14,AH14&gt;AH13),5,0)</f>
        <v>0</v>
      </c>
      <c r="BZ14" s="42" t="n">
        <f aca="false">IF(AND(E14&lt;=H14,E14&gt;=I14),10,IF(AND(E14&gt;=AJ14,E14&lt;I14),6,0))+IF(AND(V14&lt;0,BO14=1),8,0)+IF(AT14&lt;30,7,IF(AT14&lt;50,3,0))</f>
        <v>6</v>
      </c>
      <c r="CA14" s="42" t="n">
        <f aca="false">IF(AND(BV14=1,BW14=1),25,IF(BW14=1,22,IF(BV14=1,15,IF(BX14=1,12,0))))</f>
        <v>0</v>
      </c>
      <c r="CB14" s="42" t="n">
        <f aca="false">IF(W14&gt;0,6,0)+IF(F14&lt;BR14,4,0)</f>
        <v>0</v>
      </c>
      <c r="CC14" s="42" t="n">
        <f aca="false">IF(BC14&gt;=3,15,IF(BC14&gt;=p_RRmin,10,IF(BC14&gt;=1.5,4,0)))</f>
        <v>15</v>
      </c>
      <c r="CD14" s="42" t="n">
        <f aca="false">BY14+BZ14+CA14+CB14+CC14</f>
        <v>21</v>
      </c>
      <c r="CE14" s="42" t="n">
        <f aca="false">IF(AND(BS14&lt;&gt;1,BW14+BX14=0),1,0)</f>
        <v>1</v>
      </c>
      <c r="CF14" s="42" t="n">
        <f aca="false">IF(BU14=-1,1,0)</f>
        <v>1</v>
      </c>
      <c r="CG14" s="42" t="n">
        <f aca="false">IF(S14=-1,1,0)</f>
        <v>1</v>
      </c>
      <c r="CH14" s="42" t="n">
        <f aca="false">IF(BV14+BW14+BX14=0,1,0)</f>
        <v>1</v>
      </c>
      <c r="CI14" s="42" t="n">
        <f aca="false">IF(BC14&lt;p_RRmin,1,0)</f>
        <v>0</v>
      </c>
      <c r="CJ14" s="46" t="str">
        <f aca="false">IF(SUM(CE14:CI14)=0,IF(CD14&gt;=p_GradeA,"A",IF(CD14&gt;=p_GradeB,"B","C")),IF(AND(CI14=1,SUM(CE14:CH14)=0,CD14&gt;=p_GradeB),"B","C"))</f>
        <v>C</v>
      </c>
    </row>
    <row r="15" customFormat="false" ht="15" hidden="false" customHeight="false" outlineLevel="0" collapsed="false">
      <c r="A15" s="36" t="n">
        <v>45673</v>
      </c>
      <c r="B15" s="37" t="n">
        <v>19.94</v>
      </c>
      <c r="C15" s="37" t="n">
        <v>19.99</v>
      </c>
      <c r="D15" s="37" t="n">
        <v>19.64</v>
      </c>
      <c r="E15" s="37" t="n">
        <v>19.7</v>
      </c>
      <c r="F15" s="38" t="n">
        <v>2961500</v>
      </c>
      <c r="G15" s="39" t="n">
        <f aca="false">A15-WEEKDAY(A15,3)</f>
        <v>45670</v>
      </c>
      <c r="H15" s="40" t="n">
        <f aca="false">2/(p_EmaF+1)*E15+(1-2/(p_EmaF+1))*H14</f>
        <v>19.8241808602495</v>
      </c>
      <c r="I15" s="40" t="n">
        <f aca="false">2/(p_EmaS+1)*E15+(1-2/(p_EmaS+1))*I14</f>
        <v>19.8223024301624</v>
      </c>
      <c r="J15" s="41" t="n">
        <f aca="false">2/(p_MacdF+1)*E15+(1-2/(p_MacdF+1))*J14</f>
        <v>19.8244408500879</v>
      </c>
      <c r="K15" s="41" t="n">
        <f aca="false">2/(p_MacdS+1)*E15+(1-2/(p_MacdS+1))*K14</f>
        <v>19.8223024301624</v>
      </c>
      <c r="L15" s="41" t="n">
        <f aca="false">J15-K15</f>
        <v>0.0021384199254868</v>
      </c>
      <c r="M15" s="41" t="n">
        <f aca="false">2/(p_MacdSig+1)*L15+(1-2/(p_MacdSig+1))*M14</f>
        <v>0.00148009432838991</v>
      </c>
      <c r="N15" s="41" t="n">
        <f aca="false">L15-M15</f>
        <v>0.000658325597096887</v>
      </c>
      <c r="O15" s="42" t="n">
        <f aca="false">IF(H15&gt;H14,1,0)</f>
        <v>0</v>
      </c>
      <c r="P15" s="42" t="n">
        <f aca="false">IF(H15&lt;H14,1,0)</f>
        <v>1</v>
      </c>
      <c r="Q15" s="42" t="n">
        <f aca="false">IF(N15&gt;N14,1,0)</f>
        <v>0</v>
      </c>
      <c r="R15" s="42" t="n">
        <f aca="false">IF(N15&lt;N14,1,0)</f>
        <v>1</v>
      </c>
      <c r="S15" s="42" t="n">
        <f aca="false">IF(AND(O15=1,Q15=1),1,IF(AND(P15=1,R15=1),-1,0))</f>
        <v>-1</v>
      </c>
      <c r="T15" s="43" t="str">
        <f aca="false">IF(S15=1,"绿",IF(S15=-1,"红","蓝"))</f>
        <v>红</v>
      </c>
      <c r="U15" s="44" t="n">
        <f aca="false">F15*(E15-E14)</f>
        <v>-325764.999999998</v>
      </c>
      <c r="V15" s="44" t="n">
        <f aca="false">2/(p_FiS+1)*U15+(1-2/(p_FiS+1))*V14</f>
        <v>-529268.581415434</v>
      </c>
      <c r="W15" s="44" t="n">
        <f aca="false">2/(p_FiL+1)*U15+(1-2/(p_FiL+1))*W14</f>
        <v>-143873.712577328</v>
      </c>
      <c r="X15" s="41" t="n">
        <f aca="false">MAX(C15-D15,ABS(C15-E14),ABS(D15-E14))</f>
        <v>0.349999999999998</v>
      </c>
      <c r="Y15" s="41" t="n">
        <f aca="true">AVERAGE(OFFSET(X15,1-MIN(p_AtrN,ROW()-4),0,MIN(p_AtrN,ROW()-4),1))</f>
        <v>0.337272727272727</v>
      </c>
      <c r="Z15" s="41" t="n">
        <f aca="false">IF(AND(C15-C14&gt;D14-D15,C15-C14&gt;0),C15-C14,0)</f>
        <v>0</v>
      </c>
      <c r="AA15" s="41" t="n">
        <f aca="false">IF(AND(D14-D15&gt;C15-C14,D14-D15&gt;0),D14-D15,0)</f>
        <v>0.129999999999999</v>
      </c>
      <c r="AB15" s="41" t="n">
        <f aca="false">2/(p_AdxN+1)*X15+(1-2/(p_AdxN+1))*AB14</f>
        <v>0.318041865006021</v>
      </c>
      <c r="AC15" s="41" t="n">
        <f aca="false">2/(p_AdxN+1)*Z15+(1-2/(p_AdxN+1))*AC14</f>
        <v>0.0518651539625687</v>
      </c>
      <c r="AD15" s="41" t="n">
        <f aca="false">2/(p_AdxN+1)*AA15+(1-2/(p_AdxN+1))*AD14</f>
        <v>0.0607959528871854</v>
      </c>
      <c r="AE15" s="45" t="n">
        <f aca="false">100*AC15/AB15</f>
        <v>16.307649925769</v>
      </c>
      <c r="AF15" s="45" t="n">
        <f aca="false">100*AD15/AB15</f>
        <v>19.1157075770621</v>
      </c>
      <c r="AG15" s="45" t="n">
        <f aca="false">IFERROR(100*ABS(AE15-AF15)/(AE15+AF15),0)</f>
        <v>7.92713579188146</v>
      </c>
      <c r="AH15" s="45" t="n">
        <f aca="false">2/(p_AdxN+1)*AG15+(1-2/(p_AdxN+1))*AH14</f>
        <v>22.2492029415714</v>
      </c>
      <c r="AI15" s="40" t="n">
        <f aca="false">I15*(1+p_ChPct)</f>
        <v>21.0116405759721</v>
      </c>
      <c r="AJ15" s="40" t="n">
        <f aca="false">I15*(1-p_ChPct)</f>
        <v>18.6329642843526</v>
      </c>
      <c r="AK15" s="40" t="n">
        <f aca="false">I15+1*Y15</f>
        <v>20.1595751574351</v>
      </c>
      <c r="AL15" s="40" t="n">
        <f aca="false">I15+2*Y15</f>
        <v>20.4968478847078</v>
      </c>
      <c r="AM15" s="40" t="n">
        <f aca="false">I15+3*Y15</f>
        <v>20.8341206119806</v>
      </c>
      <c r="AN15" s="40" t="n">
        <f aca="false">I15-1*Y15</f>
        <v>19.4850297028896</v>
      </c>
      <c r="AO15" s="40" t="n">
        <f aca="false">I15-2*Y15</f>
        <v>19.1477569756169</v>
      </c>
      <c r="AP15" s="40" t="n">
        <f aca="false">I15-3*Y15</f>
        <v>18.8104842483442</v>
      </c>
      <c r="AQ15" s="40" t="n">
        <f aca="true">MAX(OFFSET(C15,1-MIN(p_StochN,ROW()-4),0,MIN(p_StochN,ROW()-4),1))</f>
        <v>20.21</v>
      </c>
      <c r="AR15" s="40" t="n">
        <f aca="true">MIN(OFFSET(D15,1-MIN(p_StochN,ROW()-4),0,MIN(p_StochN,ROW()-4),1))</f>
        <v>19.62</v>
      </c>
      <c r="AS15" s="45" t="n">
        <f aca="false">IF(AQ15=AR15,50,100*(E15-AR15)/(AQ15-AR15))</f>
        <v>13.559322033898</v>
      </c>
      <c r="AT15" s="45" t="n">
        <f aca="true">AVERAGE(OFFSET(AS15,1-MIN(p_StochSm,ROW()-4),0,MIN(p_StochSm,ROW()-4),1))</f>
        <v>52.4823195288994</v>
      </c>
      <c r="AU15" s="45" t="n">
        <f aca="true">AVERAGE(OFFSET(AT15,1-MIN(p_StochSm,ROW()-4),0,MIN(p_StochSm,ROW()-4),1))</f>
        <v>70.4799821453356</v>
      </c>
      <c r="AV15" s="41" t="n">
        <f aca="false">MAX(0,H15-D15)</f>
        <v>0.184180860249462</v>
      </c>
      <c r="AW15" s="41" t="n">
        <f aca="true">IF(COUNTIF(OFFSET(AV15,1-MIN(p_PenLb,ROW()-4),0,MIN(p_PenLb,ROW()-4),1),"&gt;0")&gt;0,SUM(OFFSET(AV15,1-MIN(p_PenLb,ROW()-4),0,MIN(p_PenLb,ROW()-4),1))/COUNTIF(OFFSET(AV15,1-MIN(p_PenLb,ROW()-4),0,MIN(p_PenLb,ROW()-4),1),"&gt;0"),0.5*Y15)</f>
        <v>0.201861315400106</v>
      </c>
      <c r="AX15" s="41" t="n">
        <f aca="false">2*H15-H14</f>
        <v>19.8034840502079</v>
      </c>
      <c r="AY15" s="40" t="n">
        <f aca="false">ROUND(MAX(AX15-AW15,0.01),2)</f>
        <v>19.6</v>
      </c>
      <c r="AZ15" s="40" t="n">
        <f aca="true">IF(MIN(p_StopLb,ROW()-4)&lt;2,D15,SMALL(OFFSET(D15,1-MIN(p_StopLb,ROW()-4),0,MIN(p_StopLb,ROW()-4),1),2))</f>
        <v>19.42</v>
      </c>
      <c r="BA15" s="40" t="n">
        <f aca="false">IF(MOD(ROUND(ROUNDDOWN(MIN(AZ15-0.01,AY15-p_StopAtr*Y15),2)*100,0),50)=0,ROUNDDOWN(MIN(AZ15-0.01,AY15-p_StopAtr*Y15),2)-0.01,ROUNDDOWN(MIN(AZ15-0.01,AY15-p_StopAtr*Y15),2))</f>
        <v>19.26</v>
      </c>
      <c r="BB15" s="40" t="n">
        <f aca="false">ROUND(AI15,2)</f>
        <v>21.01</v>
      </c>
      <c r="BC15" s="40" t="n">
        <f aca="false">IF(AY15-BA15&gt;0,(BB15-AY15)/(AY15-BA15),0)</f>
        <v>4.14705882352941</v>
      </c>
      <c r="BD15" s="42" t="n">
        <f aca="false">IF(N15&lt;0,1,0)</f>
        <v>0</v>
      </c>
      <c r="BE15" s="41" t="n">
        <f aca="false">IF(AND(BD15=1,BD14=0),N15,IF(BD15=1,MIN(BE14,N15),BE14))</f>
        <v>-0.0234128043712021</v>
      </c>
      <c r="BF15" s="40" t="n">
        <f aca="false">IF(AND(BD15=1,BD14=0),D15,IF(BD15=1,MIN(BF14,D15),BF14))</f>
        <v>19.42</v>
      </c>
      <c r="BG15" s="42" t="n">
        <f aca="false">IF(AND(BD15=1,BD14=0),ROW(),IF(BD15=1,IF(N15&lt;BE14,ROW(),BG14),BG14))</f>
        <v>10</v>
      </c>
      <c r="BH15" s="41" t="str">
        <f aca="false">IF(AND(BD15=1,BD14=0),BE14,BH14)</f>
        <v/>
      </c>
      <c r="BI15" s="40" t="str">
        <f aca="false">IF(AND(BD15=1,BD14=0),BF14,BI14)</f>
        <v/>
      </c>
      <c r="BJ15" s="42" t="str">
        <f aca="false">IF(AND(BD15=1,BD14=0),BG14,BJ14)</f>
        <v/>
      </c>
      <c r="BK15" s="42" t="str">
        <f aca="false">IF(AND(ISNUMBER(BG15),ISNUMBER(BJ15)),BG15-BJ15,"")</f>
        <v/>
      </c>
      <c r="BL15" s="42" t="n">
        <f aca="false">IF(AND(BD15=1,N15&gt;N14,ISNUMBER(BH15),ISNUMBER(BK15)),IF(AND(BE15&gt;BH15,BF15&lt;BI15,BK15&gt;=p_GapMin,BK15&lt;=p_GapMax),1,0),0)</f>
        <v>0</v>
      </c>
      <c r="BM15" s="42" t="n">
        <f aca="false">IF(AND(BL15=1,E15&gt;BI15),1,0)</f>
        <v>0</v>
      </c>
      <c r="BN15" s="42" t="n">
        <f aca="false">IF(BL15=1,IF(BE15&gt;=BH15*0.5,1,0),0)</f>
        <v>0</v>
      </c>
      <c r="BO15" s="42" t="n">
        <f aca="true">IF(V15&gt;MIN(OFFSET(V15,-MIN(p_FiLb-1,ROW()-5),0,MIN(p_FiLb-1,ROW()-5),1)),1,0)</f>
        <v>1</v>
      </c>
      <c r="BP15" s="44" t="n">
        <f aca="true">IF(COUNTIF(OFFSET(V15,1-MIN(100,ROW()-4),0,MIN(100,ROW()-4),1),"&lt;0")&gt;=5,AVERAGEIF(OFFSET(V15,1-MIN(100,ROW()-4),0,MIN(100,ROW()-4),1),"&lt;0"),"")</f>
        <v>-594876.079947162</v>
      </c>
      <c r="BQ15" s="42" t="n">
        <f aca="false">IF(ISNUMBER(BP15),IF(AND(V15&lt;5*BP15,V15&gt;V14,E15&lt;AJ15),1,0),0)</f>
        <v>0</v>
      </c>
      <c r="BR15" s="44" t="n">
        <f aca="true">AVERAGE(OFFSET(F15,1-MIN(5,ROW()-4),0,MIN(5,ROW()-4),1))</f>
        <v>3544820</v>
      </c>
      <c r="BS15" s="42" t="n">
        <f aca="false">IFERROR(IF(MATCH(G15,周线!$A$5:$A$84,0)&lt;=1,"",INDEX(周线!$R$5:$R$84,MATCH(G15,周线!$A$5:$A$84,0)-1)),"")</f>
        <v>0</v>
      </c>
      <c r="BT15" s="42" t="n">
        <f aca="false">IFERROR(IF(MATCH(G15,周线!$A$5:$A$84,0)&lt;=1,"",INDEX(周线!$S$5:$S$84,MATCH(G15,周线!$A$5:$A$84,0)-1)),"")</f>
        <v>0</v>
      </c>
      <c r="BU15" s="42" t="n">
        <f aca="false">IFERROR(IF(MATCH(G15,周线!$A$5:$A$84,0)&lt;=1,"",INDEX(周线!$U$5:$U$84,MATCH(G15,周线!$A$5:$A$84,0)-1)),"")</f>
        <v>-1</v>
      </c>
      <c r="BV15" s="42" t="n">
        <f aca="false">IF(AND(BS15=1,S15&lt;&gt;-1,V15&lt;0,BO15=1,E15&lt;=H15,E15&gt;=AJ15),1,0)</f>
        <v>0</v>
      </c>
      <c r="BW15" s="42" t="n">
        <f aca="false">BL15</f>
        <v>0</v>
      </c>
      <c r="BX15" s="42" t="n">
        <f aca="false">BQ15</f>
        <v>0</v>
      </c>
      <c r="BY15" s="42" t="n">
        <f aca="false">IF(BS15=1,10,0)+IF(BU15=1,5,IF(BU15=-1,0,3))+IF(BT15=1,5,0)+IF(AND(AE15&gt;AF15,AH15&gt;AH14),5,0)</f>
        <v>0</v>
      </c>
      <c r="BZ15" s="42" t="n">
        <f aca="false">IF(AND(E15&lt;=H15,E15&gt;=I15),10,IF(AND(E15&gt;=AJ15,E15&lt;I15),6,0))+IF(AND(V15&lt;0,BO15=1),8,0)+IF(AT15&lt;30,7,IF(AT15&lt;50,3,0))</f>
        <v>14</v>
      </c>
      <c r="CA15" s="42" t="n">
        <f aca="false">IF(AND(BV15=1,BW15=1),25,IF(BW15=1,22,IF(BV15=1,15,IF(BX15=1,12,0))))</f>
        <v>0</v>
      </c>
      <c r="CB15" s="42" t="n">
        <f aca="false">IF(W15&gt;0,6,0)+IF(F15&lt;BR15,4,0)</f>
        <v>4</v>
      </c>
      <c r="CC15" s="42" t="n">
        <f aca="false">IF(BC15&gt;=3,15,IF(BC15&gt;=p_RRmin,10,IF(BC15&gt;=1.5,4,0)))</f>
        <v>15</v>
      </c>
      <c r="CD15" s="42" t="n">
        <f aca="false">BY15+BZ15+CA15+CB15+CC15</f>
        <v>33</v>
      </c>
      <c r="CE15" s="42" t="n">
        <f aca="false">IF(AND(BS15&lt;&gt;1,BW15+BX15=0),1,0)</f>
        <v>1</v>
      </c>
      <c r="CF15" s="42" t="n">
        <f aca="false">IF(BU15=-1,1,0)</f>
        <v>1</v>
      </c>
      <c r="CG15" s="42" t="n">
        <f aca="false">IF(S15=-1,1,0)</f>
        <v>1</v>
      </c>
      <c r="CH15" s="42" t="n">
        <f aca="false">IF(BV15+BW15+BX15=0,1,0)</f>
        <v>1</v>
      </c>
      <c r="CI15" s="42" t="n">
        <f aca="false">IF(BC15&lt;p_RRmin,1,0)</f>
        <v>0</v>
      </c>
      <c r="CJ15" s="46" t="str">
        <f aca="false">IF(SUM(CE15:CI15)=0,IF(CD15&gt;=p_GradeA,"A",IF(CD15&gt;=p_GradeB,"B","C")),IF(AND(CI15=1,SUM(CE15:CH15)=0,CD15&gt;=p_GradeB),"B","C"))</f>
        <v>C</v>
      </c>
    </row>
    <row r="16" customFormat="false" ht="15" hidden="false" customHeight="false" outlineLevel="0" collapsed="false">
      <c r="A16" s="36" t="n">
        <v>45674</v>
      </c>
      <c r="B16" s="37" t="n">
        <v>19.7</v>
      </c>
      <c r="C16" s="37" t="n">
        <v>19.95</v>
      </c>
      <c r="D16" s="37" t="n">
        <v>19.63</v>
      </c>
      <c r="E16" s="37" t="n">
        <v>19.89</v>
      </c>
      <c r="F16" s="38" t="n">
        <v>2804800</v>
      </c>
      <c r="G16" s="39" t="n">
        <f aca="false">A16-WEEKDAY(A16,3)</f>
        <v>45670</v>
      </c>
      <c r="H16" s="40" t="n">
        <f aca="false">2/(p_EmaF+1)*E16+(1-2/(p_EmaF+1))*H15</f>
        <v>19.8335835944995</v>
      </c>
      <c r="I16" s="40" t="n">
        <f aca="false">2/(p_EmaS+1)*E16+(1-2/(p_EmaS+1))*I15</f>
        <v>19.8273170649652</v>
      </c>
      <c r="J16" s="41" t="n">
        <f aca="false">2/(p_MacdF+1)*E16+(1-2/(p_MacdF+1))*J15</f>
        <v>19.8345268731513</v>
      </c>
      <c r="K16" s="41" t="n">
        <f aca="false">2/(p_MacdS+1)*E16+(1-2/(p_MacdS+1))*K15</f>
        <v>19.8273170649652</v>
      </c>
      <c r="L16" s="41" t="n">
        <f aca="false">J16-K16</f>
        <v>0.00720980818610428</v>
      </c>
      <c r="M16" s="41" t="n">
        <f aca="false">2/(p_MacdSig+1)*L16+(1-2/(p_MacdSig+1))*M15</f>
        <v>0.00262603709993279</v>
      </c>
      <c r="N16" s="41" t="n">
        <f aca="false">L16-M16</f>
        <v>0.0045837710861715</v>
      </c>
      <c r="O16" s="42" t="n">
        <f aca="false">IF(H16&gt;H15,1,0)</f>
        <v>1</v>
      </c>
      <c r="P16" s="42" t="n">
        <f aca="false">IF(H16&lt;H15,1,0)</f>
        <v>0</v>
      </c>
      <c r="Q16" s="42" t="n">
        <f aca="false">IF(N16&gt;N15,1,0)</f>
        <v>1</v>
      </c>
      <c r="R16" s="42" t="n">
        <f aca="false">IF(N16&lt;N15,1,0)</f>
        <v>0</v>
      </c>
      <c r="S16" s="42" t="n">
        <f aca="false">IF(AND(O16=1,Q16=1),1,IF(AND(P16=1,R16=1),-1,0))</f>
        <v>1</v>
      </c>
      <c r="T16" s="43" t="str">
        <f aca="false">IF(S16=1,"绿",IF(S16=-1,"红","蓝"))</f>
        <v>绿</v>
      </c>
      <c r="U16" s="44" t="n">
        <f aca="false">F16*(E16-E15)</f>
        <v>532912.000000004</v>
      </c>
      <c r="V16" s="44" t="n">
        <f aca="false">2/(p_FiS+1)*U16+(1-2/(p_FiS+1))*V15</f>
        <v>178851.806194858</v>
      </c>
      <c r="W16" s="44" t="n">
        <f aca="false">2/(p_FiL+1)*U16+(1-2/(p_FiL+1))*W15</f>
        <v>-47190.0393519949</v>
      </c>
      <c r="X16" s="41" t="n">
        <f aca="false">MAX(C16-D16,ABS(C16-E15),ABS(D16-E15))</f>
        <v>0.32</v>
      </c>
      <c r="Y16" s="41" t="n">
        <f aca="true">AVERAGE(OFFSET(X16,1-MIN(p_AtrN,ROW()-4),0,MIN(p_AtrN,ROW()-4),1))</f>
        <v>0.335833333333333</v>
      </c>
      <c r="Z16" s="41" t="n">
        <f aca="false">IF(AND(C16-C15&gt;D15-D16,C16-C15&gt;0),C16-C15,0)</f>
        <v>0</v>
      </c>
      <c r="AA16" s="41" t="n">
        <f aca="false">IF(AND(D15-D16&gt;C16-C15,D15-D16&gt;0),D15-D16,0)</f>
        <v>0.0100000000000016</v>
      </c>
      <c r="AB16" s="41" t="n">
        <f aca="false">2/(p_AdxN+1)*X16+(1-2/(p_AdxN+1))*AB15</f>
        <v>0.318321598576589</v>
      </c>
      <c r="AC16" s="41" t="n">
        <f aca="false">2/(p_AdxN+1)*Z16+(1-2/(p_AdxN+1))*AC15</f>
        <v>0.0444558462536303</v>
      </c>
      <c r="AD16" s="41" t="n">
        <f aca="false">2/(p_AdxN+1)*AA16+(1-2/(p_AdxN+1))*AD15</f>
        <v>0.0535393881890163</v>
      </c>
      <c r="AE16" s="45" t="n">
        <f aca="false">100*AC16/AB16</f>
        <v>13.9657021240216</v>
      </c>
      <c r="AF16" s="45" t="n">
        <f aca="false">100*AD16/AB16</f>
        <v>16.8192759864312</v>
      </c>
      <c r="AG16" s="45" t="n">
        <f aca="false">IFERROR(100*ABS(AE16-AF16)/(AE16+AF16),0)</f>
        <v>9.26937109447118</v>
      </c>
      <c r="AH16" s="45" t="n">
        <f aca="false">2/(p_AdxN+1)*AG16+(1-2/(p_AdxN+1))*AH15</f>
        <v>20.3949412491285</v>
      </c>
      <c r="AI16" s="40" t="n">
        <f aca="false">I16*(1+p_ChPct)</f>
        <v>21.0169560888631</v>
      </c>
      <c r="AJ16" s="40" t="n">
        <f aca="false">I16*(1-p_ChPct)</f>
        <v>18.6376780410673</v>
      </c>
      <c r="AK16" s="40" t="n">
        <f aca="false">I16+1*Y16</f>
        <v>20.1631503982985</v>
      </c>
      <c r="AL16" s="40" t="n">
        <f aca="false">I16+2*Y16</f>
        <v>20.4989837316318</v>
      </c>
      <c r="AM16" s="40" t="n">
        <f aca="false">I16+3*Y16</f>
        <v>20.8348170649652</v>
      </c>
      <c r="AN16" s="40" t="n">
        <f aca="false">I16-1*Y16</f>
        <v>19.4914837316318</v>
      </c>
      <c r="AO16" s="40" t="n">
        <f aca="false">I16-2*Y16</f>
        <v>19.1556503982985</v>
      </c>
      <c r="AP16" s="40" t="n">
        <f aca="false">I16-3*Y16</f>
        <v>18.8198170649652</v>
      </c>
      <c r="AQ16" s="40" t="n">
        <f aca="true">MAX(OFFSET(C16,1-MIN(p_StochN,ROW()-4),0,MIN(p_StochN,ROW()-4),1))</f>
        <v>20.21</v>
      </c>
      <c r="AR16" s="40" t="n">
        <f aca="true">MIN(OFFSET(D16,1-MIN(p_StochN,ROW()-4),0,MIN(p_StochN,ROW()-4),1))</f>
        <v>19.63</v>
      </c>
      <c r="AS16" s="45" t="n">
        <f aca="false">IF(AQ16=AR16,50,100*(E16-AR16)/(AQ16-AR16))</f>
        <v>44.8275862068967</v>
      </c>
      <c r="AT16" s="45" t="n">
        <f aca="true">AVERAGE(OFFSET(AS16,1-MIN(p_StochSm,ROW()-4),0,MIN(p_StochSm,ROW()-4),1))</f>
        <v>35.9179989494631</v>
      </c>
      <c r="AU16" s="45" t="n">
        <f aca="true">AVERAGE(OFFSET(AT16,1-MIN(p_StochSm,ROW()-4),0,MIN(p_StochSm,ROW()-4),1))</f>
        <v>55.9906864660871</v>
      </c>
      <c r="AV16" s="41" t="n">
        <f aca="false">MAX(0,H16-D16)</f>
        <v>0.203583594499541</v>
      </c>
      <c r="AW16" s="41" t="n">
        <f aca="true">IF(COUNTIF(OFFSET(AV16,1-MIN(p_PenLb,ROW()-4),0,MIN(p_PenLb,ROW()-4),1),"&gt;0")&gt;0,SUM(OFFSET(AV16,1-MIN(p_PenLb,ROW()-4),0,MIN(p_PenLb,ROW()-4),1))/COUNTIF(OFFSET(AV16,1-MIN(p_PenLb,ROW()-4),0,MIN(p_PenLb,ROW()-4),1),"&gt;0"),0.5*Y16)</f>
        <v>0.202033543310049</v>
      </c>
      <c r="AX16" s="41" t="n">
        <f aca="false">2*H16-H15</f>
        <v>19.8429863287496</v>
      </c>
      <c r="AY16" s="40" t="n">
        <f aca="false">ROUND(MAX(AX16-AW16,0.01),2)</f>
        <v>19.64</v>
      </c>
      <c r="AZ16" s="40" t="n">
        <f aca="true">IF(MIN(p_StopLb,ROW()-4)&lt;2,D16,SMALL(OFFSET(D16,1-MIN(p_StopLb,ROW()-4),0,MIN(p_StopLb,ROW()-4),1),2))</f>
        <v>19.42</v>
      </c>
      <c r="BA16" s="40" t="n">
        <f aca="false">IF(MOD(ROUND(ROUNDDOWN(MIN(AZ16-0.01,AY16-p_StopAtr*Y16),2)*100,0),50)=0,ROUNDDOWN(MIN(AZ16-0.01,AY16-p_StopAtr*Y16),2)-0.01,ROUNDDOWN(MIN(AZ16-0.01,AY16-p_StopAtr*Y16),2))</f>
        <v>19.3</v>
      </c>
      <c r="BB16" s="40" t="n">
        <f aca="false">ROUND(AI16,2)</f>
        <v>21.02</v>
      </c>
      <c r="BC16" s="40" t="n">
        <f aca="false">IF(AY16-BA16&gt;0,(BB16-AY16)/(AY16-BA16),0)</f>
        <v>4.05882352941176</v>
      </c>
      <c r="BD16" s="42" t="n">
        <f aca="false">IF(N16&lt;0,1,0)</f>
        <v>0</v>
      </c>
      <c r="BE16" s="41" t="n">
        <f aca="false">IF(AND(BD16=1,BD15=0),N16,IF(BD16=1,MIN(BE15,N16),BE15))</f>
        <v>-0.0234128043712021</v>
      </c>
      <c r="BF16" s="40" t="n">
        <f aca="false">IF(AND(BD16=1,BD15=0),D16,IF(BD16=1,MIN(BF15,D16),BF15))</f>
        <v>19.42</v>
      </c>
      <c r="BG16" s="42" t="n">
        <f aca="false">IF(AND(BD16=1,BD15=0),ROW(),IF(BD16=1,IF(N16&lt;BE15,ROW(),BG15),BG15))</f>
        <v>10</v>
      </c>
      <c r="BH16" s="41" t="str">
        <f aca="false">IF(AND(BD16=1,BD15=0),BE15,BH15)</f>
        <v/>
      </c>
      <c r="BI16" s="40" t="str">
        <f aca="false">IF(AND(BD16=1,BD15=0),BF15,BI15)</f>
        <v/>
      </c>
      <c r="BJ16" s="42" t="str">
        <f aca="false">IF(AND(BD16=1,BD15=0),BG15,BJ15)</f>
        <v/>
      </c>
      <c r="BK16" s="42" t="str">
        <f aca="false">IF(AND(ISNUMBER(BG16),ISNUMBER(BJ16)),BG16-BJ16,"")</f>
        <v/>
      </c>
      <c r="BL16" s="42" t="n">
        <f aca="false">IF(AND(BD16=1,N16&gt;N15,ISNUMBER(BH16),ISNUMBER(BK16)),IF(AND(BE16&gt;BH16,BF16&lt;BI16,BK16&gt;=p_GapMin,BK16&lt;=p_GapMax),1,0),0)</f>
        <v>0</v>
      </c>
      <c r="BM16" s="42" t="n">
        <f aca="false">IF(AND(BL16=1,E16&gt;BI16),1,0)</f>
        <v>0</v>
      </c>
      <c r="BN16" s="42" t="n">
        <f aca="false">IF(BL16=1,IF(BE16&gt;=BH16*0.5,1,0),0)</f>
        <v>0</v>
      </c>
      <c r="BO16" s="42" t="n">
        <f aca="true">IF(V16&gt;MIN(OFFSET(V16,-MIN(p_FiLb-1,ROW()-5),0,MIN(p_FiLb-1,ROW()-5),1)),1,0)</f>
        <v>1</v>
      </c>
      <c r="BP16" s="44" t="n">
        <f aca="true">IF(COUNTIF(OFFSET(V16,1-MIN(100,ROW()-4),0,MIN(100,ROW()-4),1),"&lt;0")&gt;=5,AVERAGEIF(OFFSET(V16,1-MIN(100,ROW()-4),0,MIN(100,ROW()-4),1),"&lt;0"),"")</f>
        <v>-594876.079947162</v>
      </c>
      <c r="BQ16" s="42" t="n">
        <f aca="false">IF(ISNUMBER(BP16),IF(AND(V16&lt;5*BP16,V16&gt;V15,E16&lt;AJ16),1,0),0)</f>
        <v>0</v>
      </c>
      <c r="BR16" s="44" t="n">
        <f aca="true">AVERAGE(OFFSET(F16,1-MIN(5,ROW()-4),0,MIN(5,ROW()-4),1))</f>
        <v>3431000</v>
      </c>
      <c r="BS16" s="42" t="n">
        <f aca="false">IFERROR(IF(MATCH(G16,周线!$A$5:$A$84,0)&lt;=1,"",INDEX(周线!$R$5:$R$84,MATCH(G16,周线!$A$5:$A$84,0)-1)),"")</f>
        <v>0</v>
      </c>
      <c r="BT16" s="42" t="n">
        <f aca="false">IFERROR(IF(MATCH(G16,周线!$A$5:$A$84,0)&lt;=1,"",INDEX(周线!$S$5:$S$84,MATCH(G16,周线!$A$5:$A$84,0)-1)),"")</f>
        <v>0</v>
      </c>
      <c r="BU16" s="42" t="n">
        <f aca="false">IFERROR(IF(MATCH(G16,周线!$A$5:$A$84,0)&lt;=1,"",INDEX(周线!$U$5:$U$84,MATCH(G16,周线!$A$5:$A$84,0)-1)),"")</f>
        <v>-1</v>
      </c>
      <c r="BV16" s="42" t="n">
        <f aca="false">IF(AND(BS16=1,S16&lt;&gt;-1,V16&lt;0,BO16=1,E16&lt;=H16,E16&gt;=AJ16),1,0)</f>
        <v>0</v>
      </c>
      <c r="BW16" s="42" t="n">
        <f aca="false">BL16</f>
        <v>0</v>
      </c>
      <c r="BX16" s="42" t="n">
        <f aca="false">BQ16</f>
        <v>0</v>
      </c>
      <c r="BY16" s="42" t="n">
        <f aca="false">IF(BS16=1,10,0)+IF(BU16=1,5,IF(BU16=-1,0,3))+IF(BT16=1,5,0)+IF(AND(AE16&gt;AF16,AH16&gt;AH15),5,0)</f>
        <v>0</v>
      </c>
      <c r="BZ16" s="42" t="n">
        <f aca="false">IF(AND(E16&lt;=H16,E16&gt;=I16),10,IF(AND(E16&gt;=AJ16,E16&lt;I16),6,0))+IF(AND(V16&lt;0,BO16=1),8,0)+IF(AT16&lt;30,7,IF(AT16&lt;50,3,0))</f>
        <v>3</v>
      </c>
      <c r="CA16" s="42" t="n">
        <f aca="false">IF(AND(BV16=1,BW16=1),25,IF(BW16=1,22,IF(BV16=1,15,IF(BX16=1,12,0))))</f>
        <v>0</v>
      </c>
      <c r="CB16" s="42" t="n">
        <f aca="false">IF(W16&gt;0,6,0)+IF(F16&lt;BR16,4,0)</f>
        <v>4</v>
      </c>
      <c r="CC16" s="42" t="n">
        <f aca="false">IF(BC16&gt;=3,15,IF(BC16&gt;=p_RRmin,10,IF(BC16&gt;=1.5,4,0)))</f>
        <v>15</v>
      </c>
      <c r="CD16" s="42" t="n">
        <f aca="false">BY16+BZ16+CA16+CB16+CC16</f>
        <v>22</v>
      </c>
      <c r="CE16" s="42" t="n">
        <f aca="false">IF(AND(BS16&lt;&gt;1,BW16+BX16=0),1,0)</f>
        <v>1</v>
      </c>
      <c r="CF16" s="42" t="n">
        <f aca="false">IF(BU16=-1,1,0)</f>
        <v>1</v>
      </c>
      <c r="CG16" s="42" t="n">
        <f aca="false">IF(S16=-1,1,0)</f>
        <v>0</v>
      </c>
      <c r="CH16" s="42" t="n">
        <f aca="false">IF(BV16+BW16+BX16=0,1,0)</f>
        <v>1</v>
      </c>
      <c r="CI16" s="42" t="n">
        <f aca="false">IF(BC16&lt;p_RRmin,1,0)</f>
        <v>0</v>
      </c>
      <c r="CJ16" s="46" t="str">
        <f aca="false">IF(SUM(CE16:CI16)=0,IF(CD16&gt;=p_GradeA,"A",IF(CD16&gt;=p_GradeB,"B","C")),IF(AND(CI16=1,SUM(CE16:CH16)=0,CD16&gt;=p_GradeB),"B","C"))</f>
        <v>C</v>
      </c>
    </row>
    <row r="17" customFormat="false" ht="15" hidden="false" customHeight="false" outlineLevel="0" collapsed="false">
      <c r="A17" s="36" t="n">
        <v>45677</v>
      </c>
      <c r="B17" s="37" t="n">
        <v>19.99</v>
      </c>
      <c r="C17" s="37" t="n">
        <v>20.17</v>
      </c>
      <c r="D17" s="37" t="n">
        <v>19.96</v>
      </c>
      <c r="E17" s="37" t="n">
        <v>20.12</v>
      </c>
      <c r="F17" s="38" t="n">
        <v>2774700</v>
      </c>
      <c r="G17" s="39" t="n">
        <f aca="false">A17-WEEKDAY(A17,3)</f>
        <v>45677</v>
      </c>
      <c r="H17" s="40" t="n">
        <f aca="false">2/(p_EmaF+1)*E17+(1-2/(p_EmaF+1))*H16</f>
        <v>19.8745002238568</v>
      </c>
      <c r="I17" s="40" t="n">
        <f aca="false">2/(p_EmaS+1)*E17+(1-2/(p_EmaS+1))*I16</f>
        <v>19.8489972823752</v>
      </c>
      <c r="J17" s="41" t="n">
        <f aca="false">2/(p_MacdF+1)*E17+(1-2/(p_MacdF+1))*J16</f>
        <v>19.8784458157434</v>
      </c>
      <c r="K17" s="41" t="n">
        <f aca="false">2/(p_MacdS+1)*E17+(1-2/(p_MacdS+1))*K16</f>
        <v>19.8489972823752</v>
      </c>
      <c r="L17" s="41" t="n">
        <f aca="false">J17-K17</f>
        <v>0.0294485333682282</v>
      </c>
      <c r="M17" s="41" t="n">
        <f aca="false">2/(p_MacdSig+1)*L17+(1-2/(p_MacdSig+1))*M16</f>
        <v>0.00799053635359186</v>
      </c>
      <c r="N17" s="41" t="n">
        <f aca="false">L17-M17</f>
        <v>0.0214579970146363</v>
      </c>
      <c r="O17" s="42" t="n">
        <f aca="false">IF(H17&gt;H16,1,0)</f>
        <v>1</v>
      </c>
      <c r="P17" s="42" t="n">
        <f aca="false">IF(H17&lt;H16,1,0)</f>
        <v>0</v>
      </c>
      <c r="Q17" s="42" t="n">
        <f aca="false">IF(N17&gt;N16,1,0)</f>
        <v>1</v>
      </c>
      <c r="R17" s="42" t="n">
        <f aca="false">IF(N17&lt;N16,1,0)</f>
        <v>0</v>
      </c>
      <c r="S17" s="42" t="n">
        <f aca="false">IF(AND(O17=1,Q17=1),1,IF(AND(P17=1,R17=1),-1,0))</f>
        <v>1</v>
      </c>
      <c r="T17" s="43" t="str">
        <f aca="false">IF(S17=1,"绿",IF(S17=-1,"红","蓝"))</f>
        <v>绿</v>
      </c>
      <c r="U17" s="44" t="n">
        <f aca="false">F17*(E17-E16)</f>
        <v>638181.000000001</v>
      </c>
      <c r="V17" s="44" t="n">
        <f aca="false">2/(p_FiS+1)*U17+(1-2/(p_FiS+1))*V16</f>
        <v>485071.26873162</v>
      </c>
      <c r="W17" s="44" t="n">
        <f aca="false">2/(p_FiL+1)*U17+(1-2/(p_FiL+1))*W16</f>
        <v>50720.1091268617</v>
      </c>
      <c r="X17" s="41" t="n">
        <f aca="false">MAX(C17-D17,ABS(C17-E16),ABS(D17-E16))</f>
        <v>0.280000000000001</v>
      </c>
      <c r="Y17" s="41" t="n">
        <f aca="true">AVERAGE(OFFSET(X17,1-MIN(p_AtrN,ROW()-4),0,MIN(p_AtrN,ROW()-4),1))</f>
        <v>0.331538461538461</v>
      </c>
      <c r="Z17" s="41" t="n">
        <f aca="false">IF(AND(C17-C16&gt;D16-D17,C17-C16&gt;0),C17-C16,0)</f>
        <v>0.220000000000002</v>
      </c>
      <c r="AA17" s="41" t="n">
        <f aca="false">IF(AND(D16-D17&gt;C17-C16,D16-D17&gt;0),D16-D17,0)</f>
        <v>0</v>
      </c>
      <c r="AB17" s="41" t="n">
        <f aca="false">2/(p_AdxN+1)*X17+(1-2/(p_AdxN+1))*AB16</f>
        <v>0.312847084494219</v>
      </c>
      <c r="AC17" s="41" t="n">
        <f aca="false">2/(p_AdxN+1)*Z17+(1-2/(p_AdxN+1))*AC16</f>
        <v>0.0695335825031121</v>
      </c>
      <c r="AD17" s="41" t="n">
        <f aca="false">2/(p_AdxN+1)*AA17+(1-2/(p_AdxN+1))*AD16</f>
        <v>0.045890904162014</v>
      </c>
      <c r="AE17" s="45" t="n">
        <f aca="false">100*AC17/AB17</f>
        <v>22.226060573819</v>
      </c>
      <c r="AF17" s="45" t="n">
        <f aca="false">100*AD17/AB17</f>
        <v>14.6687971333362</v>
      </c>
      <c r="AG17" s="45" t="n">
        <f aca="false">IFERROR(100*ABS(AE17-AF17)/(AE17+AF17),0)</f>
        <v>20.4832432217707</v>
      </c>
      <c r="AH17" s="45" t="n">
        <f aca="false">2/(p_AdxN+1)*AG17+(1-2/(p_AdxN+1))*AH16</f>
        <v>20.4075558166488</v>
      </c>
      <c r="AI17" s="40" t="n">
        <f aca="false">I17*(1+p_ChPct)</f>
        <v>21.0399371193177</v>
      </c>
      <c r="AJ17" s="40" t="n">
        <f aca="false">I17*(1-p_ChPct)</f>
        <v>18.6580574454326</v>
      </c>
      <c r="AK17" s="40" t="n">
        <f aca="false">I17+1*Y17</f>
        <v>20.1805357439136</v>
      </c>
      <c r="AL17" s="40" t="n">
        <f aca="false">I17+2*Y17</f>
        <v>20.5120742054521</v>
      </c>
      <c r="AM17" s="40" t="n">
        <f aca="false">I17+3*Y17</f>
        <v>20.8436126669905</v>
      </c>
      <c r="AN17" s="40" t="n">
        <f aca="false">I17-1*Y17</f>
        <v>19.5174588208367</v>
      </c>
      <c r="AO17" s="40" t="n">
        <f aca="false">I17-2*Y17</f>
        <v>19.1859203592982</v>
      </c>
      <c r="AP17" s="40" t="n">
        <f aca="false">I17-3*Y17</f>
        <v>18.8543818977598</v>
      </c>
      <c r="AQ17" s="40" t="n">
        <f aca="true">MAX(OFFSET(C17,1-MIN(p_StochN,ROW()-4),0,MIN(p_StochN,ROW()-4),1))</f>
        <v>20.21</v>
      </c>
      <c r="AR17" s="40" t="n">
        <f aca="true">MIN(OFFSET(D17,1-MIN(p_StochN,ROW()-4),0,MIN(p_StochN,ROW()-4),1))</f>
        <v>19.63</v>
      </c>
      <c r="AS17" s="45" t="n">
        <f aca="false">IF(AQ17=AR17,50,100*(E17-AR17)/(AQ17-AR17))</f>
        <v>84.4827586206897</v>
      </c>
      <c r="AT17" s="45" t="n">
        <f aca="true">AVERAGE(OFFSET(AS17,1-MIN(p_StochSm,ROW()-4),0,MIN(p_StochSm,ROW()-4),1))</f>
        <v>47.6232222871615</v>
      </c>
      <c r="AU17" s="45" t="n">
        <f aca="true">AVERAGE(OFFSET(AT17,1-MIN(p_StochSm,ROW()-4),0,MIN(p_StochSm,ROW()-4),1))</f>
        <v>45.3411802551747</v>
      </c>
      <c r="AV17" s="41" t="n">
        <f aca="false">MAX(0,H17-D17)</f>
        <v>0</v>
      </c>
      <c r="AW17" s="41" t="n">
        <f aca="true">IF(COUNTIF(OFFSET(AV17,1-MIN(p_PenLb,ROW()-4),0,MIN(p_PenLb,ROW()-4),1),"&gt;0")&gt;0,SUM(OFFSET(AV17,1-MIN(p_PenLb,ROW()-4),0,MIN(p_PenLb,ROW()-4),1))/COUNTIF(OFFSET(AV17,1-MIN(p_PenLb,ROW()-4),0,MIN(p_PenLb,ROW()-4),1),"&gt;0"),0.5*Y17)</f>
        <v>0.202033543310049</v>
      </c>
      <c r="AX17" s="41" t="n">
        <f aca="false">2*H17-H16</f>
        <v>19.915416853214</v>
      </c>
      <c r="AY17" s="40" t="n">
        <f aca="false">ROUND(MAX(AX17-AW17,0.01),2)</f>
        <v>19.71</v>
      </c>
      <c r="AZ17" s="40" t="n">
        <f aca="true">IF(MIN(p_StopLb,ROW()-4)&lt;2,D17,SMALL(OFFSET(D17,1-MIN(p_StopLb,ROW()-4),0,MIN(p_StopLb,ROW()-4),1),2))</f>
        <v>19.42</v>
      </c>
      <c r="BA17" s="40" t="n">
        <f aca="false">IF(MOD(ROUND(ROUNDDOWN(MIN(AZ17-0.01,AY17-p_StopAtr*Y17),2)*100,0),50)=0,ROUNDDOWN(MIN(AZ17-0.01,AY17-p_StopAtr*Y17),2)-0.01,ROUNDDOWN(MIN(AZ17-0.01,AY17-p_StopAtr*Y17),2))</f>
        <v>19.37</v>
      </c>
      <c r="BB17" s="40" t="n">
        <f aca="false">ROUND(AI17,2)</f>
        <v>21.04</v>
      </c>
      <c r="BC17" s="40" t="n">
        <f aca="false">IF(AY17-BA17&gt;0,(BB17-AY17)/(AY17-BA17),0)</f>
        <v>3.91176470588235</v>
      </c>
      <c r="BD17" s="42" t="n">
        <f aca="false">IF(N17&lt;0,1,0)</f>
        <v>0</v>
      </c>
      <c r="BE17" s="41" t="n">
        <f aca="false">IF(AND(BD17=1,BD16=0),N17,IF(BD17=1,MIN(BE16,N17),BE16))</f>
        <v>-0.0234128043712021</v>
      </c>
      <c r="BF17" s="40" t="n">
        <f aca="false">IF(AND(BD17=1,BD16=0),D17,IF(BD17=1,MIN(BF16,D17),BF16))</f>
        <v>19.42</v>
      </c>
      <c r="BG17" s="42" t="n">
        <f aca="false">IF(AND(BD17=1,BD16=0),ROW(),IF(BD17=1,IF(N17&lt;BE16,ROW(),BG16),BG16))</f>
        <v>10</v>
      </c>
      <c r="BH17" s="41" t="str">
        <f aca="false">IF(AND(BD17=1,BD16=0),BE16,BH16)</f>
        <v/>
      </c>
      <c r="BI17" s="40" t="str">
        <f aca="false">IF(AND(BD17=1,BD16=0),BF16,BI16)</f>
        <v/>
      </c>
      <c r="BJ17" s="42" t="str">
        <f aca="false">IF(AND(BD17=1,BD16=0),BG16,BJ16)</f>
        <v/>
      </c>
      <c r="BK17" s="42" t="str">
        <f aca="false">IF(AND(ISNUMBER(BG17),ISNUMBER(BJ17)),BG17-BJ17,"")</f>
        <v/>
      </c>
      <c r="BL17" s="42" t="n">
        <f aca="false">IF(AND(BD17=1,N17&gt;N16,ISNUMBER(BH17),ISNUMBER(BK17)),IF(AND(BE17&gt;BH17,BF17&lt;BI17,BK17&gt;=p_GapMin,BK17&lt;=p_GapMax),1,0),0)</f>
        <v>0</v>
      </c>
      <c r="BM17" s="42" t="n">
        <f aca="false">IF(AND(BL17=1,E17&gt;BI17),1,0)</f>
        <v>0</v>
      </c>
      <c r="BN17" s="42" t="n">
        <f aca="false">IF(BL17=1,IF(BE17&gt;=BH17*0.5,1,0),0)</f>
        <v>0</v>
      </c>
      <c r="BO17" s="42" t="n">
        <f aca="true">IF(V17&gt;MIN(OFFSET(V17,-MIN(p_FiLb-1,ROW()-5),0,MIN(p_FiLb-1,ROW()-5),1)),1,0)</f>
        <v>1</v>
      </c>
      <c r="BP17" s="44" t="n">
        <f aca="true">IF(COUNTIF(OFFSET(V17,1-MIN(100,ROW()-4),0,MIN(100,ROW()-4),1),"&lt;0")&gt;=5,AVERAGEIF(OFFSET(V17,1-MIN(100,ROW()-4),0,MIN(100,ROW()-4),1),"&lt;0"),"")</f>
        <v>-594876.079947162</v>
      </c>
      <c r="BQ17" s="42" t="n">
        <f aca="false">IF(ISNUMBER(BP17),IF(AND(V17&lt;5*BP17,V17&gt;V16,E17&lt;AJ17),1,0),0)</f>
        <v>0</v>
      </c>
      <c r="BR17" s="44" t="n">
        <f aca="true">AVERAGE(OFFSET(F17,1-MIN(5,ROW()-4),0,MIN(5,ROW()-4),1))</f>
        <v>3323200</v>
      </c>
      <c r="BS17" s="42" t="n">
        <f aca="false">IFERROR(IF(MATCH(G17,周线!$A$5:$A$84,0)&lt;=1,"",INDEX(周线!$R$5:$R$84,MATCH(G17,周线!$A$5:$A$84,0)-1)),"")</f>
        <v>0</v>
      </c>
      <c r="BT17" s="42" t="n">
        <f aca="false">IFERROR(IF(MATCH(G17,周线!$A$5:$A$84,0)&lt;=1,"",INDEX(周线!$S$5:$S$84,MATCH(G17,周线!$A$5:$A$84,0)-1)),"")</f>
        <v>0</v>
      </c>
      <c r="BU17" s="42" t="n">
        <f aca="false">IFERROR(IF(MATCH(G17,周线!$A$5:$A$84,0)&lt;=1,"",INDEX(周线!$U$5:$U$84,MATCH(G17,周线!$A$5:$A$84,0)-1)),"")</f>
        <v>-1</v>
      </c>
      <c r="BV17" s="42" t="n">
        <f aca="false">IF(AND(BS17=1,S17&lt;&gt;-1,V17&lt;0,BO17=1,E17&lt;=H17,E17&gt;=AJ17),1,0)</f>
        <v>0</v>
      </c>
      <c r="BW17" s="42" t="n">
        <f aca="false">BL17</f>
        <v>0</v>
      </c>
      <c r="BX17" s="42" t="n">
        <f aca="false">BQ17</f>
        <v>0</v>
      </c>
      <c r="BY17" s="42" t="n">
        <f aca="false">IF(BS17=1,10,0)+IF(BU17=1,5,IF(BU17=-1,0,3))+IF(BT17=1,5,0)+IF(AND(AE17&gt;AF17,AH17&gt;AH16),5,0)</f>
        <v>5</v>
      </c>
      <c r="BZ17" s="42" t="n">
        <f aca="false">IF(AND(E17&lt;=H17,E17&gt;=I17),10,IF(AND(E17&gt;=AJ17,E17&lt;I17),6,0))+IF(AND(V17&lt;0,BO17=1),8,0)+IF(AT17&lt;30,7,IF(AT17&lt;50,3,0))</f>
        <v>3</v>
      </c>
      <c r="CA17" s="42" t="n">
        <f aca="false">IF(AND(BV17=1,BW17=1),25,IF(BW17=1,22,IF(BV17=1,15,IF(BX17=1,12,0))))</f>
        <v>0</v>
      </c>
      <c r="CB17" s="42" t="n">
        <f aca="false">IF(W17&gt;0,6,0)+IF(F17&lt;BR17,4,0)</f>
        <v>10</v>
      </c>
      <c r="CC17" s="42" t="n">
        <f aca="false">IF(BC17&gt;=3,15,IF(BC17&gt;=p_RRmin,10,IF(BC17&gt;=1.5,4,0)))</f>
        <v>15</v>
      </c>
      <c r="CD17" s="42" t="n">
        <f aca="false">BY17+BZ17+CA17+CB17+CC17</f>
        <v>33</v>
      </c>
      <c r="CE17" s="42" t="n">
        <f aca="false">IF(AND(BS17&lt;&gt;1,BW17+BX17=0),1,0)</f>
        <v>1</v>
      </c>
      <c r="CF17" s="42" t="n">
        <f aca="false">IF(BU17=-1,1,0)</f>
        <v>1</v>
      </c>
      <c r="CG17" s="42" t="n">
        <f aca="false">IF(S17=-1,1,0)</f>
        <v>0</v>
      </c>
      <c r="CH17" s="42" t="n">
        <f aca="false">IF(BV17+BW17+BX17=0,1,0)</f>
        <v>1</v>
      </c>
      <c r="CI17" s="42" t="n">
        <f aca="false">IF(BC17&lt;p_RRmin,1,0)</f>
        <v>0</v>
      </c>
      <c r="CJ17" s="46" t="str">
        <f aca="false">IF(SUM(CE17:CI17)=0,IF(CD17&gt;=p_GradeA,"A",IF(CD17&gt;=p_GradeB,"B","C")),IF(AND(CI17=1,SUM(CE17:CH17)=0,CD17&gt;=p_GradeB),"B","C"))</f>
        <v>C</v>
      </c>
    </row>
    <row r="18" customFormat="false" ht="15" hidden="false" customHeight="false" outlineLevel="0" collapsed="false">
      <c r="A18" s="36" t="n">
        <v>45678</v>
      </c>
      <c r="B18" s="37" t="n">
        <v>20.05</v>
      </c>
      <c r="C18" s="37" t="n">
        <v>20.47</v>
      </c>
      <c r="D18" s="37" t="n">
        <v>20.02</v>
      </c>
      <c r="E18" s="37" t="n">
        <v>20.45</v>
      </c>
      <c r="F18" s="38" t="n">
        <v>3402400</v>
      </c>
      <c r="G18" s="39" t="n">
        <f aca="false">A18-WEEKDAY(A18,3)</f>
        <v>45677</v>
      </c>
      <c r="H18" s="40" t="n">
        <f aca="false">2/(p_EmaF+1)*E18+(1-2/(p_EmaF+1))*H17</f>
        <v>19.9567144775915</v>
      </c>
      <c r="I18" s="40" t="n">
        <f aca="false">2/(p_EmaS+1)*E18+(1-2/(p_EmaS+1))*I17</f>
        <v>19.8935160021992</v>
      </c>
      <c r="J18" s="41" t="n">
        <f aca="false">2/(p_MacdF+1)*E18+(1-2/(p_MacdF+1))*J17</f>
        <v>19.9663772287059</v>
      </c>
      <c r="K18" s="41" t="n">
        <f aca="false">2/(p_MacdS+1)*E18+(1-2/(p_MacdS+1))*K17</f>
        <v>19.8935160021992</v>
      </c>
      <c r="L18" s="41" t="n">
        <f aca="false">J18-K18</f>
        <v>0.0728612265067206</v>
      </c>
      <c r="M18" s="41" t="n">
        <f aca="false">2/(p_MacdSig+1)*L18+(1-2/(p_MacdSig+1))*M17</f>
        <v>0.0209646743842176</v>
      </c>
      <c r="N18" s="41" t="n">
        <f aca="false">L18-M18</f>
        <v>0.051896552122503</v>
      </c>
      <c r="O18" s="42" t="n">
        <f aca="false">IF(H18&gt;H17,1,0)</f>
        <v>1</v>
      </c>
      <c r="P18" s="42" t="n">
        <f aca="false">IF(H18&lt;H17,1,0)</f>
        <v>0</v>
      </c>
      <c r="Q18" s="42" t="n">
        <f aca="false">IF(N18&gt;N17,1,0)</f>
        <v>1</v>
      </c>
      <c r="R18" s="42" t="n">
        <f aca="false">IF(N18&lt;N17,1,0)</f>
        <v>0</v>
      </c>
      <c r="S18" s="42" t="n">
        <f aca="false">IF(AND(O18=1,Q18=1),1,IF(AND(P18=1,R18=1),-1,0))</f>
        <v>1</v>
      </c>
      <c r="T18" s="43" t="str">
        <f aca="false">IF(S18=1,"绿",IF(S18=-1,"红","蓝"))</f>
        <v>绿</v>
      </c>
      <c r="U18" s="44" t="n">
        <f aca="false">F18*(E18-E17)</f>
        <v>1122791.99999999</v>
      </c>
      <c r="V18" s="44" t="n">
        <f aca="false">2/(p_FiS+1)*U18+(1-2/(p_FiS+1))*V17</f>
        <v>910218.422910536</v>
      </c>
      <c r="W18" s="44" t="n">
        <f aca="false">2/(p_FiL+1)*U18+(1-2/(p_FiL+1))*W17</f>
        <v>203873.236394452</v>
      </c>
      <c r="X18" s="41" t="n">
        <f aca="false">MAX(C18-D18,ABS(C18-E17),ABS(D18-E17))</f>
        <v>0.449999999999999</v>
      </c>
      <c r="Y18" s="41" t="n">
        <f aca="true">AVERAGE(OFFSET(X18,1-MIN(p_AtrN,ROW()-4),0,MIN(p_AtrN,ROW()-4),1))</f>
        <v>0.344615384615384</v>
      </c>
      <c r="Z18" s="41" t="n">
        <f aca="false">IF(AND(C18-C17&gt;D17-D18,C18-C17&gt;0),C18-C17,0)</f>
        <v>0.299999999999997</v>
      </c>
      <c r="AA18" s="41" t="n">
        <f aca="false">IF(AND(D17-D18&gt;C18-C17,D17-D18&gt;0),D17-D18,0)</f>
        <v>0</v>
      </c>
      <c r="AB18" s="41" t="n">
        <f aca="false">2/(p_AdxN+1)*X18+(1-2/(p_AdxN+1))*AB17</f>
        <v>0.332440358137902</v>
      </c>
      <c r="AC18" s="41" t="n">
        <f aca="false">2/(p_AdxN+1)*Z18+(1-2/(p_AdxN+1))*AC17</f>
        <v>0.102457356431239</v>
      </c>
      <c r="AD18" s="41" t="n">
        <f aca="false">2/(p_AdxN+1)*AA18+(1-2/(p_AdxN+1))*AD17</f>
        <v>0.0393350607102977</v>
      </c>
      <c r="AE18" s="45" t="n">
        <f aca="false">100*AC18/AB18</f>
        <v>30.8197708019366</v>
      </c>
      <c r="AF18" s="45" t="n">
        <f aca="false">100*AD18/AB18</f>
        <v>11.8322158388425</v>
      </c>
      <c r="AG18" s="45" t="n">
        <f aca="false">IFERROR(100*ABS(AE18-AF18)/(AE18+AF18),0)</f>
        <v>44.5173987392659</v>
      </c>
      <c r="AH18" s="45" t="n">
        <f aca="false">2/(p_AdxN+1)*AG18+(1-2/(p_AdxN+1))*AH17</f>
        <v>23.8518190913084</v>
      </c>
      <c r="AI18" s="40" t="n">
        <f aca="false">I18*(1+p_ChPct)</f>
        <v>21.0871269623312</v>
      </c>
      <c r="AJ18" s="40" t="n">
        <f aca="false">I18*(1-p_ChPct)</f>
        <v>18.6999050420673</v>
      </c>
      <c r="AK18" s="40" t="n">
        <f aca="false">I18+1*Y18</f>
        <v>20.2381313868146</v>
      </c>
      <c r="AL18" s="40" t="n">
        <f aca="false">I18+2*Y18</f>
        <v>20.58274677143</v>
      </c>
      <c r="AM18" s="40" t="n">
        <f aca="false">I18+3*Y18</f>
        <v>20.9273621560454</v>
      </c>
      <c r="AN18" s="40" t="n">
        <f aca="false">I18-1*Y18</f>
        <v>19.5489006175838</v>
      </c>
      <c r="AO18" s="40" t="n">
        <f aca="false">I18-2*Y18</f>
        <v>19.2042852329685</v>
      </c>
      <c r="AP18" s="40" t="n">
        <f aca="false">I18-3*Y18</f>
        <v>18.8596698483531</v>
      </c>
      <c r="AQ18" s="40" t="n">
        <f aca="true">MAX(OFFSET(C18,1-MIN(p_StochN,ROW()-4),0,MIN(p_StochN,ROW()-4),1))</f>
        <v>20.47</v>
      </c>
      <c r="AR18" s="40" t="n">
        <f aca="true">MIN(OFFSET(D18,1-MIN(p_StochN,ROW()-4),0,MIN(p_StochN,ROW()-4),1))</f>
        <v>19.63</v>
      </c>
      <c r="AS18" s="45" t="n">
        <f aca="false">IF(AQ18=AR18,50,100*(E18-AR18)/(AQ18-AR18))</f>
        <v>97.6190476190477</v>
      </c>
      <c r="AT18" s="45" t="n">
        <f aca="true">AVERAGE(OFFSET(AS18,1-MIN(p_StochSm,ROW()-4),0,MIN(p_StochSm,ROW()-4),1))</f>
        <v>75.6431308155447</v>
      </c>
      <c r="AU18" s="45" t="n">
        <f aca="true">AVERAGE(OFFSET(AT18,1-MIN(p_StochSm,ROW()-4),0,MIN(p_StochSm,ROW()-4),1))</f>
        <v>53.0614506840564</v>
      </c>
      <c r="AV18" s="41" t="n">
        <f aca="false">MAX(0,H18-D18)</f>
        <v>0</v>
      </c>
      <c r="AW18" s="41" t="n">
        <f aca="true">IF(COUNTIF(OFFSET(AV18,1-MIN(p_PenLb,ROW()-4),0,MIN(p_PenLb,ROW()-4),1),"&gt;0")&gt;0,SUM(OFFSET(AV18,1-MIN(p_PenLb,ROW()-4),0,MIN(p_PenLb,ROW()-4),1))/COUNTIF(OFFSET(AV18,1-MIN(p_PenLb,ROW()-4),0,MIN(p_PenLb,ROW()-4),1),"&gt;0"),0.5*Y18)</f>
        <v>0.202033543310049</v>
      </c>
      <c r="AX18" s="41" t="n">
        <f aca="false">2*H18-H17</f>
        <v>20.0389287313263</v>
      </c>
      <c r="AY18" s="40" t="n">
        <f aca="false">ROUND(MAX(AX18-AW18,0.01),2)</f>
        <v>19.84</v>
      </c>
      <c r="AZ18" s="40" t="n">
        <f aca="true">IF(MIN(p_StopLb,ROW()-4)&lt;2,D18,SMALL(OFFSET(D18,1-MIN(p_StopLb,ROW()-4),0,MIN(p_StopLb,ROW()-4),1),2))</f>
        <v>19.42</v>
      </c>
      <c r="BA18" s="40" t="n">
        <f aca="false">IF(MOD(ROUND(ROUNDDOWN(MIN(AZ18-0.01,AY18-p_StopAtr*Y18),2)*100,0),50)=0,ROUNDDOWN(MIN(AZ18-0.01,AY18-p_StopAtr*Y18),2)-0.01,ROUNDDOWN(MIN(AZ18-0.01,AY18-p_StopAtr*Y18),2))</f>
        <v>19.41</v>
      </c>
      <c r="BB18" s="40" t="n">
        <f aca="false">ROUND(AI18,2)</f>
        <v>21.09</v>
      </c>
      <c r="BC18" s="40" t="n">
        <f aca="false">IF(AY18-BA18&gt;0,(BB18-AY18)/(AY18-BA18),0)</f>
        <v>2.90697674418605</v>
      </c>
      <c r="BD18" s="42" t="n">
        <f aca="false">IF(N18&lt;0,1,0)</f>
        <v>0</v>
      </c>
      <c r="BE18" s="41" t="n">
        <f aca="false">IF(AND(BD18=1,BD17=0),N18,IF(BD18=1,MIN(BE17,N18),BE17))</f>
        <v>-0.0234128043712021</v>
      </c>
      <c r="BF18" s="40" t="n">
        <f aca="false">IF(AND(BD18=1,BD17=0),D18,IF(BD18=1,MIN(BF17,D18),BF17))</f>
        <v>19.42</v>
      </c>
      <c r="BG18" s="42" t="n">
        <f aca="false">IF(AND(BD18=1,BD17=0),ROW(),IF(BD18=1,IF(N18&lt;BE17,ROW(),BG17),BG17))</f>
        <v>10</v>
      </c>
      <c r="BH18" s="41" t="str">
        <f aca="false">IF(AND(BD18=1,BD17=0),BE17,BH17)</f>
        <v/>
      </c>
      <c r="BI18" s="40" t="str">
        <f aca="false">IF(AND(BD18=1,BD17=0),BF17,BI17)</f>
        <v/>
      </c>
      <c r="BJ18" s="42" t="str">
        <f aca="false">IF(AND(BD18=1,BD17=0),BG17,BJ17)</f>
        <v/>
      </c>
      <c r="BK18" s="42" t="str">
        <f aca="false">IF(AND(ISNUMBER(BG18),ISNUMBER(BJ18)),BG18-BJ18,"")</f>
        <v/>
      </c>
      <c r="BL18" s="42" t="n">
        <f aca="false">IF(AND(BD18=1,N18&gt;N17,ISNUMBER(BH18),ISNUMBER(BK18)),IF(AND(BE18&gt;BH18,BF18&lt;BI18,BK18&gt;=p_GapMin,BK18&lt;=p_GapMax),1,0),0)</f>
        <v>0</v>
      </c>
      <c r="BM18" s="42" t="n">
        <f aca="false">IF(AND(BL18=1,E18&gt;BI18),1,0)</f>
        <v>0</v>
      </c>
      <c r="BN18" s="42" t="n">
        <f aca="false">IF(BL18=1,IF(BE18&gt;=BH18*0.5,1,0),0)</f>
        <v>0</v>
      </c>
      <c r="BO18" s="42" t="n">
        <f aca="true">IF(V18&gt;MIN(OFFSET(V18,-MIN(p_FiLb-1,ROW()-5),0,MIN(p_FiLb-1,ROW()-5),1)),1,0)</f>
        <v>1</v>
      </c>
      <c r="BP18" s="44" t="n">
        <f aca="true">IF(COUNTIF(OFFSET(V18,1-MIN(100,ROW()-4),0,MIN(100,ROW()-4),1),"&lt;0")&gt;=5,AVERAGEIF(OFFSET(V18,1-MIN(100,ROW()-4),0,MIN(100,ROW()-4),1),"&lt;0"),"")</f>
        <v>-594876.079947162</v>
      </c>
      <c r="BQ18" s="42" t="n">
        <f aca="false">IF(ISNUMBER(BP18),IF(AND(V18&lt;5*BP18,V18&gt;V17,E18&lt;AJ18),1,0),0)</f>
        <v>0</v>
      </c>
      <c r="BR18" s="44" t="n">
        <f aca="true">AVERAGE(OFFSET(F18,1-MIN(5,ROW()-4),0,MIN(5,ROW()-4),1))</f>
        <v>3460120</v>
      </c>
      <c r="BS18" s="42" t="n">
        <f aca="false">IFERROR(IF(MATCH(G18,周线!$A$5:$A$84,0)&lt;=1,"",INDEX(周线!$R$5:$R$84,MATCH(G18,周线!$A$5:$A$84,0)-1)),"")</f>
        <v>0</v>
      </c>
      <c r="BT18" s="42" t="n">
        <f aca="false">IFERROR(IF(MATCH(G18,周线!$A$5:$A$84,0)&lt;=1,"",INDEX(周线!$S$5:$S$84,MATCH(G18,周线!$A$5:$A$84,0)-1)),"")</f>
        <v>0</v>
      </c>
      <c r="BU18" s="42" t="n">
        <f aca="false">IFERROR(IF(MATCH(G18,周线!$A$5:$A$84,0)&lt;=1,"",INDEX(周线!$U$5:$U$84,MATCH(G18,周线!$A$5:$A$84,0)-1)),"")</f>
        <v>-1</v>
      </c>
      <c r="BV18" s="42" t="n">
        <f aca="false">IF(AND(BS18=1,S18&lt;&gt;-1,V18&lt;0,BO18=1,E18&lt;=H18,E18&gt;=AJ18),1,0)</f>
        <v>0</v>
      </c>
      <c r="BW18" s="42" t="n">
        <f aca="false">BL18</f>
        <v>0</v>
      </c>
      <c r="BX18" s="42" t="n">
        <f aca="false">BQ18</f>
        <v>0</v>
      </c>
      <c r="BY18" s="42" t="n">
        <f aca="false">IF(BS18=1,10,0)+IF(BU18=1,5,IF(BU18=-1,0,3))+IF(BT18=1,5,0)+IF(AND(AE18&gt;AF18,AH18&gt;AH17),5,0)</f>
        <v>5</v>
      </c>
      <c r="BZ18" s="42" t="n">
        <f aca="false">IF(AND(E18&lt;=H18,E18&gt;=I18),10,IF(AND(E18&gt;=AJ18,E18&lt;I18),6,0))+IF(AND(V18&lt;0,BO18=1),8,0)+IF(AT18&lt;30,7,IF(AT18&lt;50,3,0))</f>
        <v>0</v>
      </c>
      <c r="CA18" s="42" t="n">
        <f aca="false">IF(AND(BV18=1,BW18=1),25,IF(BW18=1,22,IF(BV18=1,15,IF(BX18=1,12,0))))</f>
        <v>0</v>
      </c>
      <c r="CB18" s="42" t="n">
        <f aca="false">IF(W18&gt;0,6,0)+IF(F18&lt;BR18,4,0)</f>
        <v>10</v>
      </c>
      <c r="CC18" s="42" t="n">
        <f aca="false">IF(BC18&gt;=3,15,IF(BC18&gt;=p_RRmin,10,IF(BC18&gt;=1.5,4,0)))</f>
        <v>10</v>
      </c>
      <c r="CD18" s="42" t="n">
        <f aca="false">BY18+BZ18+CA18+CB18+CC18</f>
        <v>25</v>
      </c>
      <c r="CE18" s="42" t="n">
        <f aca="false">IF(AND(BS18&lt;&gt;1,BW18+BX18=0),1,0)</f>
        <v>1</v>
      </c>
      <c r="CF18" s="42" t="n">
        <f aca="false">IF(BU18=-1,1,0)</f>
        <v>1</v>
      </c>
      <c r="CG18" s="42" t="n">
        <f aca="false">IF(S18=-1,1,0)</f>
        <v>0</v>
      </c>
      <c r="CH18" s="42" t="n">
        <f aca="false">IF(BV18+BW18+BX18=0,1,0)</f>
        <v>1</v>
      </c>
      <c r="CI18" s="42" t="n">
        <f aca="false">IF(BC18&lt;p_RRmin,1,0)</f>
        <v>0</v>
      </c>
      <c r="CJ18" s="46" t="str">
        <f aca="false">IF(SUM(CE18:CI18)=0,IF(CD18&gt;=p_GradeA,"A",IF(CD18&gt;=p_GradeB,"B","C")),IF(AND(CI18=1,SUM(CE18:CH18)=0,CD18&gt;=p_GradeB),"B","C"))</f>
        <v>C</v>
      </c>
    </row>
    <row r="19" customFormat="false" ht="15" hidden="false" customHeight="false" outlineLevel="0" collapsed="false">
      <c r="A19" s="36" t="n">
        <v>45679</v>
      </c>
      <c r="B19" s="37" t="n">
        <v>20.4</v>
      </c>
      <c r="C19" s="37" t="n">
        <v>20.47</v>
      </c>
      <c r="D19" s="37" t="n">
        <v>20.21</v>
      </c>
      <c r="E19" s="37" t="n">
        <v>20.41</v>
      </c>
      <c r="F19" s="38" t="n">
        <v>3817500</v>
      </c>
      <c r="G19" s="39" t="n">
        <f aca="false">A19-WEEKDAY(A19,3)</f>
        <v>45677</v>
      </c>
      <c r="H19" s="40" t="n">
        <f aca="false">2/(p_EmaF+1)*E19+(1-2/(p_EmaF+1))*H18</f>
        <v>20.0214695522213</v>
      </c>
      <c r="I19" s="40" t="n">
        <f aca="false">2/(p_EmaS+1)*E19+(1-2/(p_EmaS+1))*I18</f>
        <v>19.9317740761104</v>
      </c>
      <c r="J19" s="41" t="n">
        <f aca="false">2/(p_MacdF+1)*E19+(1-2/(p_MacdF+1))*J18</f>
        <v>20.0346268858281</v>
      </c>
      <c r="K19" s="41" t="n">
        <f aca="false">2/(p_MacdS+1)*E19+(1-2/(p_MacdS+1))*K18</f>
        <v>19.9317740761104</v>
      </c>
      <c r="L19" s="41" t="n">
        <f aca="false">J19-K19</f>
        <v>0.102852809717714</v>
      </c>
      <c r="M19" s="41" t="n">
        <f aca="false">2/(p_MacdSig+1)*L19+(1-2/(p_MacdSig+1))*M18</f>
        <v>0.0373423014509168</v>
      </c>
      <c r="N19" s="41" t="n">
        <f aca="false">L19-M19</f>
        <v>0.0655105082667969</v>
      </c>
      <c r="O19" s="42" t="n">
        <f aca="false">IF(H19&gt;H18,1,0)</f>
        <v>1</v>
      </c>
      <c r="P19" s="42" t="n">
        <f aca="false">IF(H19&lt;H18,1,0)</f>
        <v>0</v>
      </c>
      <c r="Q19" s="42" t="n">
        <f aca="false">IF(N19&gt;N18,1,0)</f>
        <v>1</v>
      </c>
      <c r="R19" s="42" t="n">
        <f aca="false">IF(N19&lt;N18,1,0)</f>
        <v>0</v>
      </c>
      <c r="S19" s="42" t="n">
        <f aca="false">IF(AND(O19=1,Q19=1),1,IF(AND(P19=1,R19=1),-1,0))</f>
        <v>1</v>
      </c>
      <c r="T19" s="43" t="str">
        <f aca="false">IF(S19=1,"绿",IF(S19=-1,"红","蓝"))</f>
        <v>绿</v>
      </c>
      <c r="U19" s="44" t="n">
        <f aca="false">F19*(E19-E18)</f>
        <v>-152699.999999997</v>
      </c>
      <c r="V19" s="44" t="n">
        <f aca="false">2/(p_FiS+1)*U19+(1-2/(p_FiS+1))*V18</f>
        <v>201606.140970181</v>
      </c>
      <c r="W19" s="44" t="n">
        <f aca="false">2/(p_FiL+1)*U19+(1-2/(p_FiL+1))*W18</f>
        <v>152934.202623817</v>
      </c>
      <c r="X19" s="41" t="n">
        <f aca="false">MAX(C19-D19,ABS(C19-E18),ABS(D19-E18))</f>
        <v>0.259999999999998</v>
      </c>
      <c r="Y19" s="41" t="n">
        <f aca="true">AVERAGE(OFFSET(X19,1-MIN(p_AtrN,ROW()-4),0,MIN(p_AtrN,ROW()-4),1))</f>
        <v>0.337692307692307</v>
      </c>
      <c r="Z19" s="41" t="n">
        <f aca="false">IF(AND(C19-C18&gt;D18-D19,C19-C18&gt;0),C19-C18,0)</f>
        <v>0</v>
      </c>
      <c r="AA19" s="41" t="n">
        <f aca="false">IF(AND(D18-D19&gt;C19-C18,D18-D19&gt;0),D18-D19,0)</f>
        <v>0</v>
      </c>
      <c r="AB19" s="41" t="n">
        <f aca="false">2/(p_AdxN+1)*X19+(1-2/(p_AdxN+1))*AB18</f>
        <v>0.322091735546773</v>
      </c>
      <c r="AC19" s="41" t="n">
        <f aca="false">2/(p_AdxN+1)*Z19+(1-2/(p_AdxN+1))*AC18</f>
        <v>0.0878205912267759</v>
      </c>
      <c r="AD19" s="41" t="n">
        <f aca="false">2/(p_AdxN+1)*AA19+(1-2/(p_AdxN+1))*AD18</f>
        <v>0.0337157663231123</v>
      </c>
      <c r="AE19" s="45" t="n">
        <f aca="false">100*AC19/AB19</f>
        <v>27.2657077269289</v>
      </c>
      <c r="AF19" s="45" t="n">
        <f aca="false">100*AD19/AB19</f>
        <v>10.4677526934609</v>
      </c>
      <c r="AG19" s="45" t="n">
        <f aca="false">IFERROR(100*ABS(AE19-AF19)/(AE19+AF19),0)</f>
        <v>44.5173987392659</v>
      </c>
      <c r="AH19" s="45" t="n">
        <f aca="false">2/(p_AdxN+1)*AG19+(1-2/(p_AdxN+1))*AH18</f>
        <v>26.8040447553023</v>
      </c>
      <c r="AI19" s="40" t="n">
        <f aca="false">I19*(1+p_ChPct)</f>
        <v>21.127680520677</v>
      </c>
      <c r="AJ19" s="40" t="n">
        <f aca="false">I19*(1-p_ChPct)</f>
        <v>18.7358676315438</v>
      </c>
      <c r="AK19" s="40" t="n">
        <f aca="false">I19+1*Y19</f>
        <v>20.2694663838027</v>
      </c>
      <c r="AL19" s="40" t="n">
        <f aca="false">I19+2*Y19</f>
        <v>20.607158691495</v>
      </c>
      <c r="AM19" s="40" t="n">
        <f aca="false">I19+3*Y19</f>
        <v>20.9448509991873</v>
      </c>
      <c r="AN19" s="40" t="n">
        <f aca="false">I19-1*Y19</f>
        <v>19.5940817684181</v>
      </c>
      <c r="AO19" s="40" t="n">
        <f aca="false">I19-2*Y19</f>
        <v>19.2563894607258</v>
      </c>
      <c r="AP19" s="40" t="n">
        <f aca="false">I19-3*Y19</f>
        <v>18.9186971530335</v>
      </c>
      <c r="AQ19" s="40" t="n">
        <f aca="true">MAX(OFFSET(C19,1-MIN(p_StochN,ROW()-4),0,MIN(p_StochN,ROW()-4),1))</f>
        <v>20.47</v>
      </c>
      <c r="AR19" s="40" t="n">
        <f aca="true">MIN(OFFSET(D19,1-MIN(p_StochN,ROW()-4),0,MIN(p_StochN,ROW()-4),1))</f>
        <v>19.63</v>
      </c>
      <c r="AS19" s="45" t="n">
        <f aca="false">IF(AQ19=AR19,50,100*(E19-AR19)/(AQ19-AR19))</f>
        <v>92.857142857143</v>
      </c>
      <c r="AT19" s="45" t="n">
        <f aca="true">AVERAGE(OFFSET(AS19,1-MIN(p_StochSm,ROW()-4),0,MIN(p_StochSm,ROW()-4),1))</f>
        <v>91.6529830322935</v>
      </c>
      <c r="AU19" s="45" t="n">
        <f aca="true">AVERAGE(OFFSET(AT19,1-MIN(p_StochSm,ROW()-4),0,MIN(p_StochSm,ROW()-4),1))</f>
        <v>71.6397787116665</v>
      </c>
      <c r="AV19" s="41" t="n">
        <f aca="false">MAX(0,H19-D19)</f>
        <v>0</v>
      </c>
      <c r="AW19" s="41" t="n">
        <f aca="true">IF(COUNTIF(OFFSET(AV19,1-MIN(p_PenLb,ROW()-4),0,MIN(p_PenLb,ROW()-4),1),"&gt;0")&gt;0,SUM(OFFSET(AV19,1-MIN(p_PenLb,ROW()-4),0,MIN(p_PenLb,ROW()-4),1))/COUNTIF(OFFSET(AV19,1-MIN(p_PenLb,ROW()-4),0,MIN(p_PenLb,ROW()-4),1),"&gt;0"),0.5*Y19)</f>
        <v>0.202033543310049</v>
      </c>
      <c r="AX19" s="41" t="n">
        <f aca="false">2*H19-H18</f>
        <v>20.0862246268511</v>
      </c>
      <c r="AY19" s="40" t="n">
        <f aca="false">ROUND(MAX(AX19-AW19,0.01),2)</f>
        <v>19.88</v>
      </c>
      <c r="AZ19" s="40" t="n">
        <f aca="true">IF(MIN(p_StopLb,ROW()-4)&lt;2,D19,SMALL(OFFSET(D19,1-MIN(p_StopLb,ROW()-4),0,MIN(p_StopLb,ROW()-4),1),2))</f>
        <v>19.62</v>
      </c>
      <c r="BA19" s="40" t="n">
        <f aca="false">IF(MOD(ROUND(ROUNDDOWN(MIN(AZ19-0.01,AY19-p_StopAtr*Y19),2)*100,0),50)=0,ROUNDDOWN(MIN(AZ19-0.01,AY19-p_StopAtr*Y19),2)-0.01,ROUNDDOWN(MIN(AZ19-0.01,AY19-p_StopAtr*Y19),2))</f>
        <v>19.54</v>
      </c>
      <c r="BB19" s="40" t="n">
        <f aca="false">ROUND(AI19,2)</f>
        <v>21.13</v>
      </c>
      <c r="BC19" s="40" t="n">
        <f aca="false">IF(AY19-BA19&gt;0,(BB19-AY19)/(AY19-BA19),0)</f>
        <v>3.6764705882353</v>
      </c>
      <c r="BD19" s="42" t="n">
        <f aca="false">IF(N19&lt;0,1,0)</f>
        <v>0</v>
      </c>
      <c r="BE19" s="41" t="n">
        <f aca="false">IF(AND(BD19=1,BD18=0),N19,IF(BD19=1,MIN(BE18,N19),BE18))</f>
        <v>-0.0234128043712021</v>
      </c>
      <c r="BF19" s="40" t="n">
        <f aca="false">IF(AND(BD19=1,BD18=0),D19,IF(BD19=1,MIN(BF18,D19),BF18))</f>
        <v>19.42</v>
      </c>
      <c r="BG19" s="42" t="n">
        <f aca="false">IF(AND(BD19=1,BD18=0),ROW(),IF(BD19=1,IF(N19&lt;BE18,ROW(),BG18),BG18))</f>
        <v>10</v>
      </c>
      <c r="BH19" s="41" t="str">
        <f aca="false">IF(AND(BD19=1,BD18=0),BE18,BH18)</f>
        <v/>
      </c>
      <c r="BI19" s="40" t="str">
        <f aca="false">IF(AND(BD19=1,BD18=0),BF18,BI18)</f>
        <v/>
      </c>
      <c r="BJ19" s="42" t="str">
        <f aca="false">IF(AND(BD19=1,BD18=0),BG18,BJ18)</f>
        <v/>
      </c>
      <c r="BK19" s="42" t="str">
        <f aca="false">IF(AND(ISNUMBER(BG19),ISNUMBER(BJ19)),BG19-BJ19,"")</f>
        <v/>
      </c>
      <c r="BL19" s="42" t="n">
        <f aca="false">IF(AND(BD19=1,N19&gt;N18,ISNUMBER(BH19),ISNUMBER(BK19)),IF(AND(BE19&gt;BH19,BF19&lt;BI19,BK19&gt;=p_GapMin,BK19&lt;=p_GapMax),1,0),0)</f>
        <v>0</v>
      </c>
      <c r="BM19" s="42" t="n">
        <f aca="false">IF(AND(BL19=1,E19&gt;BI19),1,0)</f>
        <v>0</v>
      </c>
      <c r="BN19" s="42" t="n">
        <f aca="false">IF(BL19=1,IF(BE19&gt;=BH19*0.5,1,0),0)</f>
        <v>0</v>
      </c>
      <c r="BO19" s="42" t="n">
        <f aca="true">IF(V19&gt;MIN(OFFSET(V19,-MIN(p_FiLb-1,ROW()-5),0,MIN(p_FiLb-1,ROW()-5),1)),1,0)</f>
        <v>1</v>
      </c>
      <c r="BP19" s="44" t="n">
        <f aca="true">IF(COUNTIF(OFFSET(V19,1-MIN(100,ROW()-4),0,MIN(100,ROW()-4),1),"&lt;0")&gt;=5,AVERAGEIF(OFFSET(V19,1-MIN(100,ROW()-4),0,MIN(100,ROW()-4),1),"&lt;0"),"")</f>
        <v>-594876.079947162</v>
      </c>
      <c r="BQ19" s="42" t="n">
        <f aca="false">IF(ISNUMBER(BP19),IF(AND(V19&lt;5*BP19,V19&gt;V18,E19&lt;AJ19),1,0),0)</f>
        <v>0</v>
      </c>
      <c r="BR19" s="44" t="n">
        <f aca="true">AVERAGE(OFFSET(F19,1-MIN(5,ROW()-4),0,MIN(5,ROW()-4),1))</f>
        <v>3152180</v>
      </c>
      <c r="BS19" s="42" t="n">
        <f aca="false">IFERROR(IF(MATCH(G19,周线!$A$5:$A$84,0)&lt;=1,"",INDEX(周线!$R$5:$R$84,MATCH(G19,周线!$A$5:$A$84,0)-1)),"")</f>
        <v>0</v>
      </c>
      <c r="BT19" s="42" t="n">
        <f aca="false">IFERROR(IF(MATCH(G19,周线!$A$5:$A$84,0)&lt;=1,"",INDEX(周线!$S$5:$S$84,MATCH(G19,周线!$A$5:$A$84,0)-1)),"")</f>
        <v>0</v>
      </c>
      <c r="BU19" s="42" t="n">
        <f aca="false">IFERROR(IF(MATCH(G19,周线!$A$5:$A$84,0)&lt;=1,"",INDEX(周线!$U$5:$U$84,MATCH(G19,周线!$A$5:$A$84,0)-1)),"")</f>
        <v>-1</v>
      </c>
      <c r="BV19" s="42" t="n">
        <f aca="false">IF(AND(BS19=1,S19&lt;&gt;-1,V19&lt;0,BO19=1,E19&lt;=H19,E19&gt;=AJ19),1,0)</f>
        <v>0</v>
      </c>
      <c r="BW19" s="42" t="n">
        <f aca="false">BL19</f>
        <v>0</v>
      </c>
      <c r="BX19" s="42" t="n">
        <f aca="false">BQ19</f>
        <v>0</v>
      </c>
      <c r="BY19" s="42" t="n">
        <f aca="false">IF(BS19=1,10,0)+IF(BU19=1,5,IF(BU19=-1,0,3))+IF(BT19=1,5,0)+IF(AND(AE19&gt;AF19,AH19&gt;AH18),5,0)</f>
        <v>5</v>
      </c>
      <c r="BZ19" s="42" t="n">
        <f aca="false">IF(AND(E19&lt;=H19,E19&gt;=I19),10,IF(AND(E19&gt;=AJ19,E19&lt;I19),6,0))+IF(AND(V19&lt;0,BO19=1),8,0)+IF(AT19&lt;30,7,IF(AT19&lt;50,3,0))</f>
        <v>0</v>
      </c>
      <c r="CA19" s="42" t="n">
        <f aca="false">IF(AND(BV19=1,BW19=1),25,IF(BW19=1,22,IF(BV19=1,15,IF(BX19=1,12,0))))</f>
        <v>0</v>
      </c>
      <c r="CB19" s="42" t="n">
        <f aca="false">IF(W19&gt;0,6,0)+IF(F19&lt;BR19,4,0)</f>
        <v>6</v>
      </c>
      <c r="CC19" s="42" t="n">
        <f aca="false">IF(BC19&gt;=3,15,IF(BC19&gt;=p_RRmin,10,IF(BC19&gt;=1.5,4,0)))</f>
        <v>15</v>
      </c>
      <c r="CD19" s="42" t="n">
        <f aca="false">BY19+BZ19+CA19+CB19+CC19</f>
        <v>26</v>
      </c>
      <c r="CE19" s="42" t="n">
        <f aca="false">IF(AND(BS19&lt;&gt;1,BW19+BX19=0),1,0)</f>
        <v>1</v>
      </c>
      <c r="CF19" s="42" t="n">
        <f aca="false">IF(BU19=-1,1,0)</f>
        <v>1</v>
      </c>
      <c r="CG19" s="42" t="n">
        <f aca="false">IF(S19=-1,1,0)</f>
        <v>0</v>
      </c>
      <c r="CH19" s="42" t="n">
        <f aca="false">IF(BV19+BW19+BX19=0,1,0)</f>
        <v>1</v>
      </c>
      <c r="CI19" s="42" t="n">
        <f aca="false">IF(BC19&lt;p_RRmin,1,0)</f>
        <v>0</v>
      </c>
      <c r="CJ19" s="46" t="str">
        <f aca="false">IF(SUM(CE19:CI19)=0,IF(CD19&gt;=p_GradeA,"A",IF(CD19&gt;=p_GradeB,"B","C")),IF(AND(CI19=1,SUM(CE19:CH19)=0,CD19&gt;=p_GradeB),"B","C"))</f>
        <v>C</v>
      </c>
    </row>
    <row r="20" customFormat="false" ht="15" hidden="false" customHeight="false" outlineLevel="0" collapsed="false">
      <c r="A20" s="36" t="n">
        <v>45680</v>
      </c>
      <c r="B20" s="37" t="n">
        <v>20.4</v>
      </c>
      <c r="C20" s="37" t="n">
        <v>20.7</v>
      </c>
      <c r="D20" s="37" t="n">
        <v>20.36</v>
      </c>
      <c r="E20" s="37" t="n">
        <v>20.62</v>
      </c>
      <c r="F20" s="38" t="n">
        <v>3381500</v>
      </c>
      <c r="G20" s="39" t="n">
        <f aca="false">A20-WEEKDAY(A20,3)</f>
        <v>45677</v>
      </c>
      <c r="H20" s="40" t="n">
        <f aca="false">2/(p_EmaF+1)*E20+(1-2/(p_EmaF+1))*H19</f>
        <v>20.106973901904</v>
      </c>
      <c r="I20" s="40" t="n">
        <f aca="false">2/(p_EmaS+1)*E20+(1-2/(p_EmaS+1))*I19</f>
        <v>19.9827537741763</v>
      </c>
      <c r="J20" s="41" t="n">
        <f aca="false">2/(p_MacdF+1)*E20+(1-2/(p_MacdF+1))*J19</f>
        <v>20.1246842880084</v>
      </c>
      <c r="K20" s="41" t="n">
        <f aca="false">2/(p_MacdS+1)*E20+(1-2/(p_MacdS+1))*K19</f>
        <v>19.9827537741763</v>
      </c>
      <c r="L20" s="41" t="n">
        <f aca="false">J20-K20</f>
        <v>0.141930513832111</v>
      </c>
      <c r="M20" s="41" t="n">
        <f aca="false">2/(p_MacdSig+1)*L20+(1-2/(p_MacdSig+1))*M19</f>
        <v>0.0582599439271558</v>
      </c>
      <c r="N20" s="41" t="n">
        <f aca="false">L20-M20</f>
        <v>0.0836705699049557</v>
      </c>
      <c r="O20" s="42" t="n">
        <f aca="false">IF(H20&gt;H19,1,0)</f>
        <v>1</v>
      </c>
      <c r="P20" s="42" t="n">
        <f aca="false">IF(H20&lt;H19,1,0)</f>
        <v>0</v>
      </c>
      <c r="Q20" s="42" t="n">
        <f aca="false">IF(N20&gt;N19,1,0)</f>
        <v>1</v>
      </c>
      <c r="R20" s="42" t="n">
        <f aca="false">IF(N20&lt;N19,1,0)</f>
        <v>0</v>
      </c>
      <c r="S20" s="42" t="n">
        <f aca="false">IF(AND(O20=1,Q20=1),1,IF(AND(P20=1,R20=1),-1,0))</f>
        <v>1</v>
      </c>
      <c r="T20" s="43" t="str">
        <f aca="false">IF(S20=1,"绿",IF(S20=-1,"红","蓝"))</f>
        <v>绿</v>
      </c>
      <c r="U20" s="44" t="n">
        <f aca="false">F20*(E20-E19)</f>
        <v>710115.000000003</v>
      </c>
      <c r="V20" s="44" t="n">
        <f aca="false">2/(p_FiS+1)*U20+(1-2/(p_FiS+1))*V19</f>
        <v>540612.046990062</v>
      </c>
      <c r="W20" s="44" t="n">
        <f aca="false">2/(p_FiL+1)*U20+(1-2/(p_FiL+1))*W19</f>
        <v>232531.459391843</v>
      </c>
      <c r="X20" s="41" t="n">
        <f aca="false">MAX(C20-D20,ABS(C20-E19),ABS(D20-E19))</f>
        <v>0.34</v>
      </c>
      <c r="Y20" s="41" t="n">
        <f aca="true">AVERAGE(OFFSET(X20,1-MIN(p_AtrN,ROW()-4),0,MIN(p_AtrN,ROW()-4),1))</f>
        <v>0.324615384615384</v>
      </c>
      <c r="Z20" s="41" t="n">
        <f aca="false">IF(AND(C20-C19&gt;D19-D20,C20-C19&gt;0),C20-C19,0)</f>
        <v>0.23</v>
      </c>
      <c r="AA20" s="41" t="n">
        <f aca="false">IF(AND(D19-D20&gt;C20-C19,D19-D20&gt;0),D19-D20,0)</f>
        <v>0</v>
      </c>
      <c r="AB20" s="41" t="n">
        <f aca="false">2/(p_AdxN+1)*X20+(1-2/(p_AdxN+1))*AB19</f>
        <v>0.324650059040091</v>
      </c>
      <c r="AC20" s="41" t="n">
        <f aca="false">2/(p_AdxN+1)*Z20+(1-2/(p_AdxN+1))*AC19</f>
        <v>0.108131935337237</v>
      </c>
      <c r="AD20" s="41" t="n">
        <f aca="false">2/(p_AdxN+1)*AA20+(1-2/(p_AdxN+1))*AD19</f>
        <v>0.0288992282769534</v>
      </c>
      <c r="AE20" s="45" t="n">
        <f aca="false">100*AC20/AB20</f>
        <v>33.3072279909499</v>
      </c>
      <c r="AF20" s="45" t="n">
        <f aca="false">100*AD20/AB20</f>
        <v>8.90165501968525</v>
      </c>
      <c r="AG20" s="45" t="n">
        <f aca="false">IFERROR(100*ABS(AE20-AF20)/(AE20+AF20),0)</f>
        <v>57.8209401208634</v>
      </c>
      <c r="AH20" s="45" t="n">
        <f aca="false">2/(p_AdxN+1)*AG20+(1-2/(p_AdxN+1))*AH19</f>
        <v>31.2350298075253</v>
      </c>
      <c r="AI20" s="40" t="n">
        <f aca="false">I20*(1+p_ChPct)</f>
        <v>21.1817190006269</v>
      </c>
      <c r="AJ20" s="40" t="n">
        <f aca="false">I20*(1-p_ChPct)</f>
        <v>18.7837885477257</v>
      </c>
      <c r="AK20" s="40" t="n">
        <f aca="false">I20+1*Y20</f>
        <v>20.3073691587917</v>
      </c>
      <c r="AL20" s="40" t="n">
        <f aca="false">I20+2*Y20</f>
        <v>20.6319845434071</v>
      </c>
      <c r="AM20" s="40" t="n">
        <f aca="false">I20+3*Y20</f>
        <v>20.9565999280224</v>
      </c>
      <c r="AN20" s="40" t="n">
        <f aca="false">I20-1*Y20</f>
        <v>19.6581383895609</v>
      </c>
      <c r="AO20" s="40" t="n">
        <f aca="false">I20-2*Y20</f>
        <v>19.3335230049455</v>
      </c>
      <c r="AP20" s="40" t="n">
        <f aca="false">I20-3*Y20</f>
        <v>19.0089076203301</v>
      </c>
      <c r="AQ20" s="40" t="n">
        <f aca="true">MAX(OFFSET(C20,1-MIN(p_StochN,ROW()-4),0,MIN(p_StochN,ROW()-4),1))</f>
        <v>20.7</v>
      </c>
      <c r="AR20" s="40" t="n">
        <f aca="true">MIN(OFFSET(D20,1-MIN(p_StochN,ROW()-4),0,MIN(p_StochN,ROW()-4),1))</f>
        <v>19.63</v>
      </c>
      <c r="AS20" s="45" t="n">
        <f aca="false">IF(AQ20=AR20,50,100*(E20-AR20)/(AQ20-AR20))</f>
        <v>92.5233644859815</v>
      </c>
      <c r="AT20" s="45" t="n">
        <f aca="true">AVERAGE(OFFSET(AS20,1-MIN(p_StochSm,ROW()-4),0,MIN(p_StochSm,ROW()-4),1))</f>
        <v>94.3331849873907</v>
      </c>
      <c r="AU20" s="45" t="n">
        <f aca="true">AVERAGE(OFFSET(AT20,1-MIN(p_StochSm,ROW()-4),0,MIN(p_StochSm,ROW()-4),1))</f>
        <v>87.2097662784096</v>
      </c>
      <c r="AV20" s="41" t="n">
        <f aca="false">MAX(0,H20-D20)</f>
        <v>0</v>
      </c>
      <c r="AW20" s="41" t="n">
        <f aca="true">IF(COUNTIF(OFFSET(AV20,1-MIN(p_PenLb,ROW()-4),0,MIN(p_PenLb,ROW()-4),1),"&gt;0")&gt;0,SUM(OFFSET(AV20,1-MIN(p_PenLb,ROW()-4),0,MIN(p_PenLb,ROW()-4),1))/COUNTIF(OFFSET(AV20,1-MIN(p_PenLb,ROW()-4),0,MIN(p_PenLb,ROW()-4),1),"&gt;0"),0.5*Y20)</f>
        <v>0.202033543310049</v>
      </c>
      <c r="AX20" s="41" t="n">
        <f aca="false">2*H20-H19</f>
        <v>20.1924782515866</v>
      </c>
      <c r="AY20" s="40" t="n">
        <f aca="false">ROUND(MAX(AX20-AW20,0.01),2)</f>
        <v>19.99</v>
      </c>
      <c r="AZ20" s="40" t="n">
        <f aca="true">IF(MIN(p_StopLb,ROW()-4)&lt;2,D20,SMALL(OFFSET(D20,1-MIN(p_StopLb,ROW()-4),0,MIN(p_StopLb,ROW()-4),1),2))</f>
        <v>19.63</v>
      </c>
      <c r="BA20" s="40" t="n">
        <f aca="false">IF(MOD(ROUND(ROUNDDOWN(MIN(AZ20-0.01,AY20-p_StopAtr*Y20),2)*100,0),50)=0,ROUNDDOWN(MIN(AZ20-0.01,AY20-p_StopAtr*Y20),2)-0.01,ROUNDDOWN(MIN(AZ20-0.01,AY20-p_StopAtr*Y20),2))</f>
        <v>19.62</v>
      </c>
      <c r="BB20" s="40" t="n">
        <f aca="false">ROUND(AI20,2)</f>
        <v>21.18</v>
      </c>
      <c r="BC20" s="40" t="n">
        <f aca="false">IF(AY20-BA20&gt;0,(BB20-AY20)/(AY20-BA20),0)</f>
        <v>3.21621621621624</v>
      </c>
      <c r="BD20" s="42" t="n">
        <f aca="false">IF(N20&lt;0,1,0)</f>
        <v>0</v>
      </c>
      <c r="BE20" s="41" t="n">
        <f aca="false">IF(AND(BD20=1,BD19=0),N20,IF(BD20=1,MIN(BE19,N20),BE19))</f>
        <v>-0.0234128043712021</v>
      </c>
      <c r="BF20" s="40" t="n">
        <f aca="false">IF(AND(BD20=1,BD19=0),D20,IF(BD20=1,MIN(BF19,D20),BF19))</f>
        <v>19.42</v>
      </c>
      <c r="BG20" s="42" t="n">
        <f aca="false">IF(AND(BD20=1,BD19=0),ROW(),IF(BD20=1,IF(N20&lt;BE19,ROW(),BG19),BG19))</f>
        <v>10</v>
      </c>
      <c r="BH20" s="41" t="str">
        <f aca="false">IF(AND(BD20=1,BD19=0),BE19,BH19)</f>
        <v/>
      </c>
      <c r="BI20" s="40" t="str">
        <f aca="false">IF(AND(BD20=1,BD19=0),BF19,BI19)</f>
        <v/>
      </c>
      <c r="BJ20" s="42" t="str">
        <f aca="false">IF(AND(BD20=1,BD19=0),BG19,BJ19)</f>
        <v/>
      </c>
      <c r="BK20" s="42" t="str">
        <f aca="false">IF(AND(ISNUMBER(BG20),ISNUMBER(BJ20)),BG20-BJ20,"")</f>
        <v/>
      </c>
      <c r="BL20" s="42" t="n">
        <f aca="false">IF(AND(BD20=1,N20&gt;N19,ISNUMBER(BH20),ISNUMBER(BK20)),IF(AND(BE20&gt;BH20,BF20&lt;BI20,BK20&gt;=p_GapMin,BK20&lt;=p_GapMax),1,0),0)</f>
        <v>0</v>
      </c>
      <c r="BM20" s="42" t="n">
        <f aca="false">IF(AND(BL20=1,E20&gt;BI20),1,0)</f>
        <v>0</v>
      </c>
      <c r="BN20" s="42" t="n">
        <f aca="false">IF(BL20=1,IF(BE20&gt;=BH20*0.5,1,0),0)</f>
        <v>0</v>
      </c>
      <c r="BO20" s="42" t="n">
        <f aca="true">IF(V20&gt;MIN(OFFSET(V20,-MIN(p_FiLb-1,ROW()-5),0,MIN(p_FiLb-1,ROW()-5),1)),1,0)</f>
        <v>1</v>
      </c>
      <c r="BP20" s="44" t="n">
        <f aca="true">IF(COUNTIF(OFFSET(V20,1-MIN(100,ROW()-4),0,MIN(100,ROW()-4),1),"&lt;0")&gt;=5,AVERAGEIF(OFFSET(V20,1-MIN(100,ROW()-4),0,MIN(100,ROW()-4),1),"&lt;0"),"")</f>
        <v>-594876.079947162</v>
      </c>
      <c r="BQ20" s="42" t="n">
        <f aca="false">IF(ISNUMBER(BP20),IF(AND(V20&lt;5*BP20,V20&gt;V19,E20&lt;AJ20),1,0),0)</f>
        <v>0</v>
      </c>
      <c r="BR20" s="44" t="n">
        <f aca="true">AVERAGE(OFFSET(F20,1-MIN(5,ROW()-4),0,MIN(5,ROW()-4),1))</f>
        <v>3236180</v>
      </c>
      <c r="BS20" s="42" t="n">
        <f aca="false">IFERROR(IF(MATCH(G20,周线!$A$5:$A$84,0)&lt;=1,"",INDEX(周线!$R$5:$R$84,MATCH(G20,周线!$A$5:$A$84,0)-1)),"")</f>
        <v>0</v>
      </c>
      <c r="BT20" s="42" t="n">
        <f aca="false">IFERROR(IF(MATCH(G20,周线!$A$5:$A$84,0)&lt;=1,"",INDEX(周线!$S$5:$S$84,MATCH(G20,周线!$A$5:$A$84,0)-1)),"")</f>
        <v>0</v>
      </c>
      <c r="BU20" s="42" t="n">
        <f aca="false">IFERROR(IF(MATCH(G20,周线!$A$5:$A$84,0)&lt;=1,"",INDEX(周线!$U$5:$U$84,MATCH(G20,周线!$A$5:$A$84,0)-1)),"")</f>
        <v>-1</v>
      </c>
      <c r="BV20" s="42" t="n">
        <f aca="false">IF(AND(BS20=1,S20&lt;&gt;-1,V20&lt;0,BO20=1,E20&lt;=H20,E20&gt;=AJ20),1,0)</f>
        <v>0</v>
      </c>
      <c r="BW20" s="42" t="n">
        <f aca="false">BL20</f>
        <v>0</v>
      </c>
      <c r="BX20" s="42" t="n">
        <f aca="false">BQ20</f>
        <v>0</v>
      </c>
      <c r="BY20" s="42" t="n">
        <f aca="false">IF(BS20=1,10,0)+IF(BU20=1,5,IF(BU20=-1,0,3))+IF(BT20=1,5,0)+IF(AND(AE20&gt;AF20,AH20&gt;AH19),5,0)</f>
        <v>5</v>
      </c>
      <c r="BZ20" s="42" t="n">
        <f aca="false">IF(AND(E20&lt;=H20,E20&gt;=I20),10,IF(AND(E20&gt;=AJ20,E20&lt;I20),6,0))+IF(AND(V20&lt;0,BO20=1),8,0)+IF(AT20&lt;30,7,IF(AT20&lt;50,3,0))</f>
        <v>0</v>
      </c>
      <c r="CA20" s="42" t="n">
        <f aca="false">IF(AND(BV20=1,BW20=1),25,IF(BW20=1,22,IF(BV20=1,15,IF(BX20=1,12,0))))</f>
        <v>0</v>
      </c>
      <c r="CB20" s="42" t="n">
        <f aca="false">IF(W20&gt;0,6,0)+IF(F20&lt;BR20,4,0)</f>
        <v>6</v>
      </c>
      <c r="CC20" s="42" t="n">
        <f aca="false">IF(BC20&gt;=3,15,IF(BC20&gt;=p_RRmin,10,IF(BC20&gt;=1.5,4,0)))</f>
        <v>15</v>
      </c>
      <c r="CD20" s="42" t="n">
        <f aca="false">BY20+BZ20+CA20+CB20+CC20</f>
        <v>26</v>
      </c>
      <c r="CE20" s="42" t="n">
        <f aca="false">IF(AND(BS20&lt;&gt;1,BW20+BX20=0),1,0)</f>
        <v>1</v>
      </c>
      <c r="CF20" s="42" t="n">
        <f aca="false">IF(BU20=-1,1,0)</f>
        <v>1</v>
      </c>
      <c r="CG20" s="42" t="n">
        <f aca="false">IF(S20=-1,1,0)</f>
        <v>0</v>
      </c>
      <c r="CH20" s="42" t="n">
        <f aca="false">IF(BV20+BW20+BX20=0,1,0)</f>
        <v>1</v>
      </c>
      <c r="CI20" s="42" t="n">
        <f aca="false">IF(BC20&lt;p_RRmin,1,0)</f>
        <v>0</v>
      </c>
      <c r="CJ20" s="46" t="str">
        <f aca="false">IF(SUM(CE20:CI20)=0,IF(CD20&gt;=p_GradeA,"A",IF(CD20&gt;=p_GradeB,"B","C")),IF(AND(CI20=1,SUM(CE20:CH20)=0,CD20&gt;=p_GradeB),"B","C"))</f>
        <v>C</v>
      </c>
    </row>
    <row r="21" customFormat="false" ht="15" hidden="false" customHeight="false" outlineLevel="0" collapsed="false">
      <c r="A21" s="36" t="n">
        <v>45681</v>
      </c>
      <c r="B21" s="37" t="n">
        <v>20.73</v>
      </c>
      <c r="C21" s="37" t="n">
        <v>20.97</v>
      </c>
      <c r="D21" s="37" t="n">
        <v>20.62</v>
      </c>
      <c r="E21" s="37" t="n">
        <v>20.9</v>
      </c>
      <c r="F21" s="38" t="n">
        <v>3924400</v>
      </c>
      <c r="G21" s="39" t="n">
        <f aca="false">A21-WEEKDAY(A21,3)</f>
        <v>45677</v>
      </c>
      <c r="H21" s="40" t="n">
        <f aca="false">2/(p_EmaF+1)*E21+(1-2/(p_EmaF+1))*H20</f>
        <v>20.2202633444891</v>
      </c>
      <c r="I21" s="40" t="n">
        <f aca="false">2/(p_EmaS+1)*E21+(1-2/(p_EmaS+1))*I20</f>
        <v>20.0506979390521</v>
      </c>
      <c r="J21" s="41" t="n">
        <f aca="false">2/(p_MacdF+1)*E21+(1-2/(p_MacdF+1))*J20</f>
        <v>20.2439636283148</v>
      </c>
      <c r="K21" s="41" t="n">
        <f aca="false">2/(p_MacdS+1)*E21+(1-2/(p_MacdS+1))*K20</f>
        <v>20.0506979390521</v>
      </c>
      <c r="L21" s="41" t="n">
        <f aca="false">J21-K21</f>
        <v>0.193265689262681</v>
      </c>
      <c r="M21" s="41" t="n">
        <f aca="false">2/(p_MacdSig+1)*L21+(1-2/(p_MacdSig+1))*M20</f>
        <v>0.0852610929942608</v>
      </c>
      <c r="N21" s="41" t="n">
        <f aca="false">L21-M21</f>
        <v>0.10800459626842</v>
      </c>
      <c r="O21" s="42" t="n">
        <f aca="false">IF(H21&gt;H20,1,0)</f>
        <v>1</v>
      </c>
      <c r="P21" s="42" t="n">
        <f aca="false">IF(H21&lt;H20,1,0)</f>
        <v>0</v>
      </c>
      <c r="Q21" s="42" t="n">
        <f aca="false">IF(N21&gt;N20,1,0)</f>
        <v>1</v>
      </c>
      <c r="R21" s="42" t="n">
        <f aca="false">IF(N21&lt;N20,1,0)</f>
        <v>0</v>
      </c>
      <c r="S21" s="42" t="n">
        <f aca="false">IF(AND(O21=1,Q21=1),1,IF(AND(P21=1,R21=1),-1,0))</f>
        <v>1</v>
      </c>
      <c r="T21" s="43" t="str">
        <f aca="false">IF(S21=1,"绿",IF(S21=-1,"红","蓝"))</f>
        <v>绿</v>
      </c>
      <c r="U21" s="44" t="n">
        <f aca="false">F21*(E21-E20)</f>
        <v>1098831.99999999</v>
      </c>
      <c r="V21" s="44" t="n">
        <f aca="false">2/(p_FiS+1)*U21+(1-2/(p_FiS+1))*V20</f>
        <v>912758.682330014</v>
      </c>
      <c r="W21" s="44" t="n">
        <f aca="false">2/(p_FiL+1)*U21+(1-2/(p_FiL+1))*W20</f>
        <v>356288.679478721</v>
      </c>
      <c r="X21" s="41" t="n">
        <f aca="false">MAX(C21-D21,ABS(C21-E20),ABS(D21-E20))</f>
        <v>0.349999999999998</v>
      </c>
      <c r="Y21" s="41" t="n">
        <f aca="true">AVERAGE(OFFSET(X21,1-MIN(p_AtrN,ROW()-4),0,MIN(p_AtrN,ROW()-4),1))</f>
        <v>0.312307692307692</v>
      </c>
      <c r="Z21" s="41" t="n">
        <f aca="false">IF(AND(C21-C20&gt;D20-D21,C21-C20&gt;0),C21-C20,0)</f>
        <v>0.27</v>
      </c>
      <c r="AA21" s="41" t="n">
        <f aca="false">IF(AND(D20-D21&gt;C21-C20,D20-D21&gt;0),D20-D21,0)</f>
        <v>0</v>
      </c>
      <c r="AB21" s="41" t="n">
        <f aca="false">2/(p_AdxN+1)*X21+(1-2/(p_AdxN+1))*AB20</f>
        <v>0.328271479177221</v>
      </c>
      <c r="AC21" s="41" t="n">
        <f aca="false">2/(p_AdxN+1)*Z21+(1-2/(p_AdxN+1))*AC20</f>
        <v>0.131255944574774</v>
      </c>
      <c r="AD21" s="41" t="n">
        <f aca="false">2/(p_AdxN+1)*AA21+(1-2/(p_AdxN+1))*AD20</f>
        <v>0.0247707670945315</v>
      </c>
      <c r="AE21" s="45" t="n">
        <f aca="false">100*AC21/AB21</f>
        <v>39.983962330128</v>
      </c>
      <c r="AF21" s="45" t="n">
        <f aca="false">100*AD21/AB21</f>
        <v>7.54581761309783</v>
      </c>
      <c r="AG21" s="45" t="n">
        <f aca="false">IFERROR(100*ABS(AE21-AF21)/(AE21+AF21),0)</f>
        <v>68.248043133752</v>
      </c>
      <c r="AH21" s="45" t="n">
        <f aca="false">2/(p_AdxN+1)*AG21+(1-2/(p_AdxN+1))*AH20</f>
        <v>36.5226031398434</v>
      </c>
      <c r="AI21" s="40" t="n">
        <f aca="false">I21*(1+p_ChPct)</f>
        <v>21.2537398153952</v>
      </c>
      <c r="AJ21" s="40" t="n">
        <f aca="false">I21*(1-p_ChPct)</f>
        <v>18.847656062709</v>
      </c>
      <c r="AK21" s="40" t="n">
        <f aca="false">I21+1*Y21</f>
        <v>20.3630056313598</v>
      </c>
      <c r="AL21" s="40" t="n">
        <f aca="false">I21+2*Y21</f>
        <v>20.6753133236675</v>
      </c>
      <c r="AM21" s="40" t="n">
        <f aca="false">I21+3*Y21</f>
        <v>20.9876210159752</v>
      </c>
      <c r="AN21" s="40" t="n">
        <f aca="false">I21-1*Y21</f>
        <v>19.7383902467444</v>
      </c>
      <c r="AO21" s="40" t="n">
        <f aca="false">I21-2*Y21</f>
        <v>19.4260825544367</v>
      </c>
      <c r="AP21" s="40" t="n">
        <f aca="false">I21-3*Y21</f>
        <v>19.113774862129</v>
      </c>
      <c r="AQ21" s="40" t="n">
        <f aca="true">MAX(OFFSET(C21,1-MIN(p_StochN,ROW()-4),0,MIN(p_StochN,ROW()-4),1))</f>
        <v>20.97</v>
      </c>
      <c r="AR21" s="40" t="n">
        <f aca="true">MIN(OFFSET(D21,1-MIN(p_StochN,ROW()-4),0,MIN(p_StochN,ROW()-4),1))</f>
        <v>19.96</v>
      </c>
      <c r="AS21" s="45" t="n">
        <f aca="false">IF(AQ21=AR21,50,100*(E21-AR21)/(AQ21-AR21))</f>
        <v>93.069306930693</v>
      </c>
      <c r="AT21" s="45" t="n">
        <f aca="true">AVERAGE(OFFSET(AS21,1-MIN(p_StochSm,ROW()-4),0,MIN(p_StochSm,ROW()-4),1))</f>
        <v>92.8166047579392</v>
      </c>
      <c r="AU21" s="45" t="n">
        <f aca="true">AVERAGE(OFFSET(AT21,1-MIN(p_StochSm,ROW()-4),0,MIN(p_StochSm,ROW()-4),1))</f>
        <v>92.9342575925411</v>
      </c>
      <c r="AV21" s="41" t="n">
        <f aca="false">MAX(0,H21-D21)</f>
        <v>0</v>
      </c>
      <c r="AW21" s="41" t="n">
        <f aca="true">IF(COUNTIF(OFFSET(AV21,1-MIN(p_PenLb,ROW()-4),0,MIN(p_PenLb,ROW()-4),1),"&gt;0")&gt;0,SUM(OFFSET(AV21,1-MIN(p_PenLb,ROW()-4),0,MIN(p_PenLb,ROW()-4),1))/COUNTIF(OFFSET(AV21,1-MIN(p_PenLb,ROW()-4),0,MIN(p_PenLb,ROW()-4),1),"&gt;0"),0.5*Y21)</f>
        <v>0.202033543310049</v>
      </c>
      <c r="AX21" s="41" t="n">
        <f aca="false">2*H21-H20</f>
        <v>20.3335527870743</v>
      </c>
      <c r="AY21" s="40" t="n">
        <f aca="false">ROUND(MAX(AX21-AW21,0.01),2)</f>
        <v>20.13</v>
      </c>
      <c r="AZ21" s="40" t="n">
        <f aca="true">IF(MIN(p_StopLb,ROW()-4)&lt;2,D21,SMALL(OFFSET(D21,1-MIN(p_StopLb,ROW()-4),0,MIN(p_StopLb,ROW()-4),1),2))</f>
        <v>19.64</v>
      </c>
      <c r="BA21" s="40" t="n">
        <f aca="false">IF(MOD(ROUND(ROUNDDOWN(MIN(AZ21-0.01,AY21-p_StopAtr*Y21),2)*100,0),50)=0,ROUNDDOWN(MIN(AZ21-0.01,AY21-p_StopAtr*Y21),2)-0.01,ROUNDDOWN(MIN(AZ21-0.01,AY21-p_StopAtr*Y21),2))</f>
        <v>19.63</v>
      </c>
      <c r="BB21" s="40" t="n">
        <f aca="false">ROUND(AI21,2)</f>
        <v>21.25</v>
      </c>
      <c r="BC21" s="40" t="n">
        <f aca="false">IF(AY21-BA21&gt;0,(BB21-AY21)/(AY21-BA21),0)</f>
        <v>2.24</v>
      </c>
      <c r="BD21" s="42" t="n">
        <f aca="false">IF(N21&lt;0,1,0)</f>
        <v>0</v>
      </c>
      <c r="BE21" s="41" t="n">
        <f aca="false">IF(AND(BD21=1,BD20=0),N21,IF(BD21=1,MIN(BE20,N21),BE20))</f>
        <v>-0.0234128043712021</v>
      </c>
      <c r="BF21" s="40" t="n">
        <f aca="false">IF(AND(BD21=1,BD20=0),D21,IF(BD21=1,MIN(BF20,D21),BF20))</f>
        <v>19.42</v>
      </c>
      <c r="BG21" s="42" t="n">
        <f aca="false">IF(AND(BD21=1,BD20=0),ROW(),IF(BD21=1,IF(N21&lt;BE20,ROW(),BG20),BG20))</f>
        <v>10</v>
      </c>
      <c r="BH21" s="41" t="str">
        <f aca="false">IF(AND(BD21=1,BD20=0),BE20,BH20)</f>
        <v/>
      </c>
      <c r="BI21" s="40" t="str">
        <f aca="false">IF(AND(BD21=1,BD20=0),BF20,BI20)</f>
        <v/>
      </c>
      <c r="BJ21" s="42" t="str">
        <f aca="false">IF(AND(BD21=1,BD20=0),BG20,BJ20)</f>
        <v/>
      </c>
      <c r="BK21" s="42" t="str">
        <f aca="false">IF(AND(ISNUMBER(BG21),ISNUMBER(BJ21)),BG21-BJ21,"")</f>
        <v/>
      </c>
      <c r="BL21" s="42" t="n">
        <f aca="false">IF(AND(BD21=1,N21&gt;N20,ISNUMBER(BH21),ISNUMBER(BK21)),IF(AND(BE21&gt;BH21,BF21&lt;BI21,BK21&gt;=p_GapMin,BK21&lt;=p_GapMax),1,0),0)</f>
        <v>0</v>
      </c>
      <c r="BM21" s="42" t="n">
        <f aca="false">IF(AND(BL21=1,E21&gt;BI21),1,0)</f>
        <v>0</v>
      </c>
      <c r="BN21" s="42" t="n">
        <f aca="false">IF(BL21=1,IF(BE21&gt;=BH21*0.5,1,0),0)</f>
        <v>0</v>
      </c>
      <c r="BO21" s="42" t="n">
        <f aca="true">IF(V21&gt;MIN(OFFSET(V21,-MIN(p_FiLb-1,ROW()-5),0,MIN(p_FiLb-1,ROW()-5),1)),1,0)</f>
        <v>1</v>
      </c>
      <c r="BP21" s="44" t="n">
        <f aca="true">IF(COUNTIF(OFFSET(V21,1-MIN(100,ROW()-4),0,MIN(100,ROW()-4),1),"&lt;0")&gt;=5,AVERAGEIF(OFFSET(V21,1-MIN(100,ROW()-4),0,MIN(100,ROW()-4),1),"&lt;0"),"")</f>
        <v>-594876.079947162</v>
      </c>
      <c r="BQ21" s="42" t="n">
        <f aca="false">IF(ISNUMBER(BP21),IF(AND(V21&lt;5*BP21,V21&gt;V20,E21&lt;AJ21),1,0),0)</f>
        <v>0</v>
      </c>
      <c r="BR21" s="44" t="n">
        <f aca="true">AVERAGE(OFFSET(F21,1-MIN(5,ROW()-4),0,MIN(5,ROW()-4),1))</f>
        <v>3460100</v>
      </c>
      <c r="BS21" s="42" t="n">
        <f aca="false">IFERROR(IF(MATCH(G21,周线!$A$5:$A$84,0)&lt;=1,"",INDEX(周线!$R$5:$R$84,MATCH(G21,周线!$A$5:$A$84,0)-1)),"")</f>
        <v>0</v>
      </c>
      <c r="BT21" s="42" t="n">
        <f aca="false">IFERROR(IF(MATCH(G21,周线!$A$5:$A$84,0)&lt;=1,"",INDEX(周线!$S$5:$S$84,MATCH(G21,周线!$A$5:$A$84,0)-1)),"")</f>
        <v>0</v>
      </c>
      <c r="BU21" s="42" t="n">
        <f aca="false">IFERROR(IF(MATCH(G21,周线!$A$5:$A$84,0)&lt;=1,"",INDEX(周线!$U$5:$U$84,MATCH(G21,周线!$A$5:$A$84,0)-1)),"")</f>
        <v>-1</v>
      </c>
      <c r="BV21" s="42" t="n">
        <f aca="false">IF(AND(BS21=1,S21&lt;&gt;-1,V21&lt;0,BO21=1,E21&lt;=H21,E21&gt;=AJ21),1,0)</f>
        <v>0</v>
      </c>
      <c r="BW21" s="42" t="n">
        <f aca="false">BL21</f>
        <v>0</v>
      </c>
      <c r="BX21" s="42" t="n">
        <f aca="false">BQ21</f>
        <v>0</v>
      </c>
      <c r="BY21" s="42" t="n">
        <f aca="false">IF(BS21=1,10,0)+IF(BU21=1,5,IF(BU21=-1,0,3))+IF(BT21=1,5,0)+IF(AND(AE21&gt;AF21,AH21&gt;AH20),5,0)</f>
        <v>5</v>
      </c>
      <c r="BZ21" s="42" t="n">
        <f aca="false">IF(AND(E21&lt;=H21,E21&gt;=I21),10,IF(AND(E21&gt;=AJ21,E21&lt;I21),6,0))+IF(AND(V21&lt;0,BO21=1),8,0)+IF(AT21&lt;30,7,IF(AT21&lt;50,3,0))</f>
        <v>0</v>
      </c>
      <c r="CA21" s="42" t="n">
        <f aca="false">IF(AND(BV21=1,BW21=1),25,IF(BW21=1,22,IF(BV21=1,15,IF(BX21=1,12,0))))</f>
        <v>0</v>
      </c>
      <c r="CB21" s="42" t="n">
        <f aca="false">IF(W21&gt;0,6,0)+IF(F21&lt;BR21,4,0)</f>
        <v>6</v>
      </c>
      <c r="CC21" s="42" t="n">
        <f aca="false">IF(BC21&gt;=3,15,IF(BC21&gt;=p_RRmin,10,IF(BC21&gt;=1.5,4,0)))</f>
        <v>10</v>
      </c>
      <c r="CD21" s="42" t="n">
        <f aca="false">BY21+BZ21+CA21+CB21+CC21</f>
        <v>21</v>
      </c>
      <c r="CE21" s="42" t="n">
        <f aca="false">IF(AND(BS21&lt;&gt;1,BW21+BX21=0),1,0)</f>
        <v>1</v>
      </c>
      <c r="CF21" s="42" t="n">
        <f aca="false">IF(BU21=-1,1,0)</f>
        <v>1</v>
      </c>
      <c r="CG21" s="42" t="n">
        <f aca="false">IF(S21=-1,1,0)</f>
        <v>0</v>
      </c>
      <c r="CH21" s="42" t="n">
        <f aca="false">IF(BV21+BW21+BX21=0,1,0)</f>
        <v>1</v>
      </c>
      <c r="CI21" s="42" t="n">
        <f aca="false">IF(BC21&lt;p_RRmin,1,0)</f>
        <v>0</v>
      </c>
      <c r="CJ21" s="46" t="str">
        <f aca="false">IF(SUM(CE21:CI21)=0,IF(CD21&gt;=p_GradeA,"A",IF(CD21&gt;=p_GradeB,"B","C")),IF(AND(CI21=1,SUM(CE21:CH21)=0,CD21&gt;=p_GradeB),"B","C"))</f>
        <v>C</v>
      </c>
    </row>
    <row r="22" customFormat="false" ht="15" hidden="false" customHeight="false" outlineLevel="0" collapsed="false">
      <c r="A22" s="36" t="n">
        <v>45684</v>
      </c>
      <c r="B22" s="37" t="n">
        <v>21.01</v>
      </c>
      <c r="C22" s="37" t="n">
        <v>21.94</v>
      </c>
      <c r="D22" s="37" t="n">
        <v>20.78</v>
      </c>
      <c r="E22" s="37" t="n">
        <v>21.77</v>
      </c>
      <c r="F22" s="38" t="n">
        <v>6784000</v>
      </c>
      <c r="G22" s="39" t="n">
        <f aca="false">A22-WEEKDAY(A22,3)</f>
        <v>45684</v>
      </c>
      <c r="H22" s="40" t="n">
        <f aca="false">2/(p_EmaF+1)*E22+(1-2/(p_EmaF+1))*H21</f>
        <v>20.4416542952764</v>
      </c>
      <c r="I22" s="40" t="n">
        <f aca="false">2/(p_EmaS+1)*E22+(1-2/(p_EmaS+1))*I21</f>
        <v>20.1780536472705</v>
      </c>
      <c r="J22" s="41" t="n">
        <f aca="false">2/(p_MacdF+1)*E22+(1-2/(p_MacdF+1))*J21</f>
        <v>20.4787384547279</v>
      </c>
      <c r="K22" s="41" t="n">
        <f aca="false">2/(p_MacdS+1)*E22+(1-2/(p_MacdS+1))*K21</f>
        <v>20.1780536472705</v>
      </c>
      <c r="L22" s="41" t="n">
        <f aca="false">J22-K22</f>
        <v>0.300684807457429</v>
      </c>
      <c r="M22" s="41" t="n">
        <f aca="false">2/(p_MacdSig+1)*L22+(1-2/(p_MacdSig+1))*M21</f>
        <v>0.128345835886895</v>
      </c>
      <c r="N22" s="41" t="n">
        <f aca="false">L22-M22</f>
        <v>0.172338971570535</v>
      </c>
      <c r="O22" s="42" t="n">
        <f aca="false">IF(H22&gt;H21,1,0)</f>
        <v>1</v>
      </c>
      <c r="P22" s="42" t="n">
        <f aca="false">IF(H22&lt;H21,1,0)</f>
        <v>0</v>
      </c>
      <c r="Q22" s="42" t="n">
        <f aca="false">IF(N22&gt;N21,1,0)</f>
        <v>1</v>
      </c>
      <c r="R22" s="42" t="n">
        <f aca="false">IF(N22&lt;N21,1,0)</f>
        <v>0</v>
      </c>
      <c r="S22" s="42" t="n">
        <f aca="false">IF(AND(O22=1,Q22=1),1,IF(AND(P22=1,R22=1),-1,0))</f>
        <v>1</v>
      </c>
      <c r="T22" s="43" t="str">
        <f aca="false">IF(S22=1,"绿",IF(S22=-1,"红","蓝"))</f>
        <v>绿</v>
      </c>
      <c r="U22" s="44" t="n">
        <f aca="false">F22*(E22-E21)</f>
        <v>5902080.00000001</v>
      </c>
      <c r="V22" s="44" t="n">
        <f aca="false">2/(p_FiS+1)*U22+(1-2/(p_FiS+1))*V21</f>
        <v>4238972.89411001</v>
      </c>
      <c r="W22" s="44" t="n">
        <f aca="false">2/(p_FiL+1)*U22+(1-2/(p_FiL+1))*W21</f>
        <v>1148544.58241033</v>
      </c>
      <c r="X22" s="41" t="n">
        <f aca="false">MAX(C22-D22,ABS(C22-E21),ABS(D22-E21))</f>
        <v>1.16</v>
      </c>
      <c r="Y22" s="41" t="n">
        <f aca="true">AVERAGE(OFFSET(X22,1-MIN(p_AtrN,ROW()-4),0,MIN(p_AtrN,ROW()-4),1))</f>
        <v>0.38076923076923</v>
      </c>
      <c r="Z22" s="41" t="n">
        <f aca="false">IF(AND(C22-C21&gt;D21-D22,C22-C21&gt;0),C22-C21,0)</f>
        <v>0.970000000000002</v>
      </c>
      <c r="AA22" s="41" t="n">
        <f aca="false">IF(AND(D21-D22&gt;C22-C21,D21-D22&gt;0),D21-D22,0)</f>
        <v>0</v>
      </c>
      <c r="AB22" s="41" t="n">
        <f aca="false">2/(p_AdxN+1)*X22+(1-2/(p_AdxN+1))*AB21</f>
        <v>0.447089839294761</v>
      </c>
      <c r="AC22" s="41" t="n">
        <f aca="false">2/(p_AdxN+1)*Z22+(1-2/(p_AdxN+1))*AC21</f>
        <v>0.251076523921235</v>
      </c>
      <c r="AD22" s="41" t="n">
        <f aca="false">2/(p_AdxN+1)*AA22+(1-2/(p_AdxN+1))*AD21</f>
        <v>0.021232086081027</v>
      </c>
      <c r="AE22" s="45" t="n">
        <f aca="false">100*AC22/AB22</f>
        <v>56.1579579435943</v>
      </c>
      <c r="AF22" s="45" t="n">
        <f aca="false">100*AD22/AB22</f>
        <v>4.74895294299653</v>
      </c>
      <c r="AG22" s="45" t="n">
        <f aca="false">IFERROR(100*ABS(AE22-AF22)/(AE22+AF22),0)</f>
        <v>84.4058650361069</v>
      </c>
      <c r="AH22" s="45" t="n">
        <f aca="false">2/(p_AdxN+1)*AG22+(1-2/(p_AdxN+1))*AH21</f>
        <v>43.3630691250239</v>
      </c>
      <c r="AI22" s="40" t="n">
        <f aca="false">I22*(1+p_ChPct)</f>
        <v>21.3887368661067</v>
      </c>
      <c r="AJ22" s="40" t="n">
        <f aca="false">I22*(1-p_ChPct)</f>
        <v>18.9673704284342</v>
      </c>
      <c r="AK22" s="40" t="n">
        <f aca="false">I22+1*Y22</f>
        <v>20.5588228780397</v>
      </c>
      <c r="AL22" s="40" t="n">
        <f aca="false">I22+2*Y22</f>
        <v>20.9395921088089</v>
      </c>
      <c r="AM22" s="40" t="n">
        <f aca="false">I22+3*Y22</f>
        <v>21.3203613395782</v>
      </c>
      <c r="AN22" s="40" t="n">
        <f aca="false">I22-1*Y22</f>
        <v>19.7972844165012</v>
      </c>
      <c r="AO22" s="40" t="n">
        <f aca="false">I22-2*Y22</f>
        <v>19.416515185732</v>
      </c>
      <c r="AP22" s="40" t="n">
        <f aca="false">I22-3*Y22</f>
        <v>19.0357459549628</v>
      </c>
      <c r="AQ22" s="40" t="n">
        <f aca="true">MAX(OFFSET(C22,1-MIN(p_StochN,ROW()-4),0,MIN(p_StochN,ROW()-4),1))</f>
        <v>21.94</v>
      </c>
      <c r="AR22" s="40" t="n">
        <f aca="true">MIN(OFFSET(D22,1-MIN(p_StochN,ROW()-4),0,MIN(p_StochN,ROW()-4),1))</f>
        <v>20.02</v>
      </c>
      <c r="AS22" s="45" t="n">
        <f aca="false">IF(AQ22=AR22,50,100*(E22-AR22)/(AQ22-AR22))</f>
        <v>91.1458333333333</v>
      </c>
      <c r="AT22" s="45" t="n">
        <f aca="true">AVERAGE(OFFSET(AS22,1-MIN(p_StochSm,ROW()-4),0,MIN(p_StochSm,ROW()-4),1))</f>
        <v>92.2461682500026</v>
      </c>
      <c r="AU22" s="45" t="n">
        <f aca="true">AVERAGE(OFFSET(AT22,1-MIN(p_StochSm,ROW()-4),0,MIN(p_StochSm,ROW()-4),1))</f>
        <v>93.1319859984442</v>
      </c>
      <c r="AV22" s="41" t="n">
        <f aca="false">MAX(0,H22-D22)</f>
        <v>0</v>
      </c>
      <c r="AW22" s="41" t="n">
        <f aca="true">IF(COUNTIF(OFFSET(AV22,1-MIN(p_PenLb,ROW()-4),0,MIN(p_PenLb,ROW()-4),1),"&gt;0")&gt;0,SUM(OFFSET(AV22,1-MIN(p_PenLb,ROW()-4),0,MIN(p_PenLb,ROW()-4),1))/COUNTIF(OFFSET(AV22,1-MIN(p_PenLb,ROW()-4),0,MIN(p_PenLb,ROW()-4),1),"&gt;0"),0.5*Y22)</f>
        <v>0.202033543310049</v>
      </c>
      <c r="AX22" s="41" t="n">
        <f aca="false">2*H22-H21</f>
        <v>20.6630452460637</v>
      </c>
      <c r="AY22" s="40" t="n">
        <f aca="false">ROUND(MAX(AX22-AW22,0.01),2)</f>
        <v>20.46</v>
      </c>
      <c r="AZ22" s="40" t="n">
        <f aca="true">IF(MIN(p_StopLb,ROW()-4)&lt;2,D22,SMALL(OFFSET(D22,1-MIN(p_StopLb,ROW()-4),0,MIN(p_StopLb,ROW()-4),1),2))</f>
        <v>19.64</v>
      </c>
      <c r="BA22" s="40" t="n">
        <f aca="false">IF(MOD(ROUND(ROUNDDOWN(MIN(AZ22-0.01,AY22-p_StopAtr*Y22),2)*100,0),50)=0,ROUNDDOWN(MIN(AZ22-0.01,AY22-p_StopAtr*Y22),2)-0.01,ROUNDDOWN(MIN(AZ22-0.01,AY22-p_StopAtr*Y22),2))</f>
        <v>19.63</v>
      </c>
      <c r="BB22" s="40" t="n">
        <f aca="false">ROUND(AI22,2)</f>
        <v>21.39</v>
      </c>
      <c r="BC22" s="40" t="n">
        <f aca="false">IF(AY22-BA22&gt;0,(BB22-AY22)/(AY22-BA22),0)</f>
        <v>1.12048192771084</v>
      </c>
      <c r="BD22" s="42" t="n">
        <f aca="false">IF(N22&lt;0,1,0)</f>
        <v>0</v>
      </c>
      <c r="BE22" s="41" t="n">
        <f aca="false">IF(AND(BD22=1,BD21=0),N22,IF(BD22=1,MIN(BE21,N22),BE21))</f>
        <v>-0.0234128043712021</v>
      </c>
      <c r="BF22" s="40" t="n">
        <f aca="false">IF(AND(BD22=1,BD21=0),D22,IF(BD22=1,MIN(BF21,D22),BF21))</f>
        <v>19.42</v>
      </c>
      <c r="BG22" s="42" t="n">
        <f aca="false">IF(AND(BD22=1,BD21=0),ROW(),IF(BD22=1,IF(N22&lt;BE21,ROW(),BG21),BG21))</f>
        <v>10</v>
      </c>
      <c r="BH22" s="41" t="str">
        <f aca="false">IF(AND(BD22=1,BD21=0),BE21,BH21)</f>
        <v/>
      </c>
      <c r="BI22" s="40" t="str">
        <f aca="false">IF(AND(BD22=1,BD21=0),BF21,BI21)</f>
        <v/>
      </c>
      <c r="BJ22" s="42" t="str">
        <f aca="false">IF(AND(BD22=1,BD21=0),BG21,BJ21)</f>
        <v/>
      </c>
      <c r="BK22" s="42" t="str">
        <f aca="false">IF(AND(ISNUMBER(BG22),ISNUMBER(BJ22)),BG22-BJ22,"")</f>
        <v/>
      </c>
      <c r="BL22" s="42" t="n">
        <f aca="false">IF(AND(BD22=1,N22&gt;N21,ISNUMBER(BH22),ISNUMBER(BK22)),IF(AND(BE22&gt;BH22,BF22&lt;BI22,BK22&gt;=p_GapMin,BK22&lt;=p_GapMax),1,0),0)</f>
        <v>0</v>
      </c>
      <c r="BM22" s="42" t="n">
        <f aca="false">IF(AND(BL22=1,E22&gt;BI22),1,0)</f>
        <v>0</v>
      </c>
      <c r="BN22" s="42" t="n">
        <f aca="false">IF(BL22=1,IF(BE22&gt;=BH22*0.5,1,0),0)</f>
        <v>0</v>
      </c>
      <c r="BO22" s="42" t="n">
        <f aca="true">IF(V22&gt;MIN(OFFSET(V22,-MIN(p_FiLb-1,ROW()-5),0,MIN(p_FiLb-1,ROW()-5),1)),1,0)</f>
        <v>1</v>
      </c>
      <c r="BP22" s="44" t="n">
        <f aca="true">IF(COUNTIF(OFFSET(V22,1-MIN(100,ROW()-4),0,MIN(100,ROW()-4),1),"&lt;0")&gt;=5,AVERAGEIF(OFFSET(V22,1-MIN(100,ROW()-4),0,MIN(100,ROW()-4),1),"&lt;0"),"")</f>
        <v>-594876.079947162</v>
      </c>
      <c r="BQ22" s="42" t="n">
        <f aca="false">IF(ISNUMBER(BP22),IF(AND(V22&lt;5*BP22,V22&gt;V21,E22&lt;AJ22),1,0),0)</f>
        <v>0</v>
      </c>
      <c r="BR22" s="44" t="n">
        <f aca="true">AVERAGE(OFFSET(F22,1-MIN(5,ROW()-4),0,MIN(5,ROW()-4),1))</f>
        <v>4261960</v>
      </c>
      <c r="BS22" s="42" t="n">
        <f aca="false">IFERROR(IF(MATCH(G22,周线!$A$5:$A$84,0)&lt;=1,"",INDEX(周线!$R$5:$R$84,MATCH(G22,周线!$A$5:$A$84,0)-1)),"")</f>
        <v>1</v>
      </c>
      <c r="BT22" s="42" t="n">
        <f aca="false">IFERROR(IF(MATCH(G22,周线!$A$5:$A$84,0)&lt;=1,"",INDEX(周线!$S$5:$S$84,MATCH(G22,周线!$A$5:$A$84,0)-1)),"")</f>
        <v>1</v>
      </c>
      <c r="BU22" s="42" t="n">
        <f aca="false">IFERROR(IF(MATCH(G22,周线!$A$5:$A$84,0)&lt;=1,"",INDEX(周线!$U$5:$U$84,MATCH(G22,周线!$A$5:$A$84,0)-1)),"")</f>
        <v>1</v>
      </c>
      <c r="BV22" s="42" t="n">
        <f aca="false">IF(AND(BS22=1,S22&lt;&gt;-1,V22&lt;0,BO22=1,E22&lt;=H22,E22&gt;=AJ22),1,0)</f>
        <v>0</v>
      </c>
      <c r="BW22" s="42" t="n">
        <f aca="false">BL22</f>
        <v>0</v>
      </c>
      <c r="BX22" s="42" t="n">
        <f aca="false">BQ22</f>
        <v>0</v>
      </c>
      <c r="BY22" s="42" t="n">
        <f aca="false">IF(BS22=1,10,0)+IF(BU22=1,5,IF(BU22=-1,0,3))+IF(BT22=1,5,0)+IF(AND(AE22&gt;AF22,AH22&gt;AH21),5,0)</f>
        <v>25</v>
      </c>
      <c r="BZ22" s="42" t="n">
        <f aca="false">IF(AND(E22&lt;=H22,E22&gt;=I22),10,IF(AND(E22&gt;=AJ22,E22&lt;I22),6,0))+IF(AND(V22&lt;0,BO22=1),8,0)+IF(AT22&lt;30,7,IF(AT22&lt;50,3,0))</f>
        <v>0</v>
      </c>
      <c r="CA22" s="42" t="n">
        <f aca="false">IF(AND(BV22=1,BW22=1),25,IF(BW22=1,22,IF(BV22=1,15,IF(BX22=1,12,0))))</f>
        <v>0</v>
      </c>
      <c r="CB22" s="42" t="n">
        <f aca="false">IF(W22&gt;0,6,0)+IF(F22&lt;BR22,4,0)</f>
        <v>6</v>
      </c>
      <c r="CC22" s="42" t="n">
        <f aca="false">IF(BC22&gt;=3,15,IF(BC22&gt;=p_RRmin,10,IF(BC22&gt;=1.5,4,0)))</f>
        <v>0</v>
      </c>
      <c r="CD22" s="42" t="n">
        <f aca="false">BY22+BZ22+CA22+CB22+CC22</f>
        <v>31</v>
      </c>
      <c r="CE22" s="42" t="n">
        <f aca="false">IF(AND(BS22&lt;&gt;1,BW22+BX22=0),1,0)</f>
        <v>0</v>
      </c>
      <c r="CF22" s="42" t="n">
        <f aca="false">IF(BU22=-1,1,0)</f>
        <v>0</v>
      </c>
      <c r="CG22" s="42" t="n">
        <f aca="false">IF(S22=-1,1,0)</f>
        <v>0</v>
      </c>
      <c r="CH22" s="42" t="n">
        <f aca="false">IF(BV22+BW22+BX22=0,1,0)</f>
        <v>1</v>
      </c>
      <c r="CI22" s="42" t="n">
        <f aca="false">IF(BC22&lt;p_RRmin,1,0)</f>
        <v>1</v>
      </c>
      <c r="CJ22" s="46" t="str">
        <f aca="false">IF(SUM(CE22:CI22)=0,IF(CD22&gt;=p_GradeA,"A",IF(CD22&gt;=p_GradeB,"B","C")),IF(AND(CI22=1,SUM(CE22:CH22)=0,CD22&gt;=p_GradeB),"B","C"))</f>
        <v>C</v>
      </c>
    </row>
    <row r="23" customFormat="false" ht="15" hidden="false" customHeight="false" outlineLevel="0" collapsed="false">
      <c r="A23" s="36" t="n">
        <v>45685</v>
      </c>
      <c r="B23" s="37" t="n">
        <v>21.8</v>
      </c>
      <c r="C23" s="37" t="n">
        <v>22.17</v>
      </c>
      <c r="D23" s="37" t="n">
        <v>21.65</v>
      </c>
      <c r="E23" s="37" t="n">
        <v>21.94</v>
      </c>
      <c r="F23" s="38" t="n">
        <v>3650200</v>
      </c>
      <c r="G23" s="39" t="n">
        <f aca="false">A23-WEEKDAY(A23,3)</f>
        <v>45684</v>
      </c>
      <c r="H23" s="40" t="n">
        <f aca="false">2/(p_EmaF+1)*E23+(1-2/(p_EmaF+1))*H22</f>
        <v>20.6557036816655</v>
      </c>
      <c r="I23" s="40" t="n">
        <f aca="false">2/(p_EmaS+1)*E23+(1-2/(p_EmaS+1))*I22</f>
        <v>20.3085681919171</v>
      </c>
      <c r="J23" s="41" t="n">
        <f aca="false">2/(p_MacdF+1)*E23+(1-2/(p_MacdF+1))*J22</f>
        <v>20.7035479232313</v>
      </c>
      <c r="K23" s="41" t="n">
        <f aca="false">2/(p_MacdS+1)*E23+(1-2/(p_MacdS+1))*K22</f>
        <v>20.3085681919171</v>
      </c>
      <c r="L23" s="41" t="n">
        <f aca="false">J23-K23</f>
        <v>0.394979731314198</v>
      </c>
      <c r="M23" s="41" t="n">
        <f aca="false">2/(p_MacdSig+1)*L23+(1-2/(p_MacdSig+1))*M22</f>
        <v>0.181672614972355</v>
      </c>
      <c r="N23" s="41" t="n">
        <f aca="false">L23-M23</f>
        <v>0.213307116341843</v>
      </c>
      <c r="O23" s="42" t="n">
        <f aca="false">IF(H23&gt;H22,1,0)</f>
        <v>1</v>
      </c>
      <c r="P23" s="42" t="n">
        <f aca="false">IF(H23&lt;H22,1,0)</f>
        <v>0</v>
      </c>
      <c r="Q23" s="42" t="n">
        <f aca="false">IF(N23&gt;N22,1,0)</f>
        <v>1</v>
      </c>
      <c r="R23" s="42" t="n">
        <f aca="false">IF(N23&lt;N22,1,0)</f>
        <v>0</v>
      </c>
      <c r="S23" s="42" t="n">
        <f aca="false">IF(AND(O23=1,Q23=1),1,IF(AND(P23=1,R23=1),-1,0))</f>
        <v>1</v>
      </c>
      <c r="T23" s="43" t="str">
        <f aca="false">IF(S23=1,"绿",IF(S23=-1,"红","蓝"))</f>
        <v>绿</v>
      </c>
      <c r="U23" s="44" t="n">
        <f aca="false">F23*(E23-E22)</f>
        <v>620534.000000006</v>
      </c>
      <c r="V23" s="44" t="n">
        <f aca="false">2/(p_FiS+1)*U23+(1-2/(p_FiS+1))*V22</f>
        <v>1826680.29803667</v>
      </c>
      <c r="W23" s="44" t="n">
        <f aca="false">2/(p_FiL+1)*U23+(1-2/(p_FiL+1))*W22</f>
        <v>1073114.49920886</v>
      </c>
      <c r="X23" s="41" t="n">
        <f aca="false">MAX(C23-D23,ABS(C23-E22),ABS(D23-E22))</f>
        <v>0.520000000000003</v>
      </c>
      <c r="Y23" s="41" t="n">
        <f aca="true">AVERAGE(OFFSET(X23,1-MIN(p_AtrN,ROW()-4),0,MIN(p_AtrN,ROW()-4),1))</f>
        <v>0.393846153846154</v>
      </c>
      <c r="Z23" s="41" t="n">
        <f aca="false">IF(AND(C23-C22&gt;D22-D23,C23-C22&gt;0),C23-C22,0)</f>
        <v>0.23</v>
      </c>
      <c r="AA23" s="41" t="n">
        <f aca="false">IF(AND(D22-D23&gt;C23-C22,D22-D23&gt;0),D22-D23,0)</f>
        <v>0</v>
      </c>
      <c r="AB23" s="41" t="n">
        <f aca="false">2/(p_AdxN+1)*X23+(1-2/(p_AdxN+1))*AB22</f>
        <v>0.457505576538367</v>
      </c>
      <c r="AC23" s="41" t="n">
        <f aca="false">2/(p_AdxN+1)*Z23+(1-2/(p_AdxN+1))*AC22</f>
        <v>0.248065591932487</v>
      </c>
      <c r="AD23" s="41" t="n">
        <f aca="false">2/(p_AdxN+1)*AA23+(1-2/(p_AdxN+1))*AD22</f>
        <v>0.0181989309265946</v>
      </c>
      <c r="AE23" s="45" t="n">
        <f aca="false">100*AC23/AB23</f>
        <v>54.2213263955012</v>
      </c>
      <c r="AF23" s="45" t="n">
        <f aca="false">100*AD23/AB23</f>
        <v>3.977859912505</v>
      </c>
      <c r="AG23" s="45" t="n">
        <f aca="false">IFERROR(100*ABS(AE23-AF23)/(AE23+AF23),0)</f>
        <v>86.3301871904083</v>
      </c>
      <c r="AH23" s="45" t="n">
        <f aca="false">2/(p_AdxN+1)*AG23+(1-2/(p_AdxN+1))*AH22</f>
        <v>49.5012288486503</v>
      </c>
      <c r="AI23" s="40" t="n">
        <f aca="false">I23*(1+p_ChPct)</f>
        <v>21.5270822834321</v>
      </c>
      <c r="AJ23" s="40" t="n">
        <f aca="false">I23*(1-p_ChPct)</f>
        <v>19.0900541004021</v>
      </c>
      <c r="AK23" s="40" t="n">
        <f aca="false">I23+1*Y23</f>
        <v>20.7024143457633</v>
      </c>
      <c r="AL23" s="40" t="n">
        <f aca="false">I23+2*Y23</f>
        <v>21.0962604996094</v>
      </c>
      <c r="AM23" s="40" t="n">
        <f aca="false">I23+3*Y23</f>
        <v>21.4901066534556</v>
      </c>
      <c r="AN23" s="40" t="n">
        <f aca="false">I23-1*Y23</f>
        <v>19.9147220380709</v>
      </c>
      <c r="AO23" s="40" t="n">
        <f aca="false">I23-2*Y23</f>
        <v>19.5208758842248</v>
      </c>
      <c r="AP23" s="40" t="n">
        <f aca="false">I23-3*Y23</f>
        <v>19.1270297303786</v>
      </c>
      <c r="AQ23" s="40" t="n">
        <f aca="true">MAX(OFFSET(C23,1-MIN(p_StochN,ROW()-4),0,MIN(p_StochN,ROW()-4),1))</f>
        <v>22.17</v>
      </c>
      <c r="AR23" s="40" t="n">
        <f aca="true">MIN(OFFSET(D23,1-MIN(p_StochN,ROW()-4),0,MIN(p_StochN,ROW()-4),1))</f>
        <v>20.21</v>
      </c>
      <c r="AS23" s="45" t="n">
        <f aca="false">IF(AQ23=AR23,50,100*(E23-AR23)/(AQ23-AR23))</f>
        <v>88.265306122449</v>
      </c>
      <c r="AT23" s="45" t="n">
        <f aca="true">AVERAGE(OFFSET(AS23,1-MIN(p_StochSm,ROW()-4),0,MIN(p_StochSm,ROW()-4),1))</f>
        <v>90.8268154621584</v>
      </c>
      <c r="AU23" s="45" t="n">
        <f aca="true">AVERAGE(OFFSET(AT23,1-MIN(p_StochSm,ROW()-4),0,MIN(p_StochSm,ROW()-4),1))</f>
        <v>91.9631961567001</v>
      </c>
      <c r="AV23" s="41" t="n">
        <f aca="false">MAX(0,H23-D23)</f>
        <v>0</v>
      </c>
      <c r="AW23" s="41" t="n">
        <f aca="true">IF(COUNTIF(OFFSET(AV23,1-MIN(p_PenLb,ROW()-4),0,MIN(p_PenLb,ROW()-4),1),"&gt;0")&gt;0,SUM(OFFSET(AV23,1-MIN(p_PenLb,ROW()-4),0,MIN(p_PenLb,ROW()-4),1))/COUNTIF(OFFSET(AV23,1-MIN(p_PenLb,ROW()-4),0,MIN(p_PenLb,ROW()-4),1),"&gt;0"),0.5*Y23)</f>
        <v>0.202033543310049</v>
      </c>
      <c r="AX23" s="41" t="n">
        <f aca="false">2*H23-H22</f>
        <v>20.8697530680546</v>
      </c>
      <c r="AY23" s="40" t="n">
        <f aca="false">ROUND(MAX(AX23-AW23,0.01),2)</f>
        <v>20.67</v>
      </c>
      <c r="AZ23" s="40" t="n">
        <f aca="true">IF(MIN(p_StopLb,ROW()-4)&lt;2,D23,SMALL(OFFSET(D23,1-MIN(p_StopLb,ROW()-4),0,MIN(p_StopLb,ROW()-4),1),2))</f>
        <v>19.64</v>
      </c>
      <c r="BA23" s="40" t="n">
        <f aca="false">IF(MOD(ROUND(ROUNDDOWN(MIN(AZ23-0.01,AY23-p_StopAtr*Y23),2)*100,0),50)=0,ROUNDDOWN(MIN(AZ23-0.01,AY23-p_StopAtr*Y23),2)-0.01,ROUNDDOWN(MIN(AZ23-0.01,AY23-p_StopAtr*Y23),2))</f>
        <v>19.63</v>
      </c>
      <c r="BB23" s="40" t="n">
        <f aca="false">ROUND(AI23,2)</f>
        <v>21.53</v>
      </c>
      <c r="BC23" s="40" t="n">
        <f aca="false">IF(AY23-BA23&gt;0,(BB23-AY23)/(AY23-BA23),0)</f>
        <v>0.826923076923074</v>
      </c>
      <c r="BD23" s="42" t="n">
        <f aca="false">IF(N23&lt;0,1,0)</f>
        <v>0</v>
      </c>
      <c r="BE23" s="41" t="n">
        <f aca="false">IF(AND(BD23=1,BD22=0),N23,IF(BD23=1,MIN(BE22,N23),BE22))</f>
        <v>-0.0234128043712021</v>
      </c>
      <c r="BF23" s="40" t="n">
        <f aca="false">IF(AND(BD23=1,BD22=0),D23,IF(BD23=1,MIN(BF22,D23),BF22))</f>
        <v>19.42</v>
      </c>
      <c r="BG23" s="42" t="n">
        <f aca="false">IF(AND(BD23=1,BD22=0),ROW(),IF(BD23=1,IF(N23&lt;BE22,ROW(),BG22),BG22))</f>
        <v>10</v>
      </c>
      <c r="BH23" s="41" t="str">
        <f aca="false">IF(AND(BD23=1,BD22=0),BE22,BH22)</f>
        <v/>
      </c>
      <c r="BI23" s="40" t="str">
        <f aca="false">IF(AND(BD23=1,BD22=0),BF22,BI22)</f>
        <v/>
      </c>
      <c r="BJ23" s="42" t="str">
        <f aca="false">IF(AND(BD23=1,BD22=0),BG22,BJ22)</f>
        <v/>
      </c>
      <c r="BK23" s="42" t="str">
        <f aca="false">IF(AND(ISNUMBER(BG23),ISNUMBER(BJ23)),BG23-BJ23,"")</f>
        <v/>
      </c>
      <c r="BL23" s="42" t="n">
        <f aca="false">IF(AND(BD23=1,N23&gt;N22,ISNUMBER(BH23),ISNUMBER(BK23)),IF(AND(BE23&gt;BH23,BF23&lt;BI23,BK23&gt;=p_GapMin,BK23&lt;=p_GapMax),1,0),0)</f>
        <v>0</v>
      </c>
      <c r="BM23" s="42" t="n">
        <f aca="false">IF(AND(BL23=1,E23&gt;BI23),1,0)</f>
        <v>0</v>
      </c>
      <c r="BN23" s="42" t="n">
        <f aca="false">IF(BL23=1,IF(BE23&gt;=BH23*0.5,1,0),0)</f>
        <v>0</v>
      </c>
      <c r="BO23" s="42" t="n">
        <f aca="true">IF(V23&gt;MIN(OFFSET(V23,-MIN(p_FiLb-1,ROW()-5),0,MIN(p_FiLb-1,ROW()-5),1)),1,0)</f>
        <v>1</v>
      </c>
      <c r="BP23" s="44" t="n">
        <f aca="true">IF(COUNTIF(OFFSET(V23,1-MIN(100,ROW()-4),0,MIN(100,ROW()-4),1),"&lt;0")&gt;=5,AVERAGEIF(OFFSET(V23,1-MIN(100,ROW()-4),0,MIN(100,ROW()-4),1),"&lt;0"),"")</f>
        <v>-594876.079947162</v>
      </c>
      <c r="BQ23" s="42" t="n">
        <f aca="false">IF(ISNUMBER(BP23),IF(AND(V23&lt;5*BP23,V23&gt;V22,E23&lt;AJ23),1,0),0)</f>
        <v>0</v>
      </c>
      <c r="BR23" s="44" t="n">
        <f aca="true">AVERAGE(OFFSET(F23,1-MIN(5,ROW()-4),0,MIN(5,ROW()-4),1))</f>
        <v>4311520</v>
      </c>
      <c r="BS23" s="42" t="n">
        <f aca="false">IFERROR(IF(MATCH(G23,周线!$A$5:$A$84,0)&lt;=1,"",INDEX(周线!$R$5:$R$84,MATCH(G23,周线!$A$5:$A$84,0)-1)),"")</f>
        <v>1</v>
      </c>
      <c r="BT23" s="42" t="n">
        <f aca="false">IFERROR(IF(MATCH(G23,周线!$A$5:$A$84,0)&lt;=1,"",INDEX(周线!$S$5:$S$84,MATCH(G23,周线!$A$5:$A$84,0)-1)),"")</f>
        <v>1</v>
      </c>
      <c r="BU23" s="42" t="n">
        <f aca="false">IFERROR(IF(MATCH(G23,周线!$A$5:$A$84,0)&lt;=1,"",INDEX(周线!$U$5:$U$84,MATCH(G23,周线!$A$5:$A$84,0)-1)),"")</f>
        <v>1</v>
      </c>
      <c r="BV23" s="42" t="n">
        <f aca="false">IF(AND(BS23=1,S23&lt;&gt;-1,V23&lt;0,BO23=1,E23&lt;=H23,E23&gt;=AJ23),1,0)</f>
        <v>0</v>
      </c>
      <c r="BW23" s="42" t="n">
        <f aca="false">BL23</f>
        <v>0</v>
      </c>
      <c r="BX23" s="42" t="n">
        <f aca="false">BQ23</f>
        <v>0</v>
      </c>
      <c r="BY23" s="42" t="n">
        <f aca="false">IF(BS23=1,10,0)+IF(BU23=1,5,IF(BU23=-1,0,3))+IF(BT23=1,5,0)+IF(AND(AE23&gt;AF23,AH23&gt;AH22),5,0)</f>
        <v>25</v>
      </c>
      <c r="BZ23" s="42" t="n">
        <f aca="false">IF(AND(E23&lt;=H23,E23&gt;=I23),10,IF(AND(E23&gt;=AJ23,E23&lt;I23),6,0))+IF(AND(V23&lt;0,BO23=1),8,0)+IF(AT23&lt;30,7,IF(AT23&lt;50,3,0))</f>
        <v>0</v>
      </c>
      <c r="CA23" s="42" t="n">
        <f aca="false">IF(AND(BV23=1,BW23=1),25,IF(BW23=1,22,IF(BV23=1,15,IF(BX23=1,12,0))))</f>
        <v>0</v>
      </c>
      <c r="CB23" s="42" t="n">
        <f aca="false">IF(W23&gt;0,6,0)+IF(F23&lt;BR23,4,0)</f>
        <v>10</v>
      </c>
      <c r="CC23" s="42" t="n">
        <f aca="false">IF(BC23&gt;=3,15,IF(BC23&gt;=p_RRmin,10,IF(BC23&gt;=1.5,4,0)))</f>
        <v>0</v>
      </c>
      <c r="CD23" s="42" t="n">
        <f aca="false">BY23+BZ23+CA23+CB23+CC23</f>
        <v>35</v>
      </c>
      <c r="CE23" s="42" t="n">
        <f aca="false">IF(AND(BS23&lt;&gt;1,BW23+BX23=0),1,0)</f>
        <v>0</v>
      </c>
      <c r="CF23" s="42" t="n">
        <f aca="false">IF(BU23=-1,1,0)</f>
        <v>0</v>
      </c>
      <c r="CG23" s="42" t="n">
        <f aca="false">IF(S23=-1,1,0)</f>
        <v>0</v>
      </c>
      <c r="CH23" s="42" t="n">
        <f aca="false">IF(BV23+BW23+BX23=0,1,0)</f>
        <v>1</v>
      </c>
      <c r="CI23" s="42" t="n">
        <f aca="false">IF(BC23&lt;p_RRmin,1,0)</f>
        <v>1</v>
      </c>
      <c r="CJ23" s="46" t="str">
        <f aca="false">IF(SUM(CE23:CI23)=0,IF(CD23&gt;=p_GradeA,"A",IF(CD23&gt;=p_GradeB,"B","C")),IF(AND(CI23=1,SUM(CE23:CH23)=0,CD23&gt;=p_GradeB),"B","C"))</f>
        <v>C</v>
      </c>
    </row>
    <row r="24" customFormat="false" ht="15" hidden="false" customHeight="false" outlineLevel="0" collapsed="false">
      <c r="A24" s="36" t="n">
        <v>45686</v>
      </c>
      <c r="B24" s="37" t="n">
        <v>22.09</v>
      </c>
      <c r="C24" s="37" t="n">
        <v>22.41</v>
      </c>
      <c r="D24" s="37" t="n">
        <v>21.9</v>
      </c>
      <c r="E24" s="37" t="n">
        <v>22.23</v>
      </c>
      <c r="F24" s="38" t="n">
        <v>3261300</v>
      </c>
      <c r="G24" s="39" t="n">
        <f aca="false">A24-WEEKDAY(A24,3)</f>
        <v>45684</v>
      </c>
      <c r="H24" s="40" t="n">
        <f aca="false">2/(p_EmaF+1)*E24+(1-2/(p_EmaF+1))*H23</f>
        <v>20.8806031557133</v>
      </c>
      <c r="I24" s="40" t="n">
        <f aca="false">2/(p_EmaS+1)*E24+(1-2/(p_EmaS+1))*I23</f>
        <v>20.4508964739973</v>
      </c>
      <c r="J24" s="41" t="n">
        <f aca="false">2/(p_MacdF+1)*E24+(1-2/(p_MacdF+1))*J23</f>
        <v>20.9383867042726</v>
      </c>
      <c r="K24" s="41" t="n">
        <f aca="false">2/(p_MacdS+1)*E24+(1-2/(p_MacdS+1))*K23</f>
        <v>20.4508964739973</v>
      </c>
      <c r="L24" s="41" t="n">
        <f aca="false">J24-K24</f>
        <v>0.48749023027532</v>
      </c>
      <c r="M24" s="41" t="n">
        <f aca="false">2/(p_MacdSig+1)*L24+(1-2/(p_MacdSig+1))*M23</f>
        <v>0.242836138032948</v>
      </c>
      <c r="N24" s="41" t="n">
        <f aca="false">L24-M24</f>
        <v>0.244654092242372</v>
      </c>
      <c r="O24" s="42" t="n">
        <f aca="false">IF(H24&gt;H23,1,0)</f>
        <v>1</v>
      </c>
      <c r="P24" s="42" t="n">
        <f aca="false">IF(H24&lt;H23,1,0)</f>
        <v>0</v>
      </c>
      <c r="Q24" s="42" t="n">
        <f aca="false">IF(N24&gt;N23,1,0)</f>
        <v>1</v>
      </c>
      <c r="R24" s="42" t="n">
        <f aca="false">IF(N24&lt;N23,1,0)</f>
        <v>0</v>
      </c>
      <c r="S24" s="42" t="n">
        <f aca="false">IF(AND(O24=1,Q24=1),1,IF(AND(P24=1,R24=1),-1,0))</f>
        <v>1</v>
      </c>
      <c r="T24" s="43" t="str">
        <f aca="false">IF(S24=1,"绿",IF(S24=-1,"红","蓝"))</f>
        <v>绿</v>
      </c>
      <c r="U24" s="44" t="n">
        <f aca="false">F24*(E24-E23)</f>
        <v>945776.999999997</v>
      </c>
      <c r="V24" s="44" t="n">
        <f aca="false">2/(p_FiS+1)*U24+(1-2/(p_FiS+1))*V23</f>
        <v>1239411.43267889</v>
      </c>
      <c r="W24" s="44" t="n">
        <f aca="false">2/(p_FiL+1)*U24+(1-2/(p_FiL+1))*W23</f>
        <v>1054923.42789331</v>
      </c>
      <c r="X24" s="41" t="n">
        <f aca="false">MAX(C24-D24,ABS(C24-E23),ABS(D24-E23))</f>
        <v>0.510000000000002</v>
      </c>
      <c r="Y24" s="41" t="n">
        <f aca="true">AVERAGE(OFFSET(X24,1-MIN(p_AtrN,ROW()-4),0,MIN(p_AtrN,ROW()-4),1))</f>
        <v>0.41</v>
      </c>
      <c r="Z24" s="41" t="n">
        <f aca="false">IF(AND(C24-C23&gt;D23-D24,C24-C23&gt;0),C24-C23,0)</f>
        <v>0.239999999999998</v>
      </c>
      <c r="AA24" s="41" t="n">
        <f aca="false">IF(AND(D23-D24&gt;C24-C23,D23-D24&gt;0),D23-D24,0)</f>
        <v>0</v>
      </c>
      <c r="AB24" s="41" t="n">
        <f aca="false">2/(p_AdxN+1)*X24+(1-2/(p_AdxN+1))*AB23</f>
        <v>0.465004779890029</v>
      </c>
      <c r="AC24" s="41" t="n">
        <f aca="false">2/(p_AdxN+1)*Z24+(1-2/(p_AdxN+1))*AC23</f>
        <v>0.24691336451356</v>
      </c>
      <c r="AD24" s="41" t="n">
        <f aca="false">2/(p_AdxN+1)*AA24+(1-2/(p_AdxN+1))*AD23</f>
        <v>0.0155990836513668</v>
      </c>
      <c r="AE24" s="45" t="n">
        <f aca="false">100*AC24/AB24</f>
        <v>53.0991024591089</v>
      </c>
      <c r="AF24" s="45" t="n">
        <f aca="false">100*AD24/AB24</f>
        <v>3.35460716232979</v>
      </c>
      <c r="AG24" s="45" t="n">
        <f aca="false">IFERROR(100*ABS(AE24-AF24)/(AE24+AF24),0)</f>
        <v>88.1155474641977</v>
      </c>
      <c r="AH24" s="45" t="n">
        <f aca="false">2/(p_AdxN+1)*AG24+(1-2/(p_AdxN+1))*AH23</f>
        <v>55.0175600794427</v>
      </c>
      <c r="AI24" s="40" t="n">
        <f aca="false">I24*(1+p_ChPct)</f>
        <v>21.6779502624372</v>
      </c>
      <c r="AJ24" s="40" t="n">
        <f aca="false">I24*(1-p_ChPct)</f>
        <v>19.2238426855575</v>
      </c>
      <c r="AK24" s="40" t="n">
        <f aca="false">I24+1*Y24</f>
        <v>20.8608964739973</v>
      </c>
      <c r="AL24" s="40" t="n">
        <f aca="false">I24+2*Y24</f>
        <v>21.2708964739973</v>
      </c>
      <c r="AM24" s="40" t="n">
        <f aca="false">I24+3*Y24</f>
        <v>21.6808964739973</v>
      </c>
      <c r="AN24" s="40" t="n">
        <f aca="false">I24-1*Y24</f>
        <v>20.0408964739973</v>
      </c>
      <c r="AO24" s="40" t="n">
        <f aca="false">I24-2*Y24</f>
        <v>19.6308964739973</v>
      </c>
      <c r="AP24" s="40" t="n">
        <f aca="false">I24-3*Y24</f>
        <v>19.2208964739973</v>
      </c>
      <c r="AQ24" s="40" t="n">
        <f aca="true">MAX(OFFSET(C24,1-MIN(p_StochN,ROW()-4),0,MIN(p_StochN,ROW()-4),1))</f>
        <v>22.41</v>
      </c>
      <c r="AR24" s="40" t="n">
        <f aca="true">MIN(OFFSET(D24,1-MIN(p_StochN,ROW()-4),0,MIN(p_StochN,ROW()-4),1))</f>
        <v>20.36</v>
      </c>
      <c r="AS24" s="45" t="n">
        <f aca="false">IF(AQ24=AR24,50,100*(E24-AR24)/(AQ24-AR24))</f>
        <v>91.219512195122</v>
      </c>
      <c r="AT24" s="45" t="n">
        <f aca="true">AVERAGE(OFFSET(AS24,1-MIN(p_StochSm,ROW()-4),0,MIN(p_StochSm,ROW()-4),1))</f>
        <v>90.2102172169681</v>
      </c>
      <c r="AU24" s="45" t="n">
        <f aca="true">AVERAGE(OFFSET(AT24,1-MIN(p_StochSm,ROW()-4),0,MIN(p_StochSm,ROW()-4),1))</f>
        <v>91.0944003097097</v>
      </c>
      <c r="AV24" s="41" t="n">
        <f aca="false">MAX(0,H24-D24)</f>
        <v>0</v>
      </c>
      <c r="AW24" s="41" t="n">
        <f aca="true">IF(COUNTIF(OFFSET(AV24,1-MIN(p_PenLb,ROW()-4),0,MIN(p_PenLb,ROW()-4),1),"&gt;0")&gt;0,SUM(OFFSET(AV24,1-MIN(p_PenLb,ROW()-4),0,MIN(p_PenLb,ROW()-4),1))/COUNTIF(OFFSET(AV24,1-MIN(p_PenLb,ROW()-4),0,MIN(p_PenLb,ROW()-4),1),"&gt;0"),0.5*Y24)</f>
        <v>0.202033543310049</v>
      </c>
      <c r="AX24" s="41" t="n">
        <f aca="false">2*H24-H23</f>
        <v>21.1055026297611</v>
      </c>
      <c r="AY24" s="40" t="n">
        <f aca="false">ROUND(MAX(AX24-AW24,0.01),2)</f>
        <v>20.9</v>
      </c>
      <c r="AZ24" s="40" t="n">
        <f aca="true">IF(MIN(p_StopLb,ROW()-4)&lt;2,D24,SMALL(OFFSET(D24,1-MIN(p_StopLb,ROW()-4),0,MIN(p_StopLb,ROW()-4),1),2))</f>
        <v>19.64</v>
      </c>
      <c r="BA24" s="40" t="n">
        <f aca="false">IF(MOD(ROUND(ROUNDDOWN(MIN(AZ24-0.01,AY24-p_StopAtr*Y24),2)*100,0),50)=0,ROUNDDOWN(MIN(AZ24-0.01,AY24-p_StopAtr*Y24),2)-0.01,ROUNDDOWN(MIN(AZ24-0.01,AY24-p_StopAtr*Y24),2))</f>
        <v>19.63</v>
      </c>
      <c r="BB24" s="40" t="n">
        <f aca="false">ROUND(AI24,2)</f>
        <v>21.68</v>
      </c>
      <c r="BC24" s="40" t="n">
        <f aca="false">IF(AY24-BA24&gt;0,(BB24-AY24)/(AY24-BA24),0)</f>
        <v>0.614173228346458</v>
      </c>
      <c r="BD24" s="42" t="n">
        <f aca="false">IF(N24&lt;0,1,0)</f>
        <v>0</v>
      </c>
      <c r="BE24" s="41" t="n">
        <f aca="false">IF(AND(BD24=1,BD23=0),N24,IF(BD24=1,MIN(BE23,N24),BE23))</f>
        <v>-0.0234128043712021</v>
      </c>
      <c r="BF24" s="40" t="n">
        <f aca="false">IF(AND(BD24=1,BD23=0),D24,IF(BD24=1,MIN(BF23,D24),BF23))</f>
        <v>19.42</v>
      </c>
      <c r="BG24" s="42" t="n">
        <f aca="false">IF(AND(BD24=1,BD23=0),ROW(),IF(BD24=1,IF(N24&lt;BE23,ROW(),BG23),BG23))</f>
        <v>10</v>
      </c>
      <c r="BH24" s="41" t="str">
        <f aca="false">IF(AND(BD24=1,BD23=0),BE23,BH23)</f>
        <v/>
      </c>
      <c r="BI24" s="40" t="str">
        <f aca="false">IF(AND(BD24=1,BD23=0),BF23,BI23)</f>
        <v/>
      </c>
      <c r="BJ24" s="42" t="str">
        <f aca="false">IF(AND(BD24=1,BD23=0),BG23,BJ23)</f>
        <v/>
      </c>
      <c r="BK24" s="42" t="str">
        <f aca="false">IF(AND(ISNUMBER(BG24),ISNUMBER(BJ24)),BG24-BJ24,"")</f>
        <v/>
      </c>
      <c r="BL24" s="42" t="n">
        <f aca="false">IF(AND(BD24=1,N24&gt;N23,ISNUMBER(BH24),ISNUMBER(BK24)),IF(AND(BE24&gt;BH24,BF24&lt;BI24,BK24&gt;=p_GapMin,BK24&lt;=p_GapMax),1,0),0)</f>
        <v>0</v>
      </c>
      <c r="BM24" s="42" t="n">
        <f aca="false">IF(AND(BL24=1,E24&gt;BI24),1,0)</f>
        <v>0</v>
      </c>
      <c r="BN24" s="42" t="n">
        <f aca="false">IF(BL24=1,IF(BE24&gt;=BH24*0.5,1,0),0)</f>
        <v>0</v>
      </c>
      <c r="BO24" s="42" t="n">
        <f aca="true">IF(V24&gt;MIN(OFFSET(V24,-MIN(p_FiLb-1,ROW()-5),0,MIN(p_FiLb-1,ROW()-5),1)),1,0)</f>
        <v>1</v>
      </c>
      <c r="BP24" s="44" t="n">
        <f aca="true">IF(COUNTIF(OFFSET(V24,1-MIN(100,ROW()-4),0,MIN(100,ROW()-4),1),"&lt;0")&gt;=5,AVERAGEIF(OFFSET(V24,1-MIN(100,ROW()-4),0,MIN(100,ROW()-4),1),"&lt;0"),"")</f>
        <v>-594876.079947162</v>
      </c>
      <c r="BQ24" s="42" t="n">
        <f aca="false">IF(ISNUMBER(BP24),IF(AND(V24&lt;5*BP24,V24&gt;V23,E24&lt;AJ24),1,0),0)</f>
        <v>0</v>
      </c>
      <c r="BR24" s="44" t="n">
        <f aca="true">AVERAGE(OFFSET(F24,1-MIN(5,ROW()-4),0,MIN(5,ROW()-4),1))</f>
        <v>4200280</v>
      </c>
      <c r="BS24" s="42" t="n">
        <f aca="false">IFERROR(IF(MATCH(G24,周线!$A$5:$A$84,0)&lt;=1,"",INDEX(周线!$R$5:$R$84,MATCH(G24,周线!$A$5:$A$84,0)-1)),"")</f>
        <v>1</v>
      </c>
      <c r="BT24" s="42" t="n">
        <f aca="false">IFERROR(IF(MATCH(G24,周线!$A$5:$A$84,0)&lt;=1,"",INDEX(周线!$S$5:$S$84,MATCH(G24,周线!$A$5:$A$84,0)-1)),"")</f>
        <v>1</v>
      </c>
      <c r="BU24" s="42" t="n">
        <f aca="false">IFERROR(IF(MATCH(G24,周线!$A$5:$A$84,0)&lt;=1,"",INDEX(周线!$U$5:$U$84,MATCH(G24,周线!$A$5:$A$84,0)-1)),"")</f>
        <v>1</v>
      </c>
      <c r="BV24" s="42" t="n">
        <f aca="false">IF(AND(BS24=1,S24&lt;&gt;-1,V24&lt;0,BO24=1,E24&lt;=H24,E24&gt;=AJ24),1,0)</f>
        <v>0</v>
      </c>
      <c r="BW24" s="42" t="n">
        <f aca="false">BL24</f>
        <v>0</v>
      </c>
      <c r="BX24" s="42" t="n">
        <f aca="false">BQ24</f>
        <v>0</v>
      </c>
      <c r="BY24" s="42" t="n">
        <f aca="false">IF(BS24=1,10,0)+IF(BU24=1,5,IF(BU24=-1,0,3))+IF(BT24=1,5,0)+IF(AND(AE24&gt;AF24,AH24&gt;AH23),5,0)</f>
        <v>25</v>
      </c>
      <c r="BZ24" s="42" t="n">
        <f aca="false">IF(AND(E24&lt;=H24,E24&gt;=I24),10,IF(AND(E24&gt;=AJ24,E24&lt;I24),6,0))+IF(AND(V24&lt;0,BO24=1),8,0)+IF(AT24&lt;30,7,IF(AT24&lt;50,3,0))</f>
        <v>0</v>
      </c>
      <c r="CA24" s="42" t="n">
        <f aca="false">IF(AND(BV24=1,BW24=1),25,IF(BW24=1,22,IF(BV24=1,15,IF(BX24=1,12,0))))</f>
        <v>0</v>
      </c>
      <c r="CB24" s="42" t="n">
        <f aca="false">IF(W24&gt;0,6,0)+IF(F24&lt;BR24,4,0)</f>
        <v>10</v>
      </c>
      <c r="CC24" s="42" t="n">
        <f aca="false">IF(BC24&gt;=3,15,IF(BC24&gt;=p_RRmin,10,IF(BC24&gt;=1.5,4,0)))</f>
        <v>0</v>
      </c>
      <c r="CD24" s="42" t="n">
        <f aca="false">BY24+BZ24+CA24+CB24+CC24</f>
        <v>35</v>
      </c>
      <c r="CE24" s="42" t="n">
        <f aca="false">IF(AND(BS24&lt;&gt;1,BW24+BX24=0),1,0)</f>
        <v>0</v>
      </c>
      <c r="CF24" s="42" t="n">
        <f aca="false">IF(BU24=-1,1,0)</f>
        <v>0</v>
      </c>
      <c r="CG24" s="42" t="n">
        <f aca="false">IF(S24=-1,1,0)</f>
        <v>0</v>
      </c>
      <c r="CH24" s="42" t="n">
        <f aca="false">IF(BV24+BW24+BX24=0,1,0)</f>
        <v>1</v>
      </c>
      <c r="CI24" s="42" t="n">
        <f aca="false">IF(BC24&lt;p_RRmin,1,0)</f>
        <v>1</v>
      </c>
      <c r="CJ24" s="46" t="str">
        <f aca="false">IF(SUM(CE24:CI24)=0,IF(CD24&gt;=p_GradeA,"A",IF(CD24&gt;=p_GradeB,"B","C")),IF(AND(CI24=1,SUM(CE24:CH24)=0,CD24&gt;=p_GradeB),"B","C"))</f>
        <v>C</v>
      </c>
    </row>
    <row r="25" customFormat="false" ht="15" hidden="false" customHeight="false" outlineLevel="0" collapsed="false">
      <c r="A25" s="36" t="n">
        <v>45687</v>
      </c>
      <c r="B25" s="37" t="n">
        <v>22.19</v>
      </c>
      <c r="C25" s="37" t="n">
        <v>22.57</v>
      </c>
      <c r="D25" s="37" t="n">
        <v>22.08</v>
      </c>
      <c r="E25" s="37" t="n">
        <v>22.5</v>
      </c>
      <c r="F25" s="38" t="n">
        <v>3022400</v>
      </c>
      <c r="G25" s="39" t="n">
        <f aca="false">A25-WEEKDAY(A25,3)</f>
        <v>45684</v>
      </c>
      <c r="H25" s="40" t="n">
        <f aca="false">2/(p_EmaF+1)*E25+(1-2/(p_EmaF+1))*H24</f>
        <v>21.1119455620399</v>
      </c>
      <c r="I25" s="40" t="n">
        <f aca="false">2/(p_EmaS+1)*E25+(1-2/(p_EmaS+1))*I24</f>
        <v>20.6026819203679</v>
      </c>
      <c r="J25" s="41" t="n">
        <f aca="false">2/(p_MacdF+1)*E25+(1-2/(p_MacdF+1))*J24</f>
        <v>21.1786349036153</v>
      </c>
      <c r="K25" s="41" t="n">
        <f aca="false">2/(p_MacdS+1)*E25+(1-2/(p_MacdS+1))*K24</f>
        <v>20.6026819203679</v>
      </c>
      <c r="L25" s="41" t="n">
        <f aca="false">J25-K25</f>
        <v>0.575952983247422</v>
      </c>
      <c r="M25" s="41" t="n">
        <f aca="false">2/(p_MacdSig+1)*L25+(1-2/(p_MacdSig+1))*M24</f>
        <v>0.309459507075843</v>
      </c>
      <c r="N25" s="41" t="n">
        <f aca="false">L25-M25</f>
        <v>0.266493476171579</v>
      </c>
      <c r="O25" s="42" t="n">
        <f aca="false">IF(H25&gt;H24,1,0)</f>
        <v>1</v>
      </c>
      <c r="P25" s="42" t="n">
        <f aca="false">IF(H25&lt;H24,1,0)</f>
        <v>0</v>
      </c>
      <c r="Q25" s="42" t="n">
        <f aca="false">IF(N25&gt;N24,1,0)</f>
        <v>1</v>
      </c>
      <c r="R25" s="42" t="n">
        <f aca="false">IF(N25&lt;N24,1,0)</f>
        <v>0</v>
      </c>
      <c r="S25" s="42" t="n">
        <f aca="false">IF(AND(O25=1,Q25=1),1,IF(AND(P25=1,R25=1),-1,0))</f>
        <v>1</v>
      </c>
      <c r="T25" s="43" t="str">
        <f aca="false">IF(S25=1,"绿",IF(S25=-1,"红","蓝"))</f>
        <v>绿</v>
      </c>
      <c r="U25" s="44" t="n">
        <f aca="false">F25*(E25-E24)</f>
        <v>816047.999999999</v>
      </c>
      <c r="V25" s="44" t="n">
        <f aca="false">2/(p_FiS+1)*U25+(1-2/(p_FiS+1))*V24</f>
        <v>957169.144226296</v>
      </c>
      <c r="W25" s="44" t="n">
        <f aca="false">2/(p_FiL+1)*U25+(1-2/(p_FiL+1))*W24</f>
        <v>1020798.36676569</v>
      </c>
      <c r="X25" s="41" t="n">
        <f aca="false">MAX(C25-D25,ABS(C25-E24),ABS(D25-E24))</f>
        <v>0.490000000000002</v>
      </c>
      <c r="Y25" s="41" t="n">
        <f aca="true">AVERAGE(OFFSET(X25,1-MIN(p_AtrN,ROW()-4),0,MIN(p_AtrN,ROW()-4),1))</f>
        <v>0.434615384615385</v>
      </c>
      <c r="Z25" s="41" t="n">
        <f aca="false">IF(AND(C25-C24&gt;D24-D25,C25-C24&gt;0),C25-C24,0)</f>
        <v>0.16</v>
      </c>
      <c r="AA25" s="41" t="n">
        <f aca="false">IF(AND(D24-D25&gt;C25-C24,D24-D25&gt;0),D24-D25,0)</f>
        <v>0</v>
      </c>
      <c r="AB25" s="41" t="n">
        <f aca="false">2/(p_AdxN+1)*X25+(1-2/(p_AdxN+1))*AB24</f>
        <v>0.468575525620025</v>
      </c>
      <c r="AC25" s="41" t="n">
        <f aca="false">2/(p_AdxN+1)*Z25+(1-2/(p_AdxN+1))*AC24</f>
        <v>0.234497169583052</v>
      </c>
      <c r="AD25" s="41" t="n">
        <f aca="false">2/(p_AdxN+1)*AA25+(1-2/(p_AdxN+1))*AD24</f>
        <v>0.013370643129743</v>
      </c>
      <c r="AE25" s="45" t="n">
        <f aca="false">100*AC25/AB25</f>
        <v>50.0446900790993</v>
      </c>
      <c r="AF25" s="45" t="n">
        <f aca="false">100*AD25/AB25</f>
        <v>2.85346596198142</v>
      </c>
      <c r="AG25" s="45" t="n">
        <f aca="false">IFERROR(100*ABS(AE25-AF25)/(AE25+AF25),0)</f>
        <v>89.2114728544964</v>
      </c>
      <c r="AH25" s="45" t="n">
        <f aca="false">2/(p_AdxN+1)*AG25+(1-2/(p_AdxN+1))*AH24</f>
        <v>59.9024047615933</v>
      </c>
      <c r="AI25" s="40" t="n">
        <f aca="false">I25*(1+p_ChPct)</f>
        <v>21.83884283559</v>
      </c>
      <c r="AJ25" s="40" t="n">
        <f aca="false">I25*(1-p_ChPct)</f>
        <v>19.3665210051458</v>
      </c>
      <c r="AK25" s="40" t="n">
        <f aca="false">I25+1*Y25</f>
        <v>21.0372973049833</v>
      </c>
      <c r="AL25" s="40" t="n">
        <f aca="false">I25+2*Y25</f>
        <v>21.4719126895987</v>
      </c>
      <c r="AM25" s="40" t="n">
        <f aca="false">I25+3*Y25</f>
        <v>21.906528074214</v>
      </c>
      <c r="AN25" s="40" t="n">
        <f aca="false">I25-1*Y25</f>
        <v>20.1680665357525</v>
      </c>
      <c r="AO25" s="40" t="n">
        <f aca="false">I25-2*Y25</f>
        <v>19.7334511511371</v>
      </c>
      <c r="AP25" s="40" t="n">
        <f aca="false">I25-3*Y25</f>
        <v>19.2988357665217</v>
      </c>
      <c r="AQ25" s="40" t="n">
        <f aca="true">MAX(OFFSET(C25,1-MIN(p_StochN,ROW()-4),0,MIN(p_StochN,ROW()-4),1))</f>
        <v>22.57</v>
      </c>
      <c r="AR25" s="40" t="n">
        <f aca="true">MIN(OFFSET(D25,1-MIN(p_StochN,ROW()-4),0,MIN(p_StochN,ROW()-4),1))</f>
        <v>20.62</v>
      </c>
      <c r="AS25" s="45" t="n">
        <f aca="false">IF(AQ25=AR25,50,100*(E25-AR25)/(AQ25-AR25))</f>
        <v>96.4102564102564</v>
      </c>
      <c r="AT25" s="45" t="n">
        <f aca="true">AVERAGE(OFFSET(AS25,1-MIN(p_StochSm,ROW()-4),0,MIN(p_StochSm,ROW()-4),1))</f>
        <v>91.9650249092758</v>
      </c>
      <c r="AU25" s="45" t="n">
        <f aca="true">AVERAGE(OFFSET(AT25,1-MIN(p_StochSm,ROW()-4),0,MIN(p_StochSm,ROW()-4),1))</f>
        <v>91.0006858628008</v>
      </c>
      <c r="AV25" s="41" t="n">
        <f aca="false">MAX(0,H25-D25)</f>
        <v>0</v>
      </c>
      <c r="AW25" s="41" t="n">
        <f aca="true">IF(COUNTIF(OFFSET(AV25,1-MIN(p_PenLb,ROW()-4),0,MIN(p_PenLb,ROW()-4),1),"&gt;0")&gt;0,SUM(OFFSET(AV25,1-MIN(p_PenLb,ROW()-4),0,MIN(p_PenLb,ROW()-4),1))/COUNTIF(OFFSET(AV25,1-MIN(p_PenLb,ROW()-4),0,MIN(p_PenLb,ROW()-4),1),"&gt;0"),0.5*Y25)</f>
        <v>0.202033543310049</v>
      </c>
      <c r="AX25" s="41" t="n">
        <f aca="false">2*H25-H24</f>
        <v>21.3432879683666</v>
      </c>
      <c r="AY25" s="40" t="n">
        <f aca="false">ROUND(MAX(AX25-AW25,0.01),2)</f>
        <v>21.14</v>
      </c>
      <c r="AZ25" s="40" t="n">
        <f aca="true">IF(MIN(p_StopLb,ROW()-4)&lt;2,D25,SMALL(OFFSET(D25,1-MIN(p_StopLb,ROW()-4),0,MIN(p_StopLb,ROW()-4),1),2))</f>
        <v>19.96</v>
      </c>
      <c r="BA25" s="40" t="n">
        <f aca="false">IF(MOD(ROUND(ROUNDDOWN(MIN(AZ25-0.01,AY25-p_StopAtr*Y25),2)*100,0),50)=0,ROUNDDOWN(MIN(AZ25-0.01,AY25-p_StopAtr*Y25),2)-0.01,ROUNDDOWN(MIN(AZ25-0.01,AY25-p_StopAtr*Y25),2))</f>
        <v>19.95</v>
      </c>
      <c r="BB25" s="40" t="n">
        <f aca="false">ROUND(AI25,2)</f>
        <v>21.84</v>
      </c>
      <c r="BC25" s="40" t="n">
        <f aca="false">IF(AY25-BA25&gt;0,(BB25-AY25)/(AY25-BA25),0)</f>
        <v>0.588235294117646</v>
      </c>
      <c r="BD25" s="42" t="n">
        <f aca="false">IF(N25&lt;0,1,0)</f>
        <v>0</v>
      </c>
      <c r="BE25" s="41" t="n">
        <f aca="false">IF(AND(BD25=1,BD24=0),N25,IF(BD25=1,MIN(BE24,N25),BE24))</f>
        <v>-0.0234128043712021</v>
      </c>
      <c r="BF25" s="40" t="n">
        <f aca="false">IF(AND(BD25=1,BD24=0),D25,IF(BD25=1,MIN(BF24,D25),BF24))</f>
        <v>19.42</v>
      </c>
      <c r="BG25" s="42" t="n">
        <f aca="false">IF(AND(BD25=1,BD24=0),ROW(),IF(BD25=1,IF(N25&lt;BE24,ROW(),BG24),BG24))</f>
        <v>10</v>
      </c>
      <c r="BH25" s="41" t="str">
        <f aca="false">IF(AND(BD25=1,BD24=0),BE24,BH24)</f>
        <v/>
      </c>
      <c r="BI25" s="40" t="str">
        <f aca="false">IF(AND(BD25=1,BD24=0),BF24,BI24)</f>
        <v/>
      </c>
      <c r="BJ25" s="42" t="str">
        <f aca="false">IF(AND(BD25=1,BD24=0),BG24,BJ24)</f>
        <v/>
      </c>
      <c r="BK25" s="42" t="str">
        <f aca="false">IF(AND(ISNUMBER(BG25),ISNUMBER(BJ25)),BG25-BJ25,"")</f>
        <v/>
      </c>
      <c r="BL25" s="42" t="n">
        <f aca="false">IF(AND(BD25=1,N25&gt;N24,ISNUMBER(BH25),ISNUMBER(BK25)),IF(AND(BE25&gt;BH25,BF25&lt;BI25,BK25&gt;=p_GapMin,BK25&lt;=p_GapMax),1,0),0)</f>
        <v>0</v>
      </c>
      <c r="BM25" s="42" t="n">
        <f aca="false">IF(AND(BL25=1,E25&gt;BI25),1,0)</f>
        <v>0</v>
      </c>
      <c r="BN25" s="42" t="n">
        <f aca="false">IF(BL25=1,IF(BE25&gt;=BH25*0.5,1,0),0)</f>
        <v>0</v>
      </c>
      <c r="BO25" s="42" t="n">
        <f aca="true">IF(V25&gt;MIN(OFFSET(V25,-MIN(p_FiLb-1,ROW()-5),0,MIN(p_FiLb-1,ROW()-5),1)),1,0)</f>
        <v>1</v>
      </c>
      <c r="BP25" s="44" t="n">
        <f aca="true">IF(COUNTIF(OFFSET(V25,1-MIN(100,ROW()-4),0,MIN(100,ROW()-4),1),"&lt;0")&gt;=5,AVERAGEIF(OFFSET(V25,1-MIN(100,ROW()-4),0,MIN(100,ROW()-4),1),"&lt;0"),"")</f>
        <v>-594876.079947162</v>
      </c>
      <c r="BQ25" s="42" t="n">
        <f aca="false">IF(ISNUMBER(BP25),IF(AND(V25&lt;5*BP25,V25&gt;V24,E25&lt;AJ25),1,0),0)</f>
        <v>0</v>
      </c>
      <c r="BR25" s="44" t="n">
        <f aca="true">AVERAGE(OFFSET(F25,1-MIN(5,ROW()-4),0,MIN(5,ROW()-4),1))</f>
        <v>4128460</v>
      </c>
      <c r="BS25" s="42" t="n">
        <f aca="false">IFERROR(IF(MATCH(G25,周线!$A$5:$A$84,0)&lt;=1,"",INDEX(周线!$R$5:$R$84,MATCH(G25,周线!$A$5:$A$84,0)-1)),"")</f>
        <v>1</v>
      </c>
      <c r="BT25" s="42" t="n">
        <f aca="false">IFERROR(IF(MATCH(G25,周线!$A$5:$A$84,0)&lt;=1,"",INDEX(周线!$S$5:$S$84,MATCH(G25,周线!$A$5:$A$84,0)-1)),"")</f>
        <v>1</v>
      </c>
      <c r="BU25" s="42" t="n">
        <f aca="false">IFERROR(IF(MATCH(G25,周线!$A$5:$A$84,0)&lt;=1,"",INDEX(周线!$U$5:$U$84,MATCH(G25,周线!$A$5:$A$84,0)-1)),"")</f>
        <v>1</v>
      </c>
      <c r="BV25" s="42" t="n">
        <f aca="false">IF(AND(BS25=1,S25&lt;&gt;-1,V25&lt;0,BO25=1,E25&lt;=H25,E25&gt;=AJ25),1,0)</f>
        <v>0</v>
      </c>
      <c r="BW25" s="42" t="n">
        <f aca="false">BL25</f>
        <v>0</v>
      </c>
      <c r="BX25" s="42" t="n">
        <f aca="false">BQ25</f>
        <v>0</v>
      </c>
      <c r="BY25" s="42" t="n">
        <f aca="false">IF(BS25=1,10,0)+IF(BU25=1,5,IF(BU25=-1,0,3))+IF(BT25=1,5,0)+IF(AND(AE25&gt;AF25,AH25&gt;AH24),5,0)</f>
        <v>25</v>
      </c>
      <c r="BZ25" s="42" t="n">
        <f aca="false">IF(AND(E25&lt;=H25,E25&gt;=I25),10,IF(AND(E25&gt;=AJ25,E25&lt;I25),6,0))+IF(AND(V25&lt;0,BO25=1),8,0)+IF(AT25&lt;30,7,IF(AT25&lt;50,3,0))</f>
        <v>0</v>
      </c>
      <c r="CA25" s="42" t="n">
        <f aca="false">IF(AND(BV25=1,BW25=1),25,IF(BW25=1,22,IF(BV25=1,15,IF(BX25=1,12,0))))</f>
        <v>0</v>
      </c>
      <c r="CB25" s="42" t="n">
        <f aca="false">IF(W25&gt;0,6,0)+IF(F25&lt;BR25,4,0)</f>
        <v>10</v>
      </c>
      <c r="CC25" s="42" t="n">
        <f aca="false">IF(BC25&gt;=3,15,IF(BC25&gt;=p_RRmin,10,IF(BC25&gt;=1.5,4,0)))</f>
        <v>0</v>
      </c>
      <c r="CD25" s="42" t="n">
        <f aca="false">BY25+BZ25+CA25+CB25+CC25</f>
        <v>35</v>
      </c>
      <c r="CE25" s="42" t="n">
        <f aca="false">IF(AND(BS25&lt;&gt;1,BW25+BX25=0),1,0)</f>
        <v>0</v>
      </c>
      <c r="CF25" s="42" t="n">
        <f aca="false">IF(BU25=-1,1,0)</f>
        <v>0</v>
      </c>
      <c r="CG25" s="42" t="n">
        <f aca="false">IF(S25=-1,1,0)</f>
        <v>0</v>
      </c>
      <c r="CH25" s="42" t="n">
        <f aca="false">IF(BV25+BW25+BX25=0,1,0)</f>
        <v>1</v>
      </c>
      <c r="CI25" s="42" t="n">
        <f aca="false">IF(BC25&lt;p_RRmin,1,0)</f>
        <v>1</v>
      </c>
      <c r="CJ25" s="46" t="str">
        <f aca="false">IF(SUM(CE25:CI25)=0,IF(CD25&gt;=p_GradeA,"A",IF(CD25&gt;=p_GradeB,"B","C")),IF(AND(CI25=1,SUM(CE25:CH25)=0,CD25&gt;=p_GradeB),"B","C"))</f>
        <v>C</v>
      </c>
    </row>
    <row r="26" customFormat="false" ht="15" hidden="false" customHeight="false" outlineLevel="0" collapsed="false">
      <c r="A26" s="36" t="n">
        <v>45688</v>
      </c>
      <c r="B26" s="37" t="n">
        <v>22.59</v>
      </c>
      <c r="C26" s="37" t="n">
        <v>22.7</v>
      </c>
      <c r="D26" s="37" t="n">
        <v>22.2</v>
      </c>
      <c r="E26" s="37" t="n">
        <v>22.3</v>
      </c>
      <c r="F26" s="38" t="n">
        <v>4120700</v>
      </c>
      <c r="G26" s="39" t="n">
        <f aca="false">A26-WEEKDAY(A26,3)</f>
        <v>45684</v>
      </c>
      <c r="H26" s="40" t="n">
        <f aca="false">2/(p_EmaF+1)*E26+(1-2/(p_EmaF+1))*H25</f>
        <v>21.2816676246057</v>
      </c>
      <c r="I26" s="40" t="n">
        <f aca="false">2/(p_EmaS+1)*E26+(1-2/(p_EmaS+1))*I25</f>
        <v>20.7284091855258</v>
      </c>
      <c r="J26" s="41" t="n">
        <f aca="false">2/(p_MacdF+1)*E26+(1-2/(p_MacdF+1))*J25</f>
        <v>21.3511526107514</v>
      </c>
      <c r="K26" s="41" t="n">
        <f aca="false">2/(p_MacdS+1)*E26+(1-2/(p_MacdS+1))*K25</f>
        <v>20.7284091855258</v>
      </c>
      <c r="L26" s="41" t="n">
        <f aca="false">J26-K26</f>
        <v>0.622743425225597</v>
      </c>
      <c r="M26" s="41" t="n">
        <f aca="false">2/(p_MacdSig+1)*L26+(1-2/(p_MacdSig+1))*M25</f>
        <v>0.372116290705794</v>
      </c>
      <c r="N26" s="41" t="n">
        <f aca="false">L26-M26</f>
        <v>0.250627134519803</v>
      </c>
      <c r="O26" s="42" t="n">
        <f aca="false">IF(H26&gt;H25,1,0)</f>
        <v>1</v>
      </c>
      <c r="P26" s="42" t="n">
        <f aca="false">IF(H26&lt;H25,1,0)</f>
        <v>0</v>
      </c>
      <c r="Q26" s="42" t="n">
        <f aca="false">IF(N26&gt;N25,1,0)</f>
        <v>0</v>
      </c>
      <c r="R26" s="42" t="n">
        <f aca="false">IF(N26&lt;N25,1,0)</f>
        <v>1</v>
      </c>
      <c r="S26" s="42" t="n">
        <f aca="false">IF(AND(O26=1,Q26=1),1,IF(AND(P26=1,R26=1),-1,0))</f>
        <v>0</v>
      </c>
      <c r="T26" s="43" t="str">
        <f aca="false">IF(S26=1,"绿",IF(S26=-1,"红","蓝"))</f>
        <v>蓝</v>
      </c>
      <c r="U26" s="44" t="n">
        <f aca="false">F26*(E26-E25)</f>
        <v>-824139.999999997</v>
      </c>
      <c r="V26" s="44" t="n">
        <f aca="false">2/(p_FiS+1)*U26+(1-2/(p_FiS+1))*V25</f>
        <v>-230370.285257899</v>
      </c>
      <c r="W26" s="44" t="n">
        <f aca="false">2/(p_FiL+1)*U26+(1-2/(p_FiL+1))*W25</f>
        <v>757235.742942022</v>
      </c>
      <c r="X26" s="41" t="n">
        <f aca="false">MAX(C26-D26,ABS(C26-E25),ABS(D26-E25))</f>
        <v>0.5</v>
      </c>
      <c r="Y26" s="41" t="n">
        <f aca="true">AVERAGE(OFFSET(X26,1-MIN(p_AtrN,ROW()-4),0,MIN(p_AtrN,ROW()-4),1))</f>
        <v>0.459230769230769</v>
      </c>
      <c r="Z26" s="41" t="n">
        <f aca="false">IF(AND(C26-C25&gt;D25-D26,C26-C25&gt;0),C26-C25,0)</f>
        <v>0.129999999999999</v>
      </c>
      <c r="AA26" s="41" t="n">
        <f aca="false">IF(AND(D25-D26&gt;C26-C25,D25-D26&gt;0),D25-D26,0)</f>
        <v>0</v>
      </c>
      <c r="AB26" s="41" t="n">
        <f aca="false">2/(p_AdxN+1)*X26+(1-2/(p_AdxN+1))*AB25</f>
        <v>0.473064736245736</v>
      </c>
      <c r="AC26" s="41" t="n">
        <f aca="false">2/(p_AdxN+1)*Z26+(1-2/(p_AdxN+1))*AC25</f>
        <v>0.219569002499759</v>
      </c>
      <c r="AD26" s="41" t="n">
        <f aca="false">2/(p_AdxN+1)*AA26+(1-2/(p_AdxN+1))*AD25</f>
        <v>0.0114605512540654</v>
      </c>
      <c r="AE26" s="45" t="n">
        <f aca="false">100*AC26/AB26</f>
        <v>46.4141555429112</v>
      </c>
      <c r="AF26" s="45" t="n">
        <f aca="false">100*AD26/AB26</f>
        <v>2.4226179581714</v>
      </c>
      <c r="AG26" s="45" t="n">
        <f aca="false">IFERROR(100*ABS(AE26-AF26)/(AE26+AF26),0)</f>
        <v>90.0787141144052</v>
      </c>
      <c r="AH26" s="45" t="n">
        <f aca="false">2/(p_AdxN+1)*AG26+(1-2/(p_AdxN+1))*AH25</f>
        <v>64.2133060977093</v>
      </c>
      <c r="AI26" s="40" t="n">
        <f aca="false">I26*(1+p_ChPct)</f>
        <v>21.9721137366574</v>
      </c>
      <c r="AJ26" s="40" t="n">
        <f aca="false">I26*(1-p_ChPct)</f>
        <v>19.4847046343943</v>
      </c>
      <c r="AK26" s="40" t="n">
        <f aca="false">I26+1*Y26</f>
        <v>21.1876399547566</v>
      </c>
      <c r="AL26" s="40" t="n">
        <f aca="false">I26+2*Y26</f>
        <v>21.6468707239874</v>
      </c>
      <c r="AM26" s="40" t="n">
        <f aca="false">I26+3*Y26</f>
        <v>22.1061014932181</v>
      </c>
      <c r="AN26" s="40" t="n">
        <f aca="false">I26-1*Y26</f>
        <v>20.2691784162951</v>
      </c>
      <c r="AO26" s="40" t="n">
        <f aca="false">I26-2*Y26</f>
        <v>19.8099476470643</v>
      </c>
      <c r="AP26" s="40" t="n">
        <f aca="false">I26-3*Y26</f>
        <v>19.3507168778335</v>
      </c>
      <c r="AQ26" s="40" t="n">
        <f aca="true">MAX(OFFSET(C26,1-MIN(p_StochN,ROW()-4),0,MIN(p_StochN,ROW()-4),1))</f>
        <v>22.7</v>
      </c>
      <c r="AR26" s="40" t="n">
        <f aca="true">MIN(OFFSET(D26,1-MIN(p_StochN,ROW()-4),0,MIN(p_StochN,ROW()-4),1))</f>
        <v>20.78</v>
      </c>
      <c r="AS26" s="45" t="n">
        <f aca="false">IF(AQ26=AR26,50,100*(E26-AR26)/(AQ26-AR26))</f>
        <v>79.1666666666667</v>
      </c>
      <c r="AT26" s="45" t="n">
        <f aca="true">AVERAGE(OFFSET(AS26,1-MIN(p_StochSm,ROW()-4),0,MIN(p_StochSm,ROW()-4),1))</f>
        <v>88.9321450906817</v>
      </c>
      <c r="AU26" s="45" t="n">
        <f aca="true">AVERAGE(OFFSET(AT26,1-MIN(p_StochSm,ROW()-4),0,MIN(p_StochSm,ROW()-4),1))</f>
        <v>90.3691290723085</v>
      </c>
      <c r="AV26" s="41" t="n">
        <f aca="false">MAX(0,H26-D26)</f>
        <v>0</v>
      </c>
      <c r="AW26" s="41" t="n">
        <f aca="true">IF(COUNTIF(OFFSET(AV26,1-MIN(p_PenLb,ROW()-4),0,MIN(p_PenLb,ROW()-4),1),"&gt;0")&gt;0,SUM(OFFSET(AV26,1-MIN(p_PenLb,ROW()-4),0,MIN(p_PenLb,ROW()-4),1))/COUNTIF(OFFSET(AV26,1-MIN(p_PenLb,ROW()-4),0,MIN(p_PenLb,ROW()-4),1),"&gt;0"),0.5*Y26)</f>
        <v>0.202033543310049</v>
      </c>
      <c r="AX26" s="41" t="n">
        <f aca="false">2*H26-H25</f>
        <v>21.4513896871714</v>
      </c>
      <c r="AY26" s="40" t="n">
        <f aca="false">ROUND(MAX(AX26-AW26,0.01),2)</f>
        <v>21.25</v>
      </c>
      <c r="AZ26" s="40" t="n">
        <f aca="true">IF(MIN(p_StopLb,ROW()-4)&lt;2,D26,SMALL(OFFSET(D26,1-MIN(p_StopLb,ROW()-4),0,MIN(p_StopLb,ROW()-4),1),2))</f>
        <v>20.02</v>
      </c>
      <c r="BA26" s="40" t="n">
        <f aca="false">IF(MOD(ROUND(ROUNDDOWN(MIN(AZ26-0.01,AY26-p_StopAtr*Y26),2)*100,0),50)=0,ROUNDDOWN(MIN(AZ26-0.01,AY26-p_StopAtr*Y26),2)-0.01,ROUNDDOWN(MIN(AZ26-0.01,AY26-p_StopAtr*Y26),2))</f>
        <v>20.01</v>
      </c>
      <c r="BB26" s="40" t="n">
        <f aca="false">ROUND(AI26,2)</f>
        <v>21.97</v>
      </c>
      <c r="BC26" s="40" t="n">
        <f aca="false">IF(AY26-BA26&gt;0,(BB26-AY26)/(AY26-BA26),0)</f>
        <v>0.580645161290322</v>
      </c>
      <c r="BD26" s="42" t="n">
        <f aca="false">IF(N26&lt;0,1,0)</f>
        <v>0</v>
      </c>
      <c r="BE26" s="41" t="n">
        <f aca="false">IF(AND(BD26=1,BD25=0),N26,IF(BD26=1,MIN(BE25,N26),BE25))</f>
        <v>-0.0234128043712021</v>
      </c>
      <c r="BF26" s="40" t="n">
        <f aca="false">IF(AND(BD26=1,BD25=0),D26,IF(BD26=1,MIN(BF25,D26),BF25))</f>
        <v>19.42</v>
      </c>
      <c r="BG26" s="42" t="n">
        <f aca="false">IF(AND(BD26=1,BD25=0),ROW(),IF(BD26=1,IF(N26&lt;BE25,ROW(),BG25),BG25))</f>
        <v>10</v>
      </c>
      <c r="BH26" s="41" t="str">
        <f aca="false">IF(AND(BD26=1,BD25=0),BE25,BH25)</f>
        <v/>
      </c>
      <c r="BI26" s="40" t="str">
        <f aca="false">IF(AND(BD26=1,BD25=0),BF25,BI25)</f>
        <v/>
      </c>
      <c r="BJ26" s="42" t="str">
        <f aca="false">IF(AND(BD26=1,BD25=0),BG25,BJ25)</f>
        <v/>
      </c>
      <c r="BK26" s="42" t="str">
        <f aca="false">IF(AND(ISNUMBER(BG26),ISNUMBER(BJ26)),BG26-BJ26,"")</f>
        <v/>
      </c>
      <c r="BL26" s="42" t="n">
        <f aca="false">IF(AND(BD26=1,N26&gt;N25,ISNUMBER(BH26),ISNUMBER(BK26)),IF(AND(BE26&gt;BH26,BF26&lt;BI26,BK26&gt;=p_GapMin,BK26&lt;=p_GapMax),1,0),0)</f>
        <v>0</v>
      </c>
      <c r="BM26" s="42" t="n">
        <f aca="false">IF(AND(BL26=1,E26&gt;BI26),1,0)</f>
        <v>0</v>
      </c>
      <c r="BN26" s="42" t="n">
        <f aca="false">IF(BL26=1,IF(BE26&gt;=BH26*0.5,1,0),0)</f>
        <v>0</v>
      </c>
      <c r="BO26" s="42" t="n">
        <f aca="true">IF(V26&gt;MIN(OFFSET(V26,-MIN(p_FiLb-1,ROW()-5),0,MIN(p_FiLb-1,ROW()-5),1)),1,0)</f>
        <v>1</v>
      </c>
      <c r="BP26" s="44" t="n">
        <f aca="true">IF(COUNTIF(OFFSET(V26,1-MIN(100,ROW()-4),0,MIN(100,ROW()-4),1),"&lt;0")&gt;=5,AVERAGEIF(OFFSET(V26,1-MIN(100,ROW()-4),0,MIN(100,ROW()-4),1),"&lt;0"),"")</f>
        <v>-534125.114165618</v>
      </c>
      <c r="BQ26" s="42" t="n">
        <f aca="false">IF(ISNUMBER(BP26),IF(AND(V26&lt;5*BP26,V26&gt;V25,E26&lt;AJ26),1,0),0)</f>
        <v>0</v>
      </c>
      <c r="BR26" s="44" t="n">
        <f aca="true">AVERAGE(OFFSET(F26,1-MIN(5,ROW()-4),0,MIN(5,ROW()-4),1))</f>
        <v>4167720</v>
      </c>
      <c r="BS26" s="42" t="n">
        <f aca="false">IFERROR(IF(MATCH(G26,周线!$A$5:$A$84,0)&lt;=1,"",INDEX(周线!$R$5:$R$84,MATCH(G26,周线!$A$5:$A$84,0)-1)),"")</f>
        <v>1</v>
      </c>
      <c r="BT26" s="42" t="n">
        <f aca="false">IFERROR(IF(MATCH(G26,周线!$A$5:$A$84,0)&lt;=1,"",INDEX(周线!$S$5:$S$84,MATCH(G26,周线!$A$5:$A$84,0)-1)),"")</f>
        <v>1</v>
      </c>
      <c r="BU26" s="42" t="n">
        <f aca="false">IFERROR(IF(MATCH(G26,周线!$A$5:$A$84,0)&lt;=1,"",INDEX(周线!$U$5:$U$84,MATCH(G26,周线!$A$5:$A$84,0)-1)),"")</f>
        <v>1</v>
      </c>
      <c r="BV26" s="42" t="n">
        <f aca="false">IF(AND(BS26=1,S26&lt;&gt;-1,V26&lt;0,BO26=1,E26&lt;=H26,E26&gt;=AJ26),1,0)</f>
        <v>0</v>
      </c>
      <c r="BW26" s="42" t="n">
        <f aca="false">BL26</f>
        <v>0</v>
      </c>
      <c r="BX26" s="42" t="n">
        <f aca="false">BQ26</f>
        <v>0</v>
      </c>
      <c r="BY26" s="42" t="n">
        <f aca="false">IF(BS26=1,10,0)+IF(BU26=1,5,IF(BU26=-1,0,3))+IF(BT26=1,5,0)+IF(AND(AE26&gt;AF26,AH26&gt;AH25),5,0)</f>
        <v>25</v>
      </c>
      <c r="BZ26" s="42" t="n">
        <f aca="false">IF(AND(E26&lt;=H26,E26&gt;=I26),10,IF(AND(E26&gt;=AJ26,E26&lt;I26),6,0))+IF(AND(V26&lt;0,BO26=1),8,0)+IF(AT26&lt;30,7,IF(AT26&lt;50,3,0))</f>
        <v>8</v>
      </c>
      <c r="CA26" s="42" t="n">
        <f aca="false">IF(AND(BV26=1,BW26=1),25,IF(BW26=1,22,IF(BV26=1,15,IF(BX26=1,12,0))))</f>
        <v>0</v>
      </c>
      <c r="CB26" s="42" t="n">
        <f aca="false">IF(W26&gt;0,6,0)+IF(F26&lt;BR26,4,0)</f>
        <v>10</v>
      </c>
      <c r="CC26" s="42" t="n">
        <f aca="false">IF(BC26&gt;=3,15,IF(BC26&gt;=p_RRmin,10,IF(BC26&gt;=1.5,4,0)))</f>
        <v>0</v>
      </c>
      <c r="CD26" s="42" t="n">
        <f aca="false">BY26+BZ26+CA26+CB26+CC26</f>
        <v>43</v>
      </c>
      <c r="CE26" s="42" t="n">
        <f aca="false">IF(AND(BS26&lt;&gt;1,BW26+BX26=0),1,0)</f>
        <v>0</v>
      </c>
      <c r="CF26" s="42" t="n">
        <f aca="false">IF(BU26=-1,1,0)</f>
        <v>0</v>
      </c>
      <c r="CG26" s="42" t="n">
        <f aca="false">IF(S26=-1,1,0)</f>
        <v>0</v>
      </c>
      <c r="CH26" s="42" t="n">
        <f aca="false">IF(BV26+BW26+BX26=0,1,0)</f>
        <v>1</v>
      </c>
      <c r="CI26" s="42" t="n">
        <f aca="false">IF(BC26&lt;p_RRmin,1,0)</f>
        <v>1</v>
      </c>
      <c r="CJ26" s="46" t="str">
        <f aca="false">IF(SUM(CE26:CI26)=0,IF(CD26&gt;=p_GradeA,"A",IF(CD26&gt;=p_GradeB,"B","C")),IF(AND(CI26=1,SUM(CE26:CH26)=0,CD26&gt;=p_GradeB),"B","C"))</f>
        <v>C</v>
      </c>
    </row>
    <row r="27" customFormat="false" ht="15" hidden="false" customHeight="false" outlineLevel="0" collapsed="false">
      <c r="A27" s="36" t="n">
        <v>45691</v>
      </c>
      <c r="B27" s="37" t="n">
        <v>22.28</v>
      </c>
      <c r="C27" s="37" t="n">
        <v>22.45</v>
      </c>
      <c r="D27" s="37" t="n">
        <v>22.05</v>
      </c>
      <c r="E27" s="37" t="n">
        <v>22.33</v>
      </c>
      <c r="F27" s="38" t="n">
        <v>2328800</v>
      </c>
      <c r="G27" s="39" t="n">
        <f aca="false">A27-WEEKDAY(A27,3)</f>
        <v>45691</v>
      </c>
      <c r="H27" s="40" t="n">
        <f aca="false">2/(p_EmaF+1)*E27+(1-2/(p_EmaF+1))*H26</f>
        <v>21.4314293925191</v>
      </c>
      <c r="I27" s="40" t="n">
        <f aca="false">2/(p_EmaS+1)*E27+(1-2/(p_EmaS+1))*I26</f>
        <v>20.8470455421535</v>
      </c>
      <c r="J27" s="41" t="n">
        <f aca="false">2/(p_MacdF+1)*E27+(1-2/(p_MacdF+1))*J26</f>
        <v>21.5017445167897</v>
      </c>
      <c r="K27" s="41" t="n">
        <f aca="false">2/(p_MacdS+1)*E27+(1-2/(p_MacdS+1))*K26</f>
        <v>20.8470455421535</v>
      </c>
      <c r="L27" s="41" t="n">
        <f aca="false">J27-K27</f>
        <v>0.654698974636123</v>
      </c>
      <c r="M27" s="41" t="n">
        <f aca="false">2/(p_MacdSig+1)*L27+(1-2/(p_MacdSig+1))*M26</f>
        <v>0.42863282749186</v>
      </c>
      <c r="N27" s="41" t="n">
        <f aca="false">L27-M27</f>
        <v>0.226066147144263</v>
      </c>
      <c r="O27" s="42" t="n">
        <f aca="false">IF(H27&gt;H26,1,0)</f>
        <v>1</v>
      </c>
      <c r="P27" s="42" t="n">
        <f aca="false">IF(H27&lt;H26,1,0)</f>
        <v>0</v>
      </c>
      <c r="Q27" s="42" t="n">
        <f aca="false">IF(N27&gt;N26,1,0)</f>
        <v>0</v>
      </c>
      <c r="R27" s="42" t="n">
        <f aca="false">IF(N27&lt;N26,1,0)</f>
        <v>1</v>
      </c>
      <c r="S27" s="42" t="n">
        <f aca="false">IF(AND(O27=1,Q27=1),1,IF(AND(P27=1,R27=1),-1,0))</f>
        <v>0</v>
      </c>
      <c r="T27" s="43" t="str">
        <f aca="false">IF(S27=1,"绿",IF(S27=-1,"红","蓝"))</f>
        <v>蓝</v>
      </c>
      <c r="U27" s="44" t="n">
        <f aca="false">F27*(E27-E26)</f>
        <v>69863.9999999944</v>
      </c>
      <c r="V27" s="44" t="n">
        <f aca="false">2/(p_FiS+1)*U27+(1-2/(p_FiS+1))*V26</f>
        <v>-30214.0950859702</v>
      </c>
      <c r="W27" s="44" t="n">
        <f aca="false">2/(p_FiL+1)*U27+(1-2/(p_FiL+1))*W26</f>
        <v>659039.779664589</v>
      </c>
      <c r="X27" s="41" t="n">
        <f aca="false">MAX(C27-D27,ABS(C27-E26),ABS(D27-E26))</f>
        <v>0.399999999999999</v>
      </c>
      <c r="Y27" s="41" t="n">
        <f aca="true">AVERAGE(OFFSET(X27,1-MIN(p_AtrN,ROW()-4),0,MIN(p_AtrN,ROW()-4),1))</f>
        <v>0.456153846153846</v>
      </c>
      <c r="Z27" s="41" t="n">
        <f aca="false">IF(AND(C27-C26&gt;D26-D27,C27-C26&gt;0),C27-C26,0)</f>
        <v>0</v>
      </c>
      <c r="AA27" s="41" t="n">
        <f aca="false">IF(AND(D26-D27&gt;C27-C26,D26-D27&gt;0),D26-D27,0)</f>
        <v>0.149999999999999</v>
      </c>
      <c r="AB27" s="41" t="n">
        <f aca="false">2/(p_AdxN+1)*X27+(1-2/(p_AdxN+1))*AB26</f>
        <v>0.462626916782059</v>
      </c>
      <c r="AC27" s="41" t="n">
        <f aca="false">2/(p_AdxN+1)*Z27+(1-2/(p_AdxN+1))*AC26</f>
        <v>0.18820200214265</v>
      </c>
      <c r="AD27" s="41" t="n">
        <f aca="false">2/(p_AdxN+1)*AA27+(1-2/(p_AdxN+1))*AD26</f>
        <v>0.031251901074913</v>
      </c>
      <c r="AE27" s="45" t="n">
        <f aca="false">100*AC27/AB27</f>
        <v>40.6811612803998</v>
      </c>
      <c r="AF27" s="45" t="n">
        <f aca="false">100*AD27/AB27</f>
        <v>6.75531404274853</v>
      </c>
      <c r="AG27" s="45" t="n">
        <f aca="false">IFERROR(100*ABS(AE27-AF27)/(AE27+AF27),0)</f>
        <v>71.5184823630771</v>
      </c>
      <c r="AH27" s="45" t="n">
        <f aca="false">2/(p_AdxN+1)*AG27+(1-2/(p_AdxN+1))*AH26</f>
        <v>65.2569027070475</v>
      </c>
      <c r="AI27" s="40" t="n">
        <f aca="false">I27*(1+p_ChPct)</f>
        <v>22.0978682746828</v>
      </c>
      <c r="AJ27" s="40" t="n">
        <f aca="false">I27*(1-p_ChPct)</f>
        <v>19.5962228096243</v>
      </c>
      <c r="AK27" s="40" t="n">
        <f aca="false">I27+1*Y27</f>
        <v>21.3031993883074</v>
      </c>
      <c r="AL27" s="40" t="n">
        <f aca="false">I27+2*Y27</f>
        <v>21.7593532344612</v>
      </c>
      <c r="AM27" s="40" t="n">
        <f aca="false">I27+3*Y27</f>
        <v>22.2155070806151</v>
      </c>
      <c r="AN27" s="40" t="n">
        <f aca="false">I27-1*Y27</f>
        <v>20.3908916959997</v>
      </c>
      <c r="AO27" s="40" t="n">
        <f aca="false">I27-2*Y27</f>
        <v>19.9347378498459</v>
      </c>
      <c r="AP27" s="40" t="n">
        <f aca="false">I27-3*Y27</f>
        <v>19.478584003692</v>
      </c>
      <c r="AQ27" s="40" t="n">
        <f aca="true">MAX(OFFSET(C27,1-MIN(p_StochN,ROW()-4),0,MIN(p_StochN,ROW()-4),1))</f>
        <v>22.7</v>
      </c>
      <c r="AR27" s="40" t="n">
        <f aca="true">MIN(OFFSET(D27,1-MIN(p_StochN,ROW()-4),0,MIN(p_StochN,ROW()-4),1))</f>
        <v>21.65</v>
      </c>
      <c r="AS27" s="45" t="n">
        <f aca="false">IF(AQ27=AR27,50,100*(E27-AR27)/(AQ27-AR27))</f>
        <v>64.7619047619047</v>
      </c>
      <c r="AT27" s="45" t="n">
        <f aca="true">AVERAGE(OFFSET(AS27,1-MIN(p_StochSm,ROW()-4),0,MIN(p_StochSm,ROW()-4),1))</f>
        <v>80.1129426129426</v>
      </c>
      <c r="AU27" s="45" t="n">
        <f aca="true">AVERAGE(OFFSET(AT27,1-MIN(p_StochSm,ROW()-4),0,MIN(p_StochSm,ROW()-4),1))</f>
        <v>87.0033708709667</v>
      </c>
      <c r="AV27" s="41" t="n">
        <f aca="false">MAX(0,H27-D27)</f>
        <v>0</v>
      </c>
      <c r="AW27" s="41" t="n">
        <f aca="true">IF(COUNTIF(OFFSET(AV27,1-MIN(p_PenLb,ROW()-4),0,MIN(p_PenLb,ROW()-4),1),"&gt;0")&gt;0,SUM(OFFSET(AV27,1-MIN(p_PenLb,ROW()-4),0,MIN(p_PenLb,ROW()-4),1))/COUNTIF(OFFSET(AV27,1-MIN(p_PenLb,ROW()-4),0,MIN(p_PenLb,ROW()-4),1),"&gt;0"),0.5*Y27)</f>
        <v>0.202033543310049</v>
      </c>
      <c r="AX27" s="41" t="n">
        <f aca="false">2*H27-H26</f>
        <v>21.5811911604326</v>
      </c>
      <c r="AY27" s="40" t="n">
        <f aca="false">ROUND(MAX(AX27-AW27,0.01),2)</f>
        <v>21.38</v>
      </c>
      <c r="AZ27" s="40" t="n">
        <f aca="true">IF(MIN(p_StopLb,ROW()-4)&lt;2,D27,SMALL(OFFSET(D27,1-MIN(p_StopLb,ROW()-4),0,MIN(p_StopLb,ROW()-4),1),2))</f>
        <v>20.21</v>
      </c>
      <c r="BA27" s="40" t="n">
        <f aca="false">IF(MOD(ROUND(ROUNDDOWN(MIN(AZ27-0.01,AY27-p_StopAtr*Y27),2)*100,0),50)=0,ROUNDDOWN(MIN(AZ27-0.01,AY27-p_StopAtr*Y27),2)-0.01,ROUNDDOWN(MIN(AZ27-0.01,AY27-p_StopAtr*Y27),2))</f>
        <v>20.2</v>
      </c>
      <c r="BB27" s="40" t="n">
        <f aca="false">ROUND(AI27,2)</f>
        <v>22.1</v>
      </c>
      <c r="BC27" s="40" t="n">
        <f aca="false">IF(AY27-BA27&gt;0,(BB27-AY27)/(AY27-BA27),0)</f>
        <v>0.610169491525426</v>
      </c>
      <c r="BD27" s="42" t="n">
        <f aca="false">IF(N27&lt;0,1,0)</f>
        <v>0</v>
      </c>
      <c r="BE27" s="41" t="n">
        <f aca="false">IF(AND(BD27=1,BD26=0),N27,IF(BD27=1,MIN(BE26,N27),BE26))</f>
        <v>-0.0234128043712021</v>
      </c>
      <c r="BF27" s="40" t="n">
        <f aca="false">IF(AND(BD27=1,BD26=0),D27,IF(BD27=1,MIN(BF26,D27),BF26))</f>
        <v>19.42</v>
      </c>
      <c r="BG27" s="42" t="n">
        <f aca="false">IF(AND(BD27=1,BD26=0),ROW(),IF(BD27=1,IF(N27&lt;BE26,ROW(),BG26),BG26))</f>
        <v>10</v>
      </c>
      <c r="BH27" s="41" t="str">
        <f aca="false">IF(AND(BD27=1,BD26=0),BE26,BH26)</f>
        <v/>
      </c>
      <c r="BI27" s="40" t="str">
        <f aca="false">IF(AND(BD27=1,BD26=0),BF26,BI26)</f>
        <v/>
      </c>
      <c r="BJ27" s="42" t="str">
        <f aca="false">IF(AND(BD27=1,BD26=0),BG26,BJ26)</f>
        <v/>
      </c>
      <c r="BK27" s="42" t="str">
        <f aca="false">IF(AND(ISNUMBER(BG27),ISNUMBER(BJ27)),BG27-BJ27,"")</f>
        <v/>
      </c>
      <c r="BL27" s="42" t="n">
        <f aca="false">IF(AND(BD27=1,N27&gt;N26,ISNUMBER(BH27),ISNUMBER(BK27)),IF(AND(BE27&gt;BH27,BF27&lt;BI27,BK27&gt;=p_GapMin,BK27&lt;=p_GapMax),1,0),0)</f>
        <v>0</v>
      </c>
      <c r="BM27" s="42" t="n">
        <f aca="false">IF(AND(BL27=1,E27&gt;BI27),1,0)</f>
        <v>0</v>
      </c>
      <c r="BN27" s="42" t="n">
        <f aca="false">IF(BL27=1,IF(BE27&gt;=BH27*0.5,1,0),0)</f>
        <v>0</v>
      </c>
      <c r="BO27" s="42" t="n">
        <f aca="true">IF(V27&gt;MIN(OFFSET(V27,-MIN(p_FiLb-1,ROW()-5),0,MIN(p_FiLb-1,ROW()-5),1)),1,0)</f>
        <v>1</v>
      </c>
      <c r="BP27" s="44" t="n">
        <f aca="true">IF(COUNTIF(OFFSET(V27,1-MIN(100,ROW()-4),0,MIN(100,ROW()-4),1),"&lt;0")&gt;=5,AVERAGEIF(OFFSET(V27,1-MIN(100,ROW()-4),0,MIN(100,ROW()-4),1),"&lt;0"),"")</f>
        <v>-462137.825725669</v>
      </c>
      <c r="BQ27" s="42" t="n">
        <f aca="false">IF(ISNUMBER(BP27),IF(AND(V27&lt;5*BP27,V27&gt;V26,E27&lt;AJ27),1,0),0)</f>
        <v>0</v>
      </c>
      <c r="BR27" s="44" t="n">
        <f aca="true">AVERAGE(OFFSET(F27,1-MIN(5,ROW()-4),0,MIN(5,ROW()-4),1))</f>
        <v>3276680</v>
      </c>
      <c r="BS27" s="42" t="n">
        <f aca="false">IFERROR(IF(MATCH(G27,周线!$A$5:$A$84,0)&lt;=1,"",INDEX(周线!$R$5:$R$84,MATCH(G27,周线!$A$5:$A$84,0)-1)),"")</f>
        <v>1</v>
      </c>
      <c r="BT27" s="42" t="n">
        <f aca="false">IFERROR(IF(MATCH(G27,周线!$A$5:$A$84,0)&lt;=1,"",INDEX(周线!$S$5:$S$84,MATCH(G27,周线!$A$5:$A$84,0)-1)),"")</f>
        <v>1</v>
      </c>
      <c r="BU27" s="42" t="n">
        <f aca="false">IFERROR(IF(MATCH(G27,周线!$A$5:$A$84,0)&lt;=1,"",INDEX(周线!$U$5:$U$84,MATCH(G27,周线!$A$5:$A$84,0)-1)),"")</f>
        <v>1</v>
      </c>
      <c r="BV27" s="42" t="n">
        <f aca="false">IF(AND(BS27=1,S27&lt;&gt;-1,V27&lt;0,BO27=1,E27&lt;=H27,E27&gt;=AJ27),1,0)</f>
        <v>0</v>
      </c>
      <c r="BW27" s="42" t="n">
        <f aca="false">BL27</f>
        <v>0</v>
      </c>
      <c r="BX27" s="42" t="n">
        <f aca="false">BQ27</f>
        <v>0</v>
      </c>
      <c r="BY27" s="42" t="n">
        <f aca="false">IF(BS27=1,10,0)+IF(BU27=1,5,IF(BU27=-1,0,3))+IF(BT27=1,5,0)+IF(AND(AE27&gt;AF27,AH27&gt;AH26),5,0)</f>
        <v>25</v>
      </c>
      <c r="BZ27" s="42" t="n">
        <f aca="false">IF(AND(E27&lt;=H27,E27&gt;=I27),10,IF(AND(E27&gt;=AJ27,E27&lt;I27),6,0))+IF(AND(V27&lt;0,BO27=1),8,0)+IF(AT27&lt;30,7,IF(AT27&lt;50,3,0))</f>
        <v>8</v>
      </c>
      <c r="CA27" s="42" t="n">
        <f aca="false">IF(AND(BV27=1,BW27=1),25,IF(BW27=1,22,IF(BV27=1,15,IF(BX27=1,12,0))))</f>
        <v>0</v>
      </c>
      <c r="CB27" s="42" t="n">
        <f aca="false">IF(W27&gt;0,6,0)+IF(F27&lt;BR27,4,0)</f>
        <v>10</v>
      </c>
      <c r="CC27" s="42" t="n">
        <f aca="false">IF(BC27&gt;=3,15,IF(BC27&gt;=p_RRmin,10,IF(BC27&gt;=1.5,4,0)))</f>
        <v>0</v>
      </c>
      <c r="CD27" s="42" t="n">
        <f aca="false">BY27+BZ27+CA27+CB27+CC27</f>
        <v>43</v>
      </c>
      <c r="CE27" s="42" t="n">
        <f aca="false">IF(AND(BS27&lt;&gt;1,BW27+BX27=0),1,0)</f>
        <v>0</v>
      </c>
      <c r="CF27" s="42" t="n">
        <f aca="false">IF(BU27=-1,1,0)</f>
        <v>0</v>
      </c>
      <c r="CG27" s="42" t="n">
        <f aca="false">IF(S27=-1,1,0)</f>
        <v>0</v>
      </c>
      <c r="CH27" s="42" t="n">
        <f aca="false">IF(BV27+BW27+BX27=0,1,0)</f>
        <v>1</v>
      </c>
      <c r="CI27" s="42" t="n">
        <f aca="false">IF(BC27&lt;p_RRmin,1,0)</f>
        <v>1</v>
      </c>
      <c r="CJ27" s="46" t="str">
        <f aca="false">IF(SUM(CE27:CI27)=0,IF(CD27&gt;=p_GradeA,"A",IF(CD27&gt;=p_GradeB,"B","C")),IF(AND(CI27=1,SUM(CE27:CH27)=0,CD27&gt;=p_GradeB),"B","C"))</f>
        <v>C</v>
      </c>
    </row>
    <row r="28" customFormat="false" ht="15" hidden="false" customHeight="false" outlineLevel="0" collapsed="false">
      <c r="A28" s="36" t="n">
        <v>45692</v>
      </c>
      <c r="B28" s="37" t="n">
        <v>22.36</v>
      </c>
      <c r="C28" s="37" t="n">
        <v>22.45</v>
      </c>
      <c r="D28" s="37" t="n">
        <v>22.32</v>
      </c>
      <c r="E28" s="37" t="n">
        <v>22.42</v>
      </c>
      <c r="F28" s="38" t="n">
        <v>3656600</v>
      </c>
      <c r="G28" s="39" t="n">
        <f aca="false">A28-WEEKDAY(A28,3)</f>
        <v>45691</v>
      </c>
      <c r="H28" s="40" t="n">
        <f aca="false">2/(p_EmaF+1)*E28+(1-2/(p_EmaF+1))*H27</f>
        <v>21.5726537650164</v>
      </c>
      <c r="I28" s="40" t="n">
        <f aca="false">2/(p_EmaS+1)*E28+(1-2/(p_EmaS+1))*I27</f>
        <v>20.9635606871792</v>
      </c>
      <c r="J28" s="41" t="n">
        <f aca="false">2/(p_MacdF+1)*E28+(1-2/(p_MacdF+1))*J27</f>
        <v>21.6430145911297</v>
      </c>
      <c r="K28" s="41" t="n">
        <f aca="false">2/(p_MacdS+1)*E28+(1-2/(p_MacdS+1))*K27</f>
        <v>20.9635606871792</v>
      </c>
      <c r="L28" s="41" t="n">
        <f aca="false">J28-K28</f>
        <v>0.67945390395051</v>
      </c>
      <c r="M28" s="41" t="n">
        <f aca="false">2/(p_MacdSig+1)*L28+(1-2/(p_MacdSig+1))*M27</f>
        <v>0.47879704278359</v>
      </c>
      <c r="N28" s="41" t="n">
        <f aca="false">L28-M28</f>
        <v>0.20065686116692</v>
      </c>
      <c r="O28" s="42" t="n">
        <f aca="false">IF(H28&gt;H27,1,0)</f>
        <v>1</v>
      </c>
      <c r="P28" s="42" t="n">
        <f aca="false">IF(H28&lt;H27,1,0)</f>
        <v>0</v>
      </c>
      <c r="Q28" s="42" t="n">
        <f aca="false">IF(N28&gt;N27,1,0)</f>
        <v>0</v>
      </c>
      <c r="R28" s="42" t="n">
        <f aca="false">IF(N28&lt;N27,1,0)</f>
        <v>1</v>
      </c>
      <c r="S28" s="42" t="n">
        <f aca="false">IF(AND(O28=1,Q28=1),1,IF(AND(P28=1,R28=1),-1,0))</f>
        <v>0</v>
      </c>
      <c r="T28" s="43" t="str">
        <f aca="false">IF(S28=1,"绿",IF(S28=-1,"红","蓝"))</f>
        <v>蓝</v>
      </c>
      <c r="U28" s="44" t="n">
        <f aca="false">F28*(E28-E27)</f>
        <v>329094.000000012</v>
      </c>
      <c r="V28" s="44" t="n">
        <f aca="false">2/(p_FiS+1)*U28+(1-2/(p_FiS+1))*V27</f>
        <v>209324.634971352</v>
      </c>
      <c r="W28" s="44" t="n">
        <f aca="false">2/(p_FiL+1)*U28+(1-2/(p_FiL+1))*W27</f>
        <v>611904.668283936</v>
      </c>
      <c r="X28" s="41" t="n">
        <f aca="false">MAX(C28-D28,ABS(C28-E27),ABS(D28-E27))</f>
        <v>0.129999999999999</v>
      </c>
      <c r="Y28" s="41" t="n">
        <f aca="true">AVERAGE(OFFSET(X28,1-MIN(p_AtrN,ROW()-4),0,MIN(p_AtrN,ROW()-4),1))</f>
        <v>0.439230769230769</v>
      </c>
      <c r="Z28" s="41" t="n">
        <f aca="false">IF(AND(C28-C27&gt;D27-D28,C28-C27&gt;0),C28-C27,0)</f>
        <v>0</v>
      </c>
      <c r="AA28" s="41" t="n">
        <f aca="false">IF(AND(D27-D28&gt;C28-C27,D27-D28&gt;0),D27-D28,0)</f>
        <v>0</v>
      </c>
      <c r="AB28" s="41" t="n">
        <f aca="false">2/(p_AdxN+1)*X28+(1-2/(p_AdxN+1))*AB27</f>
        <v>0.415108785813193</v>
      </c>
      <c r="AC28" s="41" t="n">
        <f aca="false">2/(p_AdxN+1)*Z28+(1-2/(p_AdxN+1))*AC27</f>
        <v>0.161316001836557</v>
      </c>
      <c r="AD28" s="41" t="n">
        <f aca="false">2/(p_AdxN+1)*AA28+(1-2/(p_AdxN+1))*AD27</f>
        <v>0.0267873437784968</v>
      </c>
      <c r="AE28" s="45" t="n">
        <f aca="false">100*AC28/AB28</f>
        <v>38.8611388989373</v>
      </c>
      <c r="AF28" s="45" t="n">
        <f aca="false">100*AD28/AB28</f>
        <v>6.45309005590444</v>
      </c>
      <c r="AG28" s="45" t="n">
        <f aca="false">IFERROR(100*ABS(AE28-AF28)/(AE28+AF28),0)</f>
        <v>71.5184823630771</v>
      </c>
      <c r="AH28" s="45" t="n">
        <f aca="false">2/(p_AdxN+1)*AG28+(1-2/(p_AdxN+1))*AH27</f>
        <v>66.1514140864803</v>
      </c>
      <c r="AI28" s="40" t="n">
        <f aca="false">I28*(1+p_ChPct)</f>
        <v>22.22137432841</v>
      </c>
      <c r="AJ28" s="40" t="n">
        <f aca="false">I28*(1-p_ChPct)</f>
        <v>19.7057470459485</v>
      </c>
      <c r="AK28" s="40" t="n">
        <f aca="false">I28+1*Y28</f>
        <v>21.40279145641</v>
      </c>
      <c r="AL28" s="40" t="n">
        <f aca="false">I28+2*Y28</f>
        <v>21.8420222256407</v>
      </c>
      <c r="AM28" s="40" t="n">
        <f aca="false">I28+3*Y28</f>
        <v>22.2812529948715</v>
      </c>
      <c r="AN28" s="40" t="n">
        <f aca="false">I28-1*Y28</f>
        <v>20.5243299179484</v>
      </c>
      <c r="AO28" s="40" t="n">
        <f aca="false">I28-2*Y28</f>
        <v>20.0850991487177</v>
      </c>
      <c r="AP28" s="40" t="n">
        <f aca="false">I28-3*Y28</f>
        <v>19.6458683794869</v>
      </c>
      <c r="AQ28" s="40" t="n">
        <f aca="true">MAX(OFFSET(C28,1-MIN(p_StochN,ROW()-4),0,MIN(p_StochN,ROW()-4),1))</f>
        <v>22.7</v>
      </c>
      <c r="AR28" s="40" t="n">
        <f aca="true">MIN(OFFSET(D28,1-MIN(p_StochN,ROW()-4),0,MIN(p_StochN,ROW()-4),1))</f>
        <v>21.9</v>
      </c>
      <c r="AS28" s="45" t="n">
        <f aca="false">IF(AQ28=AR28,50,100*(E28-AR28)/(AQ28-AR28))</f>
        <v>65.0000000000003</v>
      </c>
      <c r="AT28" s="45" t="n">
        <f aca="true">AVERAGE(OFFSET(AS28,1-MIN(p_StochSm,ROW()-4),0,MIN(p_StochSm,ROW()-4),1))</f>
        <v>69.6428571428572</v>
      </c>
      <c r="AU28" s="45" t="n">
        <f aca="true">AVERAGE(OFFSET(AT28,1-MIN(p_StochSm,ROW()-4),0,MIN(p_StochSm,ROW()-4),1))</f>
        <v>79.5626482821605</v>
      </c>
      <c r="AV28" s="41" t="n">
        <f aca="false">MAX(0,H28-D28)</f>
        <v>0</v>
      </c>
      <c r="AW28" s="41" t="n">
        <f aca="true">IF(COUNTIF(OFFSET(AV28,1-MIN(p_PenLb,ROW()-4),0,MIN(p_PenLb,ROW()-4),1),"&gt;0")&gt;0,SUM(OFFSET(AV28,1-MIN(p_PenLb,ROW()-4),0,MIN(p_PenLb,ROW()-4),1))/COUNTIF(OFFSET(AV28,1-MIN(p_PenLb,ROW()-4),0,MIN(p_PenLb,ROW()-4),1),"&gt;0"),0.5*Y28)</f>
        <v>0.202033543310049</v>
      </c>
      <c r="AX28" s="41" t="n">
        <f aca="false">2*H28-H27</f>
        <v>21.7138781375137</v>
      </c>
      <c r="AY28" s="40" t="n">
        <f aca="false">ROUND(MAX(AX28-AW28,0.01),2)</f>
        <v>21.51</v>
      </c>
      <c r="AZ28" s="40" t="n">
        <f aca="true">IF(MIN(p_StopLb,ROW()-4)&lt;2,D28,SMALL(OFFSET(D28,1-MIN(p_StopLb,ROW()-4),0,MIN(p_StopLb,ROW()-4),1),2))</f>
        <v>20.36</v>
      </c>
      <c r="BA28" s="40" t="n">
        <f aca="false">IF(MOD(ROUND(ROUNDDOWN(MIN(AZ28-0.01,AY28-p_StopAtr*Y28),2)*100,0),50)=0,ROUNDDOWN(MIN(AZ28-0.01,AY28-p_StopAtr*Y28),2)-0.01,ROUNDDOWN(MIN(AZ28-0.01,AY28-p_StopAtr*Y28),2))</f>
        <v>20.35</v>
      </c>
      <c r="BB28" s="40" t="n">
        <f aca="false">ROUND(AI28,2)</f>
        <v>22.22</v>
      </c>
      <c r="BC28" s="40" t="n">
        <f aca="false">IF(AY28-BA28&gt;0,(BB28-AY28)/(AY28-BA28),0)</f>
        <v>0.612068965517239</v>
      </c>
      <c r="BD28" s="42" t="n">
        <f aca="false">IF(N28&lt;0,1,0)</f>
        <v>0</v>
      </c>
      <c r="BE28" s="41" t="n">
        <f aca="false">IF(AND(BD28=1,BD27=0),N28,IF(BD28=1,MIN(BE27,N28),BE27))</f>
        <v>-0.0234128043712021</v>
      </c>
      <c r="BF28" s="40" t="n">
        <f aca="false">IF(AND(BD28=1,BD27=0),D28,IF(BD28=1,MIN(BF27,D28),BF27))</f>
        <v>19.42</v>
      </c>
      <c r="BG28" s="42" t="n">
        <f aca="false">IF(AND(BD28=1,BD27=0),ROW(),IF(BD28=1,IF(N28&lt;BE27,ROW(),BG27),BG27))</f>
        <v>10</v>
      </c>
      <c r="BH28" s="41" t="str">
        <f aca="false">IF(AND(BD28=1,BD27=0),BE27,BH27)</f>
        <v/>
      </c>
      <c r="BI28" s="40" t="str">
        <f aca="false">IF(AND(BD28=1,BD27=0),BF27,BI27)</f>
        <v/>
      </c>
      <c r="BJ28" s="42" t="str">
        <f aca="false">IF(AND(BD28=1,BD27=0),BG27,BJ27)</f>
        <v/>
      </c>
      <c r="BK28" s="42" t="str">
        <f aca="false">IF(AND(ISNUMBER(BG28),ISNUMBER(BJ28)),BG28-BJ28,"")</f>
        <v/>
      </c>
      <c r="BL28" s="42" t="n">
        <f aca="false">IF(AND(BD28=1,N28&gt;N27,ISNUMBER(BH28),ISNUMBER(BK28)),IF(AND(BE28&gt;BH28,BF28&lt;BI28,BK28&gt;=p_GapMin,BK28&lt;=p_GapMax),1,0),0)</f>
        <v>0</v>
      </c>
      <c r="BM28" s="42" t="n">
        <f aca="false">IF(AND(BL28=1,E28&gt;BI28),1,0)</f>
        <v>0</v>
      </c>
      <c r="BN28" s="42" t="n">
        <f aca="false">IF(BL28=1,IF(BE28&gt;=BH28*0.5,1,0),0)</f>
        <v>0</v>
      </c>
      <c r="BO28" s="42" t="n">
        <f aca="true">IF(V28&gt;MIN(OFFSET(V28,-MIN(p_FiLb-1,ROW()-5),0,MIN(p_FiLb-1,ROW()-5),1)),1,0)</f>
        <v>1</v>
      </c>
      <c r="BP28" s="44" t="n">
        <f aca="true">IF(COUNTIF(OFFSET(V28,1-MIN(100,ROW()-4),0,MIN(100,ROW()-4),1),"&lt;0")&gt;=5,AVERAGEIF(OFFSET(V28,1-MIN(100,ROW()-4),0,MIN(100,ROW()-4),1),"&lt;0"),"")</f>
        <v>-462137.825725669</v>
      </c>
      <c r="BQ28" s="42" t="n">
        <f aca="false">IF(ISNUMBER(BP28),IF(AND(V28&lt;5*BP28,V28&gt;V27,E28&lt;AJ28),1,0),0)</f>
        <v>0</v>
      </c>
      <c r="BR28" s="44" t="n">
        <f aca="true">AVERAGE(OFFSET(F28,1-MIN(5,ROW()-4),0,MIN(5,ROW()-4),1))</f>
        <v>3277960</v>
      </c>
      <c r="BS28" s="42" t="n">
        <f aca="false">IFERROR(IF(MATCH(G28,周线!$A$5:$A$84,0)&lt;=1,"",INDEX(周线!$R$5:$R$84,MATCH(G28,周线!$A$5:$A$84,0)-1)),"")</f>
        <v>1</v>
      </c>
      <c r="BT28" s="42" t="n">
        <f aca="false">IFERROR(IF(MATCH(G28,周线!$A$5:$A$84,0)&lt;=1,"",INDEX(周线!$S$5:$S$84,MATCH(G28,周线!$A$5:$A$84,0)-1)),"")</f>
        <v>1</v>
      </c>
      <c r="BU28" s="42" t="n">
        <f aca="false">IFERROR(IF(MATCH(G28,周线!$A$5:$A$84,0)&lt;=1,"",INDEX(周线!$U$5:$U$84,MATCH(G28,周线!$A$5:$A$84,0)-1)),"")</f>
        <v>1</v>
      </c>
      <c r="BV28" s="42" t="n">
        <f aca="false">IF(AND(BS28=1,S28&lt;&gt;-1,V28&lt;0,BO28=1,E28&lt;=H28,E28&gt;=AJ28),1,0)</f>
        <v>0</v>
      </c>
      <c r="BW28" s="42" t="n">
        <f aca="false">BL28</f>
        <v>0</v>
      </c>
      <c r="BX28" s="42" t="n">
        <f aca="false">BQ28</f>
        <v>0</v>
      </c>
      <c r="BY28" s="42" t="n">
        <f aca="false">IF(BS28=1,10,0)+IF(BU28=1,5,IF(BU28=-1,0,3))+IF(BT28=1,5,0)+IF(AND(AE28&gt;AF28,AH28&gt;AH27),5,0)</f>
        <v>25</v>
      </c>
      <c r="BZ28" s="42" t="n">
        <f aca="false">IF(AND(E28&lt;=H28,E28&gt;=I28),10,IF(AND(E28&gt;=AJ28,E28&lt;I28),6,0))+IF(AND(V28&lt;0,BO28=1),8,0)+IF(AT28&lt;30,7,IF(AT28&lt;50,3,0))</f>
        <v>0</v>
      </c>
      <c r="CA28" s="42" t="n">
        <f aca="false">IF(AND(BV28=1,BW28=1),25,IF(BW28=1,22,IF(BV28=1,15,IF(BX28=1,12,0))))</f>
        <v>0</v>
      </c>
      <c r="CB28" s="42" t="n">
        <f aca="false">IF(W28&gt;0,6,0)+IF(F28&lt;BR28,4,0)</f>
        <v>6</v>
      </c>
      <c r="CC28" s="42" t="n">
        <f aca="false">IF(BC28&gt;=3,15,IF(BC28&gt;=p_RRmin,10,IF(BC28&gt;=1.5,4,0)))</f>
        <v>0</v>
      </c>
      <c r="CD28" s="42" t="n">
        <f aca="false">BY28+BZ28+CA28+CB28+CC28</f>
        <v>31</v>
      </c>
      <c r="CE28" s="42" t="n">
        <f aca="false">IF(AND(BS28&lt;&gt;1,BW28+BX28=0),1,0)</f>
        <v>0</v>
      </c>
      <c r="CF28" s="42" t="n">
        <f aca="false">IF(BU28=-1,1,0)</f>
        <v>0</v>
      </c>
      <c r="CG28" s="42" t="n">
        <f aca="false">IF(S28=-1,1,0)</f>
        <v>0</v>
      </c>
      <c r="CH28" s="42" t="n">
        <f aca="false">IF(BV28+BW28+BX28=0,1,0)</f>
        <v>1</v>
      </c>
      <c r="CI28" s="42" t="n">
        <f aca="false">IF(BC28&lt;p_RRmin,1,0)</f>
        <v>1</v>
      </c>
      <c r="CJ28" s="46" t="str">
        <f aca="false">IF(SUM(CE28:CI28)=0,IF(CD28&gt;=p_GradeA,"A",IF(CD28&gt;=p_GradeB,"B","C")),IF(AND(CI28=1,SUM(CE28:CH28)=0,CD28&gt;=p_GradeB),"B","C"))</f>
        <v>C</v>
      </c>
    </row>
    <row r="29" customFormat="false" ht="15" hidden="false" customHeight="false" outlineLevel="0" collapsed="false">
      <c r="A29" s="36" t="n">
        <v>45693</v>
      </c>
      <c r="B29" s="37" t="n">
        <v>22.43</v>
      </c>
      <c r="C29" s="37" t="n">
        <v>23.19</v>
      </c>
      <c r="D29" s="37" t="n">
        <v>22.34</v>
      </c>
      <c r="E29" s="37" t="n">
        <v>23.07</v>
      </c>
      <c r="F29" s="38" t="n">
        <v>6569500</v>
      </c>
      <c r="G29" s="39" t="n">
        <f aca="false">A29-WEEKDAY(A29,3)</f>
        <v>45691</v>
      </c>
      <c r="H29" s="40" t="n">
        <f aca="false">2/(p_EmaF+1)*E29+(1-2/(p_EmaF+1))*H28</f>
        <v>21.7865603700141</v>
      </c>
      <c r="I29" s="40" t="n">
        <f aca="false">2/(p_EmaS+1)*E29+(1-2/(p_EmaS+1))*I28</f>
        <v>21.1195932288696</v>
      </c>
      <c r="J29" s="41" t="n">
        <f aca="false">2/(p_MacdF+1)*E29+(1-2/(p_MacdF+1))*J28</f>
        <v>21.862550807879</v>
      </c>
      <c r="K29" s="41" t="n">
        <f aca="false">2/(p_MacdS+1)*E29+(1-2/(p_MacdS+1))*K28</f>
        <v>21.1195932288696</v>
      </c>
      <c r="L29" s="41" t="n">
        <f aca="false">J29-K29</f>
        <v>0.742957579009353</v>
      </c>
      <c r="M29" s="41" t="n">
        <f aca="false">2/(p_MacdSig+1)*L29+(1-2/(p_MacdSig+1))*M28</f>
        <v>0.531629150028742</v>
      </c>
      <c r="N29" s="41" t="n">
        <f aca="false">L29-M29</f>
        <v>0.211328428980611</v>
      </c>
      <c r="O29" s="42" t="n">
        <f aca="false">IF(H29&gt;H28,1,0)</f>
        <v>1</v>
      </c>
      <c r="P29" s="42" t="n">
        <f aca="false">IF(H29&lt;H28,1,0)</f>
        <v>0</v>
      </c>
      <c r="Q29" s="42" t="n">
        <f aca="false">IF(N29&gt;N28,1,0)</f>
        <v>1</v>
      </c>
      <c r="R29" s="42" t="n">
        <f aca="false">IF(N29&lt;N28,1,0)</f>
        <v>0</v>
      </c>
      <c r="S29" s="42" t="n">
        <f aca="false">IF(AND(O29=1,Q29=1),1,IF(AND(P29=1,R29=1),-1,0))</f>
        <v>1</v>
      </c>
      <c r="T29" s="43" t="str">
        <f aca="false">IF(S29=1,"绿",IF(S29=-1,"红","蓝"))</f>
        <v>绿</v>
      </c>
      <c r="U29" s="44" t="n">
        <f aca="false">F29*(E29-E28)</f>
        <v>4270174.99999999</v>
      </c>
      <c r="V29" s="44" t="n">
        <f aca="false">2/(p_FiS+1)*U29+(1-2/(p_FiS+1))*V28</f>
        <v>2916558.21165711</v>
      </c>
      <c r="W29" s="44" t="n">
        <f aca="false">2/(p_FiL+1)*U29+(1-2/(p_FiL+1))*W28</f>
        <v>1134514.71567194</v>
      </c>
      <c r="X29" s="41" t="n">
        <f aca="false">MAX(C29-D29,ABS(C29-E28),ABS(D29-E28))</f>
        <v>0.850000000000001</v>
      </c>
      <c r="Y29" s="41" t="n">
        <f aca="true">AVERAGE(OFFSET(X29,1-MIN(p_AtrN,ROW()-4),0,MIN(p_AtrN,ROW()-4),1))</f>
        <v>0.48</v>
      </c>
      <c r="Z29" s="41" t="n">
        <f aca="false">IF(AND(C29-C28&gt;D28-D29,C29-C28&gt;0),C29-C28,0)</f>
        <v>0.740000000000002</v>
      </c>
      <c r="AA29" s="41" t="n">
        <f aca="false">IF(AND(D28-D29&gt;C29-C28,D28-D29&gt;0),D28-D29,0)</f>
        <v>0</v>
      </c>
      <c r="AB29" s="41" t="n">
        <f aca="false">2/(p_AdxN+1)*X29+(1-2/(p_AdxN+1))*AB28</f>
        <v>0.477236102125595</v>
      </c>
      <c r="AC29" s="41" t="n">
        <f aca="false">2/(p_AdxN+1)*Z29+(1-2/(p_AdxN+1))*AC28</f>
        <v>0.243985144431335</v>
      </c>
      <c r="AD29" s="41" t="n">
        <f aca="false">2/(p_AdxN+1)*AA29+(1-2/(p_AdxN+1))*AD28</f>
        <v>0.0229605803815687</v>
      </c>
      <c r="AE29" s="45" t="n">
        <f aca="false">100*AC29/AB29</f>
        <v>51.1246201502009</v>
      </c>
      <c r="AF29" s="45" t="n">
        <f aca="false">100*AD29/AB29</f>
        <v>4.81115747096731</v>
      </c>
      <c r="AG29" s="45" t="n">
        <f aca="false">IFERROR(100*ABS(AE29-AF29)/(AE29+AF29),0)</f>
        <v>82.7975665108244</v>
      </c>
      <c r="AH29" s="45" t="n">
        <f aca="false">2/(p_AdxN+1)*AG29+(1-2/(p_AdxN+1))*AH28</f>
        <v>68.5294358613866</v>
      </c>
      <c r="AI29" s="40" t="n">
        <f aca="false">I29*(1+p_ChPct)</f>
        <v>22.3867688226018</v>
      </c>
      <c r="AJ29" s="40" t="n">
        <f aca="false">I29*(1-p_ChPct)</f>
        <v>19.8524176351375</v>
      </c>
      <c r="AK29" s="40" t="n">
        <f aca="false">I29+1*Y29</f>
        <v>21.5995932288696</v>
      </c>
      <c r="AL29" s="40" t="n">
        <f aca="false">I29+2*Y29</f>
        <v>22.0795932288696</v>
      </c>
      <c r="AM29" s="40" t="n">
        <f aca="false">I29+3*Y29</f>
        <v>22.5595932288696</v>
      </c>
      <c r="AN29" s="40" t="n">
        <f aca="false">I29-1*Y29</f>
        <v>20.6395932288696</v>
      </c>
      <c r="AO29" s="40" t="n">
        <f aca="false">I29-2*Y29</f>
        <v>20.1595932288696</v>
      </c>
      <c r="AP29" s="40" t="n">
        <f aca="false">I29-3*Y29</f>
        <v>19.6795932288696</v>
      </c>
      <c r="AQ29" s="40" t="n">
        <f aca="true">MAX(OFFSET(C29,1-MIN(p_StochN,ROW()-4),0,MIN(p_StochN,ROW()-4),1))</f>
        <v>23.19</v>
      </c>
      <c r="AR29" s="40" t="n">
        <f aca="true">MIN(OFFSET(D29,1-MIN(p_StochN,ROW()-4),0,MIN(p_StochN,ROW()-4),1))</f>
        <v>22.05</v>
      </c>
      <c r="AS29" s="45" t="n">
        <f aca="false">IF(AQ29=AR29,50,100*(E29-AR29)/(AQ29-AR29))</f>
        <v>89.4736842105262</v>
      </c>
      <c r="AT29" s="45" t="n">
        <f aca="true">AVERAGE(OFFSET(AS29,1-MIN(p_StochSm,ROW()-4),0,MIN(p_StochSm,ROW()-4),1))</f>
        <v>73.0785296574771</v>
      </c>
      <c r="AU29" s="45" t="n">
        <f aca="true">AVERAGE(OFFSET(AT29,1-MIN(p_StochSm,ROW()-4),0,MIN(p_StochSm,ROW()-4),1))</f>
        <v>74.2781098044256</v>
      </c>
      <c r="AV29" s="41" t="n">
        <f aca="false">MAX(0,H29-D29)</f>
        <v>0</v>
      </c>
      <c r="AW29" s="41" t="n">
        <f aca="true">IF(COUNTIF(OFFSET(AV29,1-MIN(p_PenLb,ROW()-4),0,MIN(p_PenLb,ROW()-4),1),"&gt;0")&gt;0,SUM(OFFSET(AV29,1-MIN(p_PenLb,ROW()-4),0,MIN(p_PenLb,ROW()-4),1))/COUNTIF(OFFSET(AV29,1-MIN(p_PenLb,ROW()-4),0,MIN(p_PenLb,ROW()-4),1),"&gt;0"),0.5*Y29)</f>
        <v>0.202033543310049</v>
      </c>
      <c r="AX29" s="41" t="n">
        <f aca="false">2*H29-H28</f>
        <v>22.0004669750117</v>
      </c>
      <c r="AY29" s="40" t="n">
        <f aca="false">ROUND(MAX(AX29-AW29,0.01),2)</f>
        <v>21.8</v>
      </c>
      <c r="AZ29" s="40" t="n">
        <f aca="true">IF(MIN(p_StopLb,ROW()-4)&lt;2,D29,SMALL(OFFSET(D29,1-MIN(p_StopLb,ROW()-4),0,MIN(p_StopLb,ROW()-4),1),2))</f>
        <v>20.62</v>
      </c>
      <c r="BA29" s="40" t="n">
        <f aca="false">IF(MOD(ROUND(ROUNDDOWN(MIN(AZ29-0.01,AY29-p_StopAtr*Y29),2)*100,0),50)=0,ROUNDDOWN(MIN(AZ29-0.01,AY29-p_StopAtr*Y29),2)-0.01,ROUNDDOWN(MIN(AZ29-0.01,AY29-p_StopAtr*Y29),2))</f>
        <v>20.61</v>
      </c>
      <c r="BB29" s="40" t="n">
        <f aca="false">ROUND(AI29,2)</f>
        <v>22.39</v>
      </c>
      <c r="BC29" s="40" t="n">
        <f aca="false">IF(AY29-BA29&gt;0,(BB29-AY29)/(AY29-BA29),0)</f>
        <v>0.49579831932773</v>
      </c>
      <c r="BD29" s="42" t="n">
        <f aca="false">IF(N29&lt;0,1,0)</f>
        <v>0</v>
      </c>
      <c r="BE29" s="41" t="n">
        <f aca="false">IF(AND(BD29=1,BD28=0),N29,IF(BD29=1,MIN(BE28,N29),BE28))</f>
        <v>-0.0234128043712021</v>
      </c>
      <c r="BF29" s="40" t="n">
        <f aca="false">IF(AND(BD29=1,BD28=0),D29,IF(BD29=1,MIN(BF28,D29),BF28))</f>
        <v>19.42</v>
      </c>
      <c r="BG29" s="42" t="n">
        <f aca="false">IF(AND(BD29=1,BD28=0),ROW(),IF(BD29=1,IF(N29&lt;BE28,ROW(),BG28),BG28))</f>
        <v>10</v>
      </c>
      <c r="BH29" s="41" t="str">
        <f aca="false">IF(AND(BD29=1,BD28=0),BE28,BH28)</f>
        <v/>
      </c>
      <c r="BI29" s="40" t="str">
        <f aca="false">IF(AND(BD29=1,BD28=0),BF28,BI28)</f>
        <v/>
      </c>
      <c r="BJ29" s="42" t="str">
        <f aca="false">IF(AND(BD29=1,BD28=0),BG28,BJ28)</f>
        <v/>
      </c>
      <c r="BK29" s="42" t="str">
        <f aca="false">IF(AND(ISNUMBER(BG29),ISNUMBER(BJ29)),BG29-BJ29,"")</f>
        <v/>
      </c>
      <c r="BL29" s="42" t="n">
        <f aca="false">IF(AND(BD29=1,N29&gt;N28,ISNUMBER(BH29),ISNUMBER(BK29)),IF(AND(BE29&gt;BH29,BF29&lt;BI29,BK29&gt;=p_GapMin,BK29&lt;=p_GapMax),1,0),0)</f>
        <v>0</v>
      </c>
      <c r="BM29" s="42" t="n">
        <f aca="false">IF(AND(BL29=1,E29&gt;BI29),1,0)</f>
        <v>0</v>
      </c>
      <c r="BN29" s="42" t="n">
        <f aca="false">IF(BL29=1,IF(BE29&gt;=BH29*0.5,1,0),0)</f>
        <v>0</v>
      </c>
      <c r="BO29" s="42" t="n">
        <f aca="true">IF(V29&gt;MIN(OFFSET(V29,-MIN(p_FiLb-1,ROW()-5),0,MIN(p_FiLb-1,ROW()-5),1)),1,0)</f>
        <v>1</v>
      </c>
      <c r="BP29" s="44" t="n">
        <f aca="true">IF(COUNTIF(OFFSET(V29,1-MIN(100,ROW()-4),0,MIN(100,ROW()-4),1),"&lt;0")&gt;=5,AVERAGEIF(OFFSET(V29,1-MIN(100,ROW()-4),0,MIN(100,ROW()-4),1),"&lt;0"),"")</f>
        <v>-462137.825725669</v>
      </c>
      <c r="BQ29" s="42" t="n">
        <f aca="false">IF(ISNUMBER(BP29),IF(AND(V29&lt;5*BP29,V29&gt;V28,E29&lt;AJ29),1,0),0)</f>
        <v>0</v>
      </c>
      <c r="BR29" s="44" t="n">
        <f aca="true">AVERAGE(OFFSET(F29,1-MIN(5,ROW()-4),0,MIN(5,ROW()-4),1))</f>
        <v>3939600</v>
      </c>
      <c r="BS29" s="42" t="n">
        <f aca="false">IFERROR(IF(MATCH(G29,周线!$A$5:$A$84,0)&lt;=1,"",INDEX(周线!$R$5:$R$84,MATCH(G29,周线!$A$5:$A$84,0)-1)),"")</f>
        <v>1</v>
      </c>
      <c r="BT29" s="42" t="n">
        <f aca="false">IFERROR(IF(MATCH(G29,周线!$A$5:$A$84,0)&lt;=1,"",INDEX(周线!$S$5:$S$84,MATCH(G29,周线!$A$5:$A$84,0)-1)),"")</f>
        <v>1</v>
      </c>
      <c r="BU29" s="42" t="n">
        <f aca="false">IFERROR(IF(MATCH(G29,周线!$A$5:$A$84,0)&lt;=1,"",INDEX(周线!$U$5:$U$84,MATCH(G29,周线!$A$5:$A$84,0)-1)),"")</f>
        <v>1</v>
      </c>
      <c r="BV29" s="42" t="n">
        <f aca="false">IF(AND(BS29=1,S29&lt;&gt;-1,V29&lt;0,BO29=1,E29&lt;=H29,E29&gt;=AJ29),1,0)</f>
        <v>0</v>
      </c>
      <c r="BW29" s="42" t="n">
        <f aca="false">BL29</f>
        <v>0</v>
      </c>
      <c r="BX29" s="42" t="n">
        <f aca="false">BQ29</f>
        <v>0</v>
      </c>
      <c r="BY29" s="42" t="n">
        <f aca="false">IF(BS29=1,10,0)+IF(BU29=1,5,IF(BU29=-1,0,3))+IF(BT29=1,5,0)+IF(AND(AE29&gt;AF29,AH29&gt;AH28),5,0)</f>
        <v>25</v>
      </c>
      <c r="BZ29" s="42" t="n">
        <f aca="false">IF(AND(E29&lt;=H29,E29&gt;=I29),10,IF(AND(E29&gt;=AJ29,E29&lt;I29),6,0))+IF(AND(V29&lt;0,BO29=1),8,0)+IF(AT29&lt;30,7,IF(AT29&lt;50,3,0))</f>
        <v>0</v>
      </c>
      <c r="CA29" s="42" t="n">
        <f aca="false">IF(AND(BV29=1,BW29=1),25,IF(BW29=1,22,IF(BV29=1,15,IF(BX29=1,12,0))))</f>
        <v>0</v>
      </c>
      <c r="CB29" s="42" t="n">
        <f aca="false">IF(W29&gt;0,6,0)+IF(F29&lt;BR29,4,0)</f>
        <v>6</v>
      </c>
      <c r="CC29" s="42" t="n">
        <f aca="false">IF(BC29&gt;=3,15,IF(BC29&gt;=p_RRmin,10,IF(BC29&gt;=1.5,4,0)))</f>
        <v>0</v>
      </c>
      <c r="CD29" s="42" t="n">
        <f aca="false">BY29+BZ29+CA29+CB29+CC29</f>
        <v>31</v>
      </c>
      <c r="CE29" s="42" t="n">
        <f aca="false">IF(AND(BS29&lt;&gt;1,BW29+BX29=0),1,0)</f>
        <v>0</v>
      </c>
      <c r="CF29" s="42" t="n">
        <f aca="false">IF(BU29=-1,1,0)</f>
        <v>0</v>
      </c>
      <c r="CG29" s="42" t="n">
        <f aca="false">IF(S29=-1,1,0)</f>
        <v>0</v>
      </c>
      <c r="CH29" s="42" t="n">
        <f aca="false">IF(BV29+BW29+BX29=0,1,0)</f>
        <v>1</v>
      </c>
      <c r="CI29" s="42" t="n">
        <f aca="false">IF(BC29&lt;p_RRmin,1,0)</f>
        <v>1</v>
      </c>
      <c r="CJ29" s="46" t="str">
        <f aca="false">IF(SUM(CE29:CI29)=0,IF(CD29&gt;=p_GradeA,"A",IF(CD29&gt;=p_GradeB,"B","C")),IF(AND(CI29=1,SUM(CE29:CH29)=0,CD29&gt;=p_GradeB),"B","C"))</f>
        <v>C</v>
      </c>
    </row>
    <row r="30" customFormat="false" ht="15" hidden="false" customHeight="false" outlineLevel="0" collapsed="false">
      <c r="A30" s="36" t="n">
        <v>45694</v>
      </c>
      <c r="B30" s="37" t="n">
        <v>23.08</v>
      </c>
      <c r="C30" s="37" t="n">
        <v>23.44</v>
      </c>
      <c r="D30" s="37" t="n">
        <v>22.83</v>
      </c>
      <c r="E30" s="37" t="n">
        <v>23.25</v>
      </c>
      <c r="F30" s="38" t="n">
        <v>2977600</v>
      </c>
      <c r="G30" s="39" t="n">
        <f aca="false">A30-WEEKDAY(A30,3)</f>
        <v>45691</v>
      </c>
      <c r="H30" s="40" t="n">
        <f aca="false">2/(p_EmaF+1)*E30+(1-2/(p_EmaF+1))*H29</f>
        <v>21.9956231742978</v>
      </c>
      <c r="I30" s="40" t="n">
        <f aca="false">2/(p_EmaS+1)*E30+(1-2/(p_EmaS+1))*I29</f>
        <v>21.2774011378423</v>
      </c>
      <c r="J30" s="41" t="n">
        <f aca="false">2/(p_MacdF+1)*E30+(1-2/(p_MacdF+1))*J29</f>
        <v>22.0760045297438</v>
      </c>
      <c r="K30" s="41" t="n">
        <f aca="false">2/(p_MacdS+1)*E30+(1-2/(p_MacdS+1))*K29</f>
        <v>21.2774011378423</v>
      </c>
      <c r="L30" s="41" t="n">
        <f aca="false">J30-K30</f>
        <v>0.798603391901505</v>
      </c>
      <c r="M30" s="41" t="n">
        <f aca="false">2/(p_MacdSig+1)*L30+(1-2/(p_MacdSig+1))*M29</f>
        <v>0.585023998403295</v>
      </c>
      <c r="N30" s="41" t="n">
        <f aca="false">L30-M30</f>
        <v>0.21357939349821</v>
      </c>
      <c r="O30" s="42" t="n">
        <f aca="false">IF(H30&gt;H29,1,0)</f>
        <v>1</v>
      </c>
      <c r="P30" s="42" t="n">
        <f aca="false">IF(H30&lt;H29,1,0)</f>
        <v>0</v>
      </c>
      <c r="Q30" s="42" t="n">
        <f aca="false">IF(N30&gt;N29,1,0)</f>
        <v>1</v>
      </c>
      <c r="R30" s="42" t="n">
        <f aca="false">IF(N30&lt;N29,1,0)</f>
        <v>0</v>
      </c>
      <c r="S30" s="42" t="n">
        <f aca="false">IF(AND(O30=1,Q30=1),1,IF(AND(P30=1,R30=1),-1,0))</f>
        <v>1</v>
      </c>
      <c r="T30" s="43" t="str">
        <f aca="false">IF(S30=1,"绿",IF(S30=-1,"红","蓝"))</f>
        <v>绿</v>
      </c>
      <c r="U30" s="44" t="n">
        <f aca="false">F30*(E30-E29)</f>
        <v>535967.999999999</v>
      </c>
      <c r="V30" s="44" t="n">
        <f aca="false">2/(p_FiS+1)*U30+(1-2/(p_FiS+1))*V29</f>
        <v>1329498.07055237</v>
      </c>
      <c r="W30" s="44" t="n">
        <f aca="false">2/(p_FiL+1)*U30+(1-2/(p_FiL+1))*W29</f>
        <v>1049008.04200452</v>
      </c>
      <c r="X30" s="41" t="n">
        <f aca="false">MAX(C30-D30,ABS(C30-E29),ABS(D30-E29))</f>
        <v>0.610000000000003</v>
      </c>
      <c r="Y30" s="41" t="n">
        <f aca="true">AVERAGE(OFFSET(X30,1-MIN(p_AtrN,ROW()-4),0,MIN(p_AtrN,ROW()-4),1))</f>
        <v>0.505384615384616</v>
      </c>
      <c r="Z30" s="41" t="n">
        <f aca="false">IF(AND(C30-C29&gt;D29-D30,C30-C29&gt;0),C30-C29,0)</f>
        <v>0.25</v>
      </c>
      <c r="AA30" s="41" t="n">
        <f aca="false">IF(AND(D29-D30&gt;C30-C29,D29-D30&gt;0),D29-D30,0)</f>
        <v>0</v>
      </c>
      <c r="AB30" s="41" t="n">
        <f aca="false">2/(p_AdxN+1)*X30+(1-2/(p_AdxN+1))*AB29</f>
        <v>0.49620237325051</v>
      </c>
      <c r="AC30" s="41" t="n">
        <f aca="false">2/(p_AdxN+1)*Z30+(1-2/(p_AdxN+1))*AC29</f>
        <v>0.244844409512573</v>
      </c>
      <c r="AD30" s="41" t="n">
        <f aca="false">2/(p_AdxN+1)*AA30+(1-2/(p_AdxN+1))*AD29</f>
        <v>0.0196804974699161</v>
      </c>
      <c r="AE30" s="45" t="n">
        <f aca="false">100*AC30/AB30</f>
        <v>49.3436595050226</v>
      </c>
      <c r="AF30" s="45" t="n">
        <f aca="false">100*AD30/AB30</f>
        <v>3.96622397047268</v>
      </c>
      <c r="AG30" s="45" t="n">
        <f aca="false">IFERROR(100*ABS(AE30-AF30)/(AE30+AF30),0)</f>
        <v>85.1201176521205</v>
      </c>
      <c r="AH30" s="45" t="n">
        <f aca="false">2/(p_AdxN+1)*AG30+(1-2/(p_AdxN+1))*AH29</f>
        <v>70.8995332600629</v>
      </c>
      <c r="AI30" s="40" t="n">
        <f aca="false">I30*(1+p_ChPct)</f>
        <v>22.5540452061128</v>
      </c>
      <c r="AJ30" s="40" t="n">
        <f aca="false">I30*(1-p_ChPct)</f>
        <v>20.0007570695717</v>
      </c>
      <c r="AK30" s="40" t="n">
        <f aca="false">I30+1*Y30</f>
        <v>21.7827857532269</v>
      </c>
      <c r="AL30" s="40" t="n">
        <f aca="false">I30+2*Y30</f>
        <v>22.2881703686115</v>
      </c>
      <c r="AM30" s="40" t="n">
        <f aca="false">I30+3*Y30</f>
        <v>22.7935549839961</v>
      </c>
      <c r="AN30" s="40" t="n">
        <f aca="false">I30-1*Y30</f>
        <v>20.7720165224576</v>
      </c>
      <c r="AO30" s="40" t="n">
        <f aca="false">I30-2*Y30</f>
        <v>20.266631907073</v>
      </c>
      <c r="AP30" s="40" t="n">
        <f aca="false">I30-3*Y30</f>
        <v>19.7612472916884</v>
      </c>
      <c r="AQ30" s="40" t="n">
        <f aca="true">MAX(OFFSET(C30,1-MIN(p_StochN,ROW()-4),0,MIN(p_StochN,ROW()-4),1))</f>
        <v>23.44</v>
      </c>
      <c r="AR30" s="40" t="n">
        <f aca="true">MIN(OFFSET(D30,1-MIN(p_StochN,ROW()-4),0,MIN(p_StochN,ROW()-4),1))</f>
        <v>22.05</v>
      </c>
      <c r="AS30" s="45" t="n">
        <f aca="false">IF(AQ30=AR30,50,100*(E30-AR30)/(AQ30-AR30))</f>
        <v>86.3309352517985</v>
      </c>
      <c r="AT30" s="45" t="n">
        <f aca="true">AVERAGE(OFFSET(AS30,1-MIN(p_StochSm,ROW()-4),0,MIN(p_StochSm,ROW()-4),1))</f>
        <v>80.2682064874417</v>
      </c>
      <c r="AU30" s="45" t="n">
        <f aca="true">AVERAGE(OFFSET(AT30,1-MIN(p_StochSm,ROW()-4),0,MIN(p_StochSm,ROW()-4),1))</f>
        <v>74.3298644292587</v>
      </c>
      <c r="AV30" s="41" t="n">
        <f aca="false">MAX(0,H30-D30)</f>
        <v>0</v>
      </c>
      <c r="AW30" s="41" t="n">
        <f aca="true">IF(COUNTIF(OFFSET(AV30,1-MIN(p_PenLb,ROW()-4),0,MIN(p_PenLb,ROW()-4),1),"&gt;0")&gt;0,SUM(OFFSET(AV30,1-MIN(p_PenLb,ROW()-4),0,MIN(p_PenLb,ROW()-4),1))/COUNTIF(OFFSET(AV30,1-MIN(p_PenLb,ROW()-4),0,MIN(p_PenLb,ROW()-4),1),"&gt;0"),0.5*Y30)</f>
        <v>0.202033543310049</v>
      </c>
      <c r="AX30" s="41" t="n">
        <f aca="false">2*H30-H29</f>
        <v>22.2046859785815</v>
      </c>
      <c r="AY30" s="40" t="n">
        <f aca="false">ROUND(MAX(AX30-AW30,0.01),2)</f>
        <v>22</v>
      </c>
      <c r="AZ30" s="40" t="n">
        <f aca="true">IF(MIN(p_StopLb,ROW()-4)&lt;2,D30,SMALL(OFFSET(D30,1-MIN(p_StopLb,ROW()-4),0,MIN(p_StopLb,ROW()-4),1),2))</f>
        <v>20.78</v>
      </c>
      <c r="BA30" s="40" t="n">
        <f aca="false">IF(MOD(ROUND(ROUNDDOWN(MIN(AZ30-0.01,AY30-p_StopAtr*Y30),2)*100,0),50)=0,ROUNDDOWN(MIN(AZ30-0.01,AY30-p_StopAtr*Y30),2)-0.01,ROUNDDOWN(MIN(AZ30-0.01,AY30-p_StopAtr*Y30),2))</f>
        <v>20.77</v>
      </c>
      <c r="BB30" s="40" t="n">
        <f aca="false">ROUND(AI30,2)</f>
        <v>22.55</v>
      </c>
      <c r="BC30" s="40" t="n">
        <f aca="false">IF(AY30-BA30&gt;0,(BB30-AY30)/(AY30-BA30),0)</f>
        <v>0.447154471544716</v>
      </c>
      <c r="BD30" s="42" t="n">
        <f aca="false">IF(N30&lt;0,1,0)</f>
        <v>0</v>
      </c>
      <c r="BE30" s="41" t="n">
        <f aca="false">IF(AND(BD30=1,BD29=0),N30,IF(BD30=1,MIN(BE29,N30),BE29))</f>
        <v>-0.0234128043712021</v>
      </c>
      <c r="BF30" s="40" t="n">
        <f aca="false">IF(AND(BD30=1,BD29=0),D30,IF(BD30=1,MIN(BF29,D30),BF29))</f>
        <v>19.42</v>
      </c>
      <c r="BG30" s="42" t="n">
        <f aca="false">IF(AND(BD30=1,BD29=0),ROW(),IF(BD30=1,IF(N30&lt;BE29,ROW(),BG29),BG29))</f>
        <v>10</v>
      </c>
      <c r="BH30" s="41" t="str">
        <f aca="false">IF(AND(BD30=1,BD29=0),BE29,BH29)</f>
        <v/>
      </c>
      <c r="BI30" s="40" t="str">
        <f aca="false">IF(AND(BD30=1,BD29=0),BF29,BI29)</f>
        <v/>
      </c>
      <c r="BJ30" s="42" t="str">
        <f aca="false">IF(AND(BD30=1,BD29=0),BG29,BJ29)</f>
        <v/>
      </c>
      <c r="BK30" s="42" t="str">
        <f aca="false">IF(AND(ISNUMBER(BG30),ISNUMBER(BJ30)),BG30-BJ30,"")</f>
        <v/>
      </c>
      <c r="BL30" s="42" t="n">
        <f aca="false">IF(AND(BD30=1,N30&gt;N29,ISNUMBER(BH30),ISNUMBER(BK30)),IF(AND(BE30&gt;BH30,BF30&lt;BI30,BK30&gt;=p_GapMin,BK30&lt;=p_GapMax),1,0),0)</f>
        <v>0</v>
      </c>
      <c r="BM30" s="42" t="n">
        <f aca="false">IF(AND(BL30=1,E30&gt;BI30),1,0)</f>
        <v>0</v>
      </c>
      <c r="BN30" s="42" t="n">
        <f aca="false">IF(BL30=1,IF(BE30&gt;=BH30*0.5,1,0),0)</f>
        <v>0</v>
      </c>
      <c r="BO30" s="42" t="n">
        <f aca="true">IF(V30&gt;MIN(OFFSET(V30,-MIN(p_FiLb-1,ROW()-5),0,MIN(p_FiLb-1,ROW()-5),1)),1,0)</f>
        <v>1</v>
      </c>
      <c r="BP30" s="44" t="n">
        <f aca="true">IF(COUNTIF(OFFSET(V30,1-MIN(100,ROW()-4),0,MIN(100,ROW()-4),1),"&lt;0")&gt;=5,AVERAGEIF(OFFSET(V30,1-MIN(100,ROW()-4),0,MIN(100,ROW()-4),1),"&lt;0"),"")</f>
        <v>-462137.825725669</v>
      </c>
      <c r="BQ30" s="42" t="n">
        <f aca="false">IF(ISNUMBER(BP30),IF(AND(V30&lt;5*BP30,V30&gt;V29,E30&lt;AJ30),1,0),0)</f>
        <v>0</v>
      </c>
      <c r="BR30" s="44" t="n">
        <f aca="true">AVERAGE(OFFSET(F30,1-MIN(5,ROW()-4),0,MIN(5,ROW()-4),1))</f>
        <v>3930640</v>
      </c>
      <c r="BS30" s="42" t="n">
        <f aca="false">IFERROR(IF(MATCH(G30,周线!$A$5:$A$84,0)&lt;=1,"",INDEX(周线!$R$5:$R$84,MATCH(G30,周线!$A$5:$A$84,0)-1)),"")</f>
        <v>1</v>
      </c>
      <c r="BT30" s="42" t="n">
        <f aca="false">IFERROR(IF(MATCH(G30,周线!$A$5:$A$84,0)&lt;=1,"",INDEX(周线!$S$5:$S$84,MATCH(G30,周线!$A$5:$A$84,0)-1)),"")</f>
        <v>1</v>
      </c>
      <c r="BU30" s="42" t="n">
        <f aca="false">IFERROR(IF(MATCH(G30,周线!$A$5:$A$84,0)&lt;=1,"",INDEX(周线!$U$5:$U$84,MATCH(G30,周线!$A$5:$A$84,0)-1)),"")</f>
        <v>1</v>
      </c>
      <c r="BV30" s="42" t="n">
        <f aca="false">IF(AND(BS30=1,S30&lt;&gt;-1,V30&lt;0,BO30=1,E30&lt;=H30,E30&gt;=AJ30),1,0)</f>
        <v>0</v>
      </c>
      <c r="BW30" s="42" t="n">
        <f aca="false">BL30</f>
        <v>0</v>
      </c>
      <c r="BX30" s="42" t="n">
        <f aca="false">BQ30</f>
        <v>0</v>
      </c>
      <c r="BY30" s="42" t="n">
        <f aca="false">IF(BS30=1,10,0)+IF(BU30=1,5,IF(BU30=-1,0,3))+IF(BT30=1,5,0)+IF(AND(AE30&gt;AF30,AH30&gt;AH29),5,0)</f>
        <v>25</v>
      </c>
      <c r="BZ30" s="42" t="n">
        <f aca="false">IF(AND(E30&lt;=H30,E30&gt;=I30),10,IF(AND(E30&gt;=AJ30,E30&lt;I30),6,0))+IF(AND(V30&lt;0,BO30=1),8,0)+IF(AT30&lt;30,7,IF(AT30&lt;50,3,0))</f>
        <v>0</v>
      </c>
      <c r="CA30" s="42" t="n">
        <f aca="false">IF(AND(BV30=1,BW30=1),25,IF(BW30=1,22,IF(BV30=1,15,IF(BX30=1,12,0))))</f>
        <v>0</v>
      </c>
      <c r="CB30" s="42" t="n">
        <f aca="false">IF(W30&gt;0,6,0)+IF(F30&lt;BR30,4,0)</f>
        <v>10</v>
      </c>
      <c r="CC30" s="42" t="n">
        <f aca="false">IF(BC30&gt;=3,15,IF(BC30&gt;=p_RRmin,10,IF(BC30&gt;=1.5,4,0)))</f>
        <v>0</v>
      </c>
      <c r="CD30" s="42" t="n">
        <f aca="false">BY30+BZ30+CA30+CB30+CC30</f>
        <v>35</v>
      </c>
      <c r="CE30" s="42" t="n">
        <f aca="false">IF(AND(BS30&lt;&gt;1,BW30+BX30=0),1,0)</f>
        <v>0</v>
      </c>
      <c r="CF30" s="42" t="n">
        <f aca="false">IF(BU30=-1,1,0)</f>
        <v>0</v>
      </c>
      <c r="CG30" s="42" t="n">
        <f aca="false">IF(S30=-1,1,0)</f>
        <v>0</v>
      </c>
      <c r="CH30" s="42" t="n">
        <f aca="false">IF(BV30+BW30+BX30=0,1,0)</f>
        <v>1</v>
      </c>
      <c r="CI30" s="42" t="n">
        <f aca="false">IF(BC30&lt;p_RRmin,1,0)</f>
        <v>1</v>
      </c>
      <c r="CJ30" s="46" t="str">
        <f aca="false">IF(SUM(CE30:CI30)=0,IF(CD30&gt;=p_GradeA,"A",IF(CD30&gt;=p_GradeB,"B","C")),IF(AND(CI30=1,SUM(CE30:CH30)=0,CD30&gt;=p_GradeB),"B","C"))</f>
        <v>C</v>
      </c>
    </row>
    <row r="31" customFormat="false" ht="15" hidden="false" customHeight="false" outlineLevel="0" collapsed="false">
      <c r="A31" s="36" t="n">
        <v>45695</v>
      </c>
      <c r="B31" s="37" t="n">
        <v>23.21</v>
      </c>
      <c r="C31" s="37" t="n">
        <v>23.61</v>
      </c>
      <c r="D31" s="37" t="n">
        <v>23.1</v>
      </c>
      <c r="E31" s="37" t="n">
        <v>23.46</v>
      </c>
      <c r="F31" s="38" t="n">
        <v>3902300</v>
      </c>
      <c r="G31" s="39" t="n">
        <f aca="false">A31-WEEKDAY(A31,3)</f>
        <v>45691</v>
      </c>
      <c r="H31" s="40" t="n">
        <f aca="false">2/(p_EmaF+1)*E31+(1-2/(p_EmaF+1))*H30</f>
        <v>22.2048198636838</v>
      </c>
      <c r="I31" s="40" t="n">
        <f aca="false">2/(p_EmaS+1)*E31+(1-2/(p_EmaS+1))*I30</f>
        <v>21.4390751276317</v>
      </c>
      <c r="J31" s="41" t="n">
        <f aca="false">2/(p_MacdF+1)*E31+(1-2/(p_MacdF+1))*J30</f>
        <v>22.2889269097832</v>
      </c>
      <c r="K31" s="41" t="n">
        <f aca="false">2/(p_MacdS+1)*E31+(1-2/(p_MacdS+1))*K30</f>
        <v>21.4390751276317</v>
      </c>
      <c r="L31" s="41" t="n">
        <f aca="false">J31-K31</f>
        <v>0.849851782151465</v>
      </c>
      <c r="M31" s="41" t="n">
        <f aca="false">2/(p_MacdSig+1)*L31+(1-2/(p_MacdSig+1))*M30</f>
        <v>0.637989555152929</v>
      </c>
      <c r="N31" s="41" t="n">
        <f aca="false">L31-M31</f>
        <v>0.211862226998536</v>
      </c>
      <c r="O31" s="42" t="n">
        <f aca="false">IF(H31&gt;H30,1,0)</f>
        <v>1</v>
      </c>
      <c r="P31" s="42" t="n">
        <f aca="false">IF(H31&lt;H30,1,0)</f>
        <v>0</v>
      </c>
      <c r="Q31" s="42" t="n">
        <f aca="false">IF(N31&gt;N30,1,0)</f>
        <v>0</v>
      </c>
      <c r="R31" s="42" t="n">
        <f aca="false">IF(N31&lt;N30,1,0)</f>
        <v>1</v>
      </c>
      <c r="S31" s="42" t="n">
        <f aca="false">IF(AND(O31=1,Q31=1),1,IF(AND(P31=1,R31=1),-1,0))</f>
        <v>0</v>
      </c>
      <c r="T31" s="43" t="str">
        <f aca="false">IF(S31=1,"绿",IF(S31=-1,"红","蓝"))</f>
        <v>蓝</v>
      </c>
      <c r="U31" s="44" t="n">
        <f aca="false">F31*(E31-E30)</f>
        <v>819483.000000003</v>
      </c>
      <c r="V31" s="44" t="n">
        <f aca="false">2/(p_FiS+1)*U31+(1-2/(p_FiS+1))*V30</f>
        <v>989488.023517459</v>
      </c>
      <c r="W31" s="44" t="n">
        <f aca="false">2/(p_FiL+1)*U31+(1-2/(p_FiL+1))*W30</f>
        <v>1016218.75028959</v>
      </c>
      <c r="X31" s="41" t="n">
        <f aca="false">MAX(C31-D31,ABS(C31-E30),ABS(D31-E30))</f>
        <v>0.509999999999998</v>
      </c>
      <c r="Y31" s="41" t="n">
        <f aca="true">AVERAGE(OFFSET(X31,1-MIN(p_AtrN,ROW()-4),0,MIN(p_AtrN,ROW()-4),1))</f>
        <v>0.51</v>
      </c>
      <c r="Z31" s="41" t="n">
        <f aca="false">IF(AND(C31-C30&gt;D30-D31,C31-C30&gt;0),C31-C30,0)</f>
        <v>0.169999999999998</v>
      </c>
      <c r="AA31" s="41" t="n">
        <f aca="false">IF(AND(D30-D31&gt;C31-C30,D30-D31&gt;0),D30-D31,0)</f>
        <v>0</v>
      </c>
      <c r="AB31" s="41" t="n">
        <f aca="false">2/(p_AdxN+1)*X31+(1-2/(p_AdxN+1))*AB30</f>
        <v>0.498173462786151</v>
      </c>
      <c r="AC31" s="41" t="n">
        <f aca="false">2/(p_AdxN+1)*Z31+(1-2/(p_AdxN+1))*AC30</f>
        <v>0.234152351010777</v>
      </c>
      <c r="AD31" s="41" t="n">
        <f aca="false">2/(p_AdxN+1)*AA31+(1-2/(p_AdxN+1))*AD30</f>
        <v>0.0168689978313566</v>
      </c>
      <c r="AE31" s="45" t="n">
        <f aca="false">100*AC31/AB31</f>
        <v>47.002172637062</v>
      </c>
      <c r="AF31" s="45" t="n">
        <f aca="false">100*AD31/AB31</f>
        <v>3.38616949546305</v>
      </c>
      <c r="AG31" s="45" t="n">
        <f aca="false">IFERROR(100*ABS(AE31-AF31)/(AE31+AF31),0)</f>
        <v>86.5597106308552</v>
      </c>
      <c r="AH31" s="45" t="n">
        <f aca="false">2/(p_AdxN+1)*AG31+(1-2/(p_AdxN+1))*AH30</f>
        <v>73.1367014558904</v>
      </c>
      <c r="AI31" s="40" t="n">
        <f aca="false">I31*(1+p_ChPct)</f>
        <v>22.7254196352896</v>
      </c>
      <c r="AJ31" s="40" t="n">
        <f aca="false">I31*(1-p_ChPct)</f>
        <v>20.1527306199738</v>
      </c>
      <c r="AK31" s="40" t="n">
        <f aca="false">I31+1*Y31</f>
        <v>21.9490751276317</v>
      </c>
      <c r="AL31" s="40" t="n">
        <f aca="false">I31+2*Y31</f>
        <v>22.4590751276317</v>
      </c>
      <c r="AM31" s="40" t="n">
        <f aca="false">I31+3*Y31</f>
        <v>22.9690751276317</v>
      </c>
      <c r="AN31" s="40" t="n">
        <f aca="false">I31-1*Y31</f>
        <v>20.9290751276317</v>
      </c>
      <c r="AO31" s="40" t="n">
        <f aca="false">I31-2*Y31</f>
        <v>20.4190751276317</v>
      </c>
      <c r="AP31" s="40" t="n">
        <f aca="false">I31-3*Y31</f>
        <v>19.9090751276317</v>
      </c>
      <c r="AQ31" s="40" t="n">
        <f aca="true">MAX(OFFSET(C31,1-MIN(p_StochN,ROW()-4),0,MIN(p_StochN,ROW()-4),1))</f>
        <v>23.61</v>
      </c>
      <c r="AR31" s="40" t="n">
        <f aca="true">MIN(OFFSET(D31,1-MIN(p_StochN,ROW()-4),0,MIN(p_StochN,ROW()-4),1))</f>
        <v>22.05</v>
      </c>
      <c r="AS31" s="45" t="n">
        <f aca="false">IF(AQ31=AR31,50,100*(E31-AR31)/(AQ31-AR31))</f>
        <v>90.3846153846155</v>
      </c>
      <c r="AT31" s="45" t="n">
        <f aca="true">AVERAGE(OFFSET(AS31,1-MIN(p_StochSm,ROW()-4),0,MIN(p_StochSm,ROW()-4),1))</f>
        <v>88.7297449489801</v>
      </c>
      <c r="AU31" s="45" t="n">
        <f aca="true">AVERAGE(OFFSET(AT31,1-MIN(p_StochSm,ROW()-4),0,MIN(p_StochSm,ROW()-4),1))</f>
        <v>80.6921603646329</v>
      </c>
      <c r="AV31" s="41" t="n">
        <f aca="false">MAX(0,H31-D31)</f>
        <v>0</v>
      </c>
      <c r="AW31" s="41" t="n">
        <f aca="true">IF(COUNTIF(OFFSET(AV31,1-MIN(p_PenLb,ROW()-4),0,MIN(p_PenLb,ROW()-4),1),"&gt;0")&gt;0,SUM(OFFSET(AV31,1-MIN(p_PenLb,ROW()-4),0,MIN(p_PenLb,ROW()-4),1))/COUNTIF(OFFSET(AV31,1-MIN(p_PenLb,ROW()-4),0,MIN(p_PenLb,ROW()-4),1),"&gt;0"),0.5*Y31)</f>
        <v>0.202033543310049</v>
      </c>
      <c r="AX31" s="41" t="n">
        <f aca="false">2*H31-H30</f>
        <v>22.4140165530698</v>
      </c>
      <c r="AY31" s="40" t="n">
        <f aca="false">ROUND(MAX(AX31-AW31,0.01),2)</f>
        <v>22.21</v>
      </c>
      <c r="AZ31" s="40" t="n">
        <f aca="true">IF(MIN(p_StopLb,ROW()-4)&lt;2,D31,SMALL(OFFSET(D31,1-MIN(p_StopLb,ROW()-4),0,MIN(p_StopLb,ROW()-4),1),2))</f>
        <v>21.65</v>
      </c>
      <c r="BA31" s="40" t="n">
        <f aca="false">IF(MOD(ROUND(ROUNDDOWN(MIN(AZ31-0.01,AY31-p_StopAtr*Y31),2)*100,0),50)=0,ROUNDDOWN(MIN(AZ31-0.01,AY31-p_StopAtr*Y31),2)-0.01,ROUNDDOWN(MIN(AZ31-0.01,AY31-p_StopAtr*Y31),2))</f>
        <v>21.64</v>
      </c>
      <c r="BB31" s="40" t="n">
        <f aca="false">ROUND(AI31,2)</f>
        <v>22.73</v>
      </c>
      <c r="BC31" s="40" t="n">
        <f aca="false">IF(AY31-BA31&gt;0,(BB31-AY31)/(AY31-BA31),0)</f>
        <v>0.912280701754385</v>
      </c>
      <c r="BD31" s="42" t="n">
        <f aca="false">IF(N31&lt;0,1,0)</f>
        <v>0</v>
      </c>
      <c r="BE31" s="41" t="n">
        <f aca="false">IF(AND(BD31=1,BD30=0),N31,IF(BD31=1,MIN(BE30,N31),BE30))</f>
        <v>-0.0234128043712021</v>
      </c>
      <c r="BF31" s="40" t="n">
        <f aca="false">IF(AND(BD31=1,BD30=0),D31,IF(BD31=1,MIN(BF30,D31),BF30))</f>
        <v>19.42</v>
      </c>
      <c r="BG31" s="42" t="n">
        <f aca="false">IF(AND(BD31=1,BD30=0),ROW(),IF(BD31=1,IF(N31&lt;BE30,ROW(),BG30),BG30))</f>
        <v>10</v>
      </c>
      <c r="BH31" s="41" t="str">
        <f aca="false">IF(AND(BD31=1,BD30=0),BE30,BH30)</f>
        <v/>
      </c>
      <c r="BI31" s="40" t="str">
        <f aca="false">IF(AND(BD31=1,BD30=0),BF30,BI30)</f>
        <v/>
      </c>
      <c r="BJ31" s="42" t="str">
        <f aca="false">IF(AND(BD31=1,BD30=0),BG30,BJ30)</f>
        <v/>
      </c>
      <c r="BK31" s="42" t="str">
        <f aca="false">IF(AND(ISNUMBER(BG31),ISNUMBER(BJ31)),BG31-BJ31,"")</f>
        <v/>
      </c>
      <c r="BL31" s="42" t="n">
        <f aca="false">IF(AND(BD31=1,N31&gt;N30,ISNUMBER(BH31),ISNUMBER(BK31)),IF(AND(BE31&gt;BH31,BF31&lt;BI31,BK31&gt;=p_GapMin,BK31&lt;=p_GapMax),1,0),0)</f>
        <v>0</v>
      </c>
      <c r="BM31" s="42" t="n">
        <f aca="false">IF(AND(BL31=1,E31&gt;BI31),1,0)</f>
        <v>0</v>
      </c>
      <c r="BN31" s="42" t="n">
        <f aca="false">IF(BL31=1,IF(BE31&gt;=BH31*0.5,1,0),0)</f>
        <v>0</v>
      </c>
      <c r="BO31" s="42" t="n">
        <f aca="true">IF(V31&gt;MIN(OFFSET(V31,-MIN(p_FiLb-1,ROW()-5),0,MIN(p_FiLb-1,ROW()-5),1)),1,0)</f>
        <v>1</v>
      </c>
      <c r="BP31" s="44" t="n">
        <f aca="true">IF(COUNTIF(OFFSET(V31,1-MIN(100,ROW()-4),0,MIN(100,ROW()-4),1),"&lt;0")&gt;=5,AVERAGEIF(OFFSET(V31,1-MIN(100,ROW()-4),0,MIN(100,ROW()-4),1),"&lt;0"),"")</f>
        <v>-462137.825725669</v>
      </c>
      <c r="BQ31" s="42" t="n">
        <f aca="false">IF(ISNUMBER(BP31),IF(AND(V31&lt;5*BP31,V31&gt;V30,E31&lt;AJ31),1,0),0)</f>
        <v>0</v>
      </c>
      <c r="BR31" s="44" t="n">
        <f aca="true">AVERAGE(OFFSET(F31,1-MIN(5,ROW()-4),0,MIN(5,ROW()-4),1))</f>
        <v>3886960</v>
      </c>
      <c r="BS31" s="42" t="n">
        <f aca="false">IFERROR(IF(MATCH(G31,周线!$A$5:$A$84,0)&lt;=1,"",INDEX(周线!$R$5:$R$84,MATCH(G31,周线!$A$5:$A$84,0)-1)),"")</f>
        <v>1</v>
      </c>
      <c r="BT31" s="42" t="n">
        <f aca="false">IFERROR(IF(MATCH(G31,周线!$A$5:$A$84,0)&lt;=1,"",INDEX(周线!$S$5:$S$84,MATCH(G31,周线!$A$5:$A$84,0)-1)),"")</f>
        <v>1</v>
      </c>
      <c r="BU31" s="42" t="n">
        <f aca="false">IFERROR(IF(MATCH(G31,周线!$A$5:$A$84,0)&lt;=1,"",INDEX(周线!$U$5:$U$84,MATCH(G31,周线!$A$5:$A$84,0)-1)),"")</f>
        <v>1</v>
      </c>
      <c r="BV31" s="42" t="n">
        <f aca="false">IF(AND(BS31=1,S31&lt;&gt;-1,V31&lt;0,BO31=1,E31&lt;=H31,E31&gt;=AJ31),1,0)</f>
        <v>0</v>
      </c>
      <c r="BW31" s="42" t="n">
        <f aca="false">BL31</f>
        <v>0</v>
      </c>
      <c r="BX31" s="42" t="n">
        <f aca="false">BQ31</f>
        <v>0</v>
      </c>
      <c r="BY31" s="42" t="n">
        <f aca="false">IF(BS31=1,10,0)+IF(BU31=1,5,IF(BU31=-1,0,3))+IF(BT31=1,5,0)+IF(AND(AE31&gt;AF31,AH31&gt;AH30),5,0)</f>
        <v>25</v>
      </c>
      <c r="BZ31" s="42" t="n">
        <f aca="false">IF(AND(E31&lt;=H31,E31&gt;=I31),10,IF(AND(E31&gt;=AJ31,E31&lt;I31),6,0))+IF(AND(V31&lt;0,BO31=1),8,0)+IF(AT31&lt;30,7,IF(AT31&lt;50,3,0))</f>
        <v>0</v>
      </c>
      <c r="CA31" s="42" t="n">
        <f aca="false">IF(AND(BV31=1,BW31=1),25,IF(BW31=1,22,IF(BV31=1,15,IF(BX31=1,12,0))))</f>
        <v>0</v>
      </c>
      <c r="CB31" s="42" t="n">
        <f aca="false">IF(W31&gt;0,6,0)+IF(F31&lt;BR31,4,0)</f>
        <v>6</v>
      </c>
      <c r="CC31" s="42" t="n">
        <f aca="false">IF(BC31&gt;=3,15,IF(BC31&gt;=p_RRmin,10,IF(BC31&gt;=1.5,4,0)))</f>
        <v>0</v>
      </c>
      <c r="CD31" s="42" t="n">
        <f aca="false">BY31+BZ31+CA31+CB31+CC31</f>
        <v>31</v>
      </c>
      <c r="CE31" s="42" t="n">
        <f aca="false">IF(AND(BS31&lt;&gt;1,BW31+BX31=0),1,0)</f>
        <v>0</v>
      </c>
      <c r="CF31" s="42" t="n">
        <f aca="false">IF(BU31=-1,1,0)</f>
        <v>0</v>
      </c>
      <c r="CG31" s="42" t="n">
        <f aca="false">IF(S31=-1,1,0)</f>
        <v>0</v>
      </c>
      <c r="CH31" s="42" t="n">
        <f aca="false">IF(BV31+BW31+BX31=0,1,0)</f>
        <v>1</v>
      </c>
      <c r="CI31" s="42" t="n">
        <f aca="false">IF(BC31&lt;p_RRmin,1,0)</f>
        <v>1</v>
      </c>
      <c r="CJ31" s="46" t="str">
        <f aca="false">IF(SUM(CE31:CI31)=0,IF(CD31&gt;=p_GradeA,"A",IF(CD31&gt;=p_GradeB,"B","C")),IF(AND(CI31=1,SUM(CE31:CH31)=0,CD31&gt;=p_GradeB),"B","C"))</f>
        <v>C</v>
      </c>
    </row>
    <row r="32" customFormat="false" ht="15" hidden="false" customHeight="false" outlineLevel="0" collapsed="false">
      <c r="A32" s="36" t="n">
        <v>45698</v>
      </c>
      <c r="B32" s="37" t="n">
        <v>23.43</v>
      </c>
      <c r="C32" s="37" t="n">
        <v>23.93</v>
      </c>
      <c r="D32" s="37" t="n">
        <v>23.35</v>
      </c>
      <c r="E32" s="37" t="n">
        <v>23.86</v>
      </c>
      <c r="F32" s="38" t="n">
        <v>3708400</v>
      </c>
      <c r="G32" s="39" t="n">
        <f aca="false">A32-WEEKDAY(A32,3)</f>
        <v>45698</v>
      </c>
      <c r="H32" s="40" t="n">
        <f aca="false">2/(p_EmaF+1)*E32+(1-2/(p_EmaF+1))*H31</f>
        <v>22.4412741688718</v>
      </c>
      <c r="I32" s="40" t="n">
        <f aca="false">2/(p_EmaS+1)*E32+(1-2/(p_EmaS+1))*I31</f>
        <v>21.6184028959553</v>
      </c>
      <c r="J32" s="41" t="n">
        <f aca="false">2/(p_MacdF+1)*E32+(1-2/(p_MacdF+1))*J31</f>
        <v>22.5306304621242</v>
      </c>
      <c r="K32" s="41" t="n">
        <f aca="false">2/(p_MacdS+1)*E32+(1-2/(p_MacdS+1))*K31</f>
        <v>21.6184028959553</v>
      </c>
      <c r="L32" s="41" t="n">
        <f aca="false">J32-K32</f>
        <v>0.912227566168937</v>
      </c>
      <c r="M32" s="41" t="n">
        <f aca="false">2/(p_MacdSig+1)*L32+(1-2/(p_MacdSig+1))*M31</f>
        <v>0.692837157356131</v>
      </c>
      <c r="N32" s="41" t="n">
        <f aca="false">L32-M32</f>
        <v>0.219390408812807</v>
      </c>
      <c r="O32" s="42" t="n">
        <f aca="false">IF(H32&gt;H31,1,0)</f>
        <v>1</v>
      </c>
      <c r="P32" s="42" t="n">
        <f aca="false">IF(H32&lt;H31,1,0)</f>
        <v>0</v>
      </c>
      <c r="Q32" s="42" t="n">
        <f aca="false">IF(N32&gt;N31,1,0)</f>
        <v>1</v>
      </c>
      <c r="R32" s="42" t="n">
        <f aca="false">IF(N32&lt;N31,1,0)</f>
        <v>0</v>
      </c>
      <c r="S32" s="42" t="n">
        <f aca="false">IF(AND(O32=1,Q32=1),1,IF(AND(P32=1,R32=1),-1,0))</f>
        <v>1</v>
      </c>
      <c r="T32" s="43" t="str">
        <f aca="false">IF(S32=1,"绿",IF(S32=-1,"红","蓝"))</f>
        <v>绿</v>
      </c>
      <c r="U32" s="44" t="n">
        <f aca="false">F32*(E32-E31)</f>
        <v>1483359.99999999</v>
      </c>
      <c r="V32" s="44" t="n">
        <f aca="false">2/(p_FiS+1)*U32+(1-2/(p_FiS+1))*V31</f>
        <v>1318736.00783915</v>
      </c>
      <c r="W32" s="44" t="n">
        <f aca="false">2/(p_FiL+1)*U32+(1-2/(p_FiL+1))*W31</f>
        <v>1082953.21453393</v>
      </c>
      <c r="X32" s="41" t="n">
        <f aca="false">MAX(C32-D32,ABS(C32-E31),ABS(D32-E31))</f>
        <v>0.579999999999998</v>
      </c>
      <c r="Y32" s="41" t="n">
        <f aca="true">AVERAGE(OFFSET(X32,1-MIN(p_AtrN,ROW()-4),0,MIN(p_AtrN,ROW()-4),1))</f>
        <v>0.534615384615385</v>
      </c>
      <c r="Z32" s="41" t="n">
        <f aca="false">IF(AND(C32-C31&gt;D31-D32,C32-C31&gt;0),C32-C31,0)</f>
        <v>0.32</v>
      </c>
      <c r="AA32" s="41" t="n">
        <f aca="false">IF(AND(D31-D32&gt;C32-C31,D31-D32&gt;0),D31-D32,0)</f>
        <v>0</v>
      </c>
      <c r="AB32" s="41" t="n">
        <f aca="false">2/(p_AdxN+1)*X32+(1-2/(p_AdxN+1))*AB31</f>
        <v>0.509862968102415</v>
      </c>
      <c r="AC32" s="41" t="n">
        <f aca="false">2/(p_AdxN+1)*Z32+(1-2/(p_AdxN+1))*AC31</f>
        <v>0.24641630086638</v>
      </c>
      <c r="AD32" s="41" t="n">
        <f aca="false">2/(p_AdxN+1)*AA32+(1-2/(p_AdxN+1))*AD31</f>
        <v>0.0144591409983057</v>
      </c>
      <c r="AE32" s="45" t="n">
        <f aca="false">100*AC32/AB32</f>
        <v>48.3299075011235</v>
      </c>
      <c r="AF32" s="45" t="n">
        <f aca="false">100*AD32/AB32</f>
        <v>2.83588766058438</v>
      </c>
      <c r="AG32" s="45" t="n">
        <f aca="false">IFERROR(100*ABS(AE32-AF32)/(AE32+AF32),0)</f>
        <v>88.9149082834669</v>
      </c>
      <c r="AH32" s="45" t="n">
        <f aca="false">2/(p_AdxN+1)*AG32+(1-2/(p_AdxN+1))*AH31</f>
        <v>75.390731002687</v>
      </c>
      <c r="AI32" s="40" t="n">
        <f aca="false">I32*(1+p_ChPct)</f>
        <v>22.9155070697126</v>
      </c>
      <c r="AJ32" s="40" t="n">
        <f aca="false">I32*(1-p_ChPct)</f>
        <v>20.321298722198</v>
      </c>
      <c r="AK32" s="40" t="n">
        <f aca="false">I32+1*Y32</f>
        <v>22.1530182805707</v>
      </c>
      <c r="AL32" s="40" t="n">
        <f aca="false">I32+2*Y32</f>
        <v>22.6876336651861</v>
      </c>
      <c r="AM32" s="40" t="n">
        <f aca="false">I32+3*Y32</f>
        <v>23.2222490498014</v>
      </c>
      <c r="AN32" s="40" t="n">
        <f aca="false">I32-1*Y32</f>
        <v>21.0837875113399</v>
      </c>
      <c r="AO32" s="40" t="n">
        <f aca="false">I32-2*Y32</f>
        <v>20.5491721267245</v>
      </c>
      <c r="AP32" s="40" t="n">
        <f aca="false">I32-3*Y32</f>
        <v>20.0145567421091</v>
      </c>
      <c r="AQ32" s="40" t="n">
        <f aca="true">MAX(OFFSET(C32,1-MIN(p_StochN,ROW()-4),0,MIN(p_StochN,ROW()-4),1))</f>
        <v>23.93</v>
      </c>
      <c r="AR32" s="40" t="n">
        <f aca="true">MIN(OFFSET(D32,1-MIN(p_StochN,ROW()-4),0,MIN(p_StochN,ROW()-4),1))</f>
        <v>22.32</v>
      </c>
      <c r="AS32" s="45" t="n">
        <f aca="false">IF(AQ32=AR32,50,100*(E32-AR32)/(AQ32-AR32))</f>
        <v>95.6521739130435</v>
      </c>
      <c r="AT32" s="45" t="n">
        <f aca="true">AVERAGE(OFFSET(AS32,1-MIN(p_StochSm,ROW()-4),0,MIN(p_StochSm,ROW()-4),1))</f>
        <v>90.7892415164858</v>
      </c>
      <c r="AU32" s="45" t="n">
        <f aca="true">AVERAGE(OFFSET(AT32,1-MIN(p_StochSm,ROW()-4),0,MIN(p_StochSm,ROW()-4),1))</f>
        <v>86.5957309843025</v>
      </c>
      <c r="AV32" s="41" t="n">
        <f aca="false">MAX(0,H32-D32)</f>
        <v>0</v>
      </c>
      <c r="AW32" s="41" t="n">
        <f aca="true">IF(COUNTIF(OFFSET(AV32,1-MIN(p_PenLb,ROW()-4),0,MIN(p_PenLb,ROW()-4),1),"&gt;0")&gt;0,SUM(OFFSET(AV32,1-MIN(p_PenLb,ROW()-4),0,MIN(p_PenLb,ROW()-4),1))/COUNTIF(OFFSET(AV32,1-MIN(p_PenLb,ROW()-4),0,MIN(p_PenLb,ROW()-4),1),"&gt;0"),0.5*Y32)</f>
        <v>0.202033543310049</v>
      </c>
      <c r="AX32" s="41" t="n">
        <f aca="false">2*H32-H31</f>
        <v>22.6777284740599</v>
      </c>
      <c r="AY32" s="40" t="n">
        <f aca="false">ROUND(MAX(AX32-AW32,0.01),2)</f>
        <v>22.48</v>
      </c>
      <c r="AZ32" s="40" t="n">
        <f aca="true">IF(MIN(p_StopLb,ROW()-4)&lt;2,D32,SMALL(OFFSET(D32,1-MIN(p_StopLb,ROW()-4),0,MIN(p_StopLb,ROW()-4),1),2))</f>
        <v>21.9</v>
      </c>
      <c r="BA32" s="40" t="n">
        <f aca="false">IF(MOD(ROUND(ROUNDDOWN(MIN(AZ32-0.01,AY32-p_StopAtr*Y32),2)*100,0),50)=0,ROUNDDOWN(MIN(AZ32-0.01,AY32-p_StopAtr*Y32),2)-0.01,ROUNDDOWN(MIN(AZ32-0.01,AY32-p_StopAtr*Y32),2))</f>
        <v>21.89</v>
      </c>
      <c r="BB32" s="40" t="n">
        <f aca="false">ROUND(AI32,2)</f>
        <v>22.92</v>
      </c>
      <c r="BC32" s="40" t="n">
        <f aca="false">IF(AY32-BA32&gt;0,(BB32-AY32)/(AY32-BA32),0)</f>
        <v>0.745762711864409</v>
      </c>
      <c r="BD32" s="42" t="n">
        <f aca="false">IF(N32&lt;0,1,0)</f>
        <v>0</v>
      </c>
      <c r="BE32" s="41" t="n">
        <f aca="false">IF(AND(BD32=1,BD31=0),N32,IF(BD32=1,MIN(BE31,N32),BE31))</f>
        <v>-0.0234128043712021</v>
      </c>
      <c r="BF32" s="40" t="n">
        <f aca="false">IF(AND(BD32=1,BD31=0),D32,IF(BD32=1,MIN(BF31,D32),BF31))</f>
        <v>19.42</v>
      </c>
      <c r="BG32" s="42" t="n">
        <f aca="false">IF(AND(BD32=1,BD31=0),ROW(),IF(BD32=1,IF(N32&lt;BE31,ROW(),BG31),BG31))</f>
        <v>10</v>
      </c>
      <c r="BH32" s="41" t="str">
        <f aca="false">IF(AND(BD32=1,BD31=0),BE31,BH31)</f>
        <v/>
      </c>
      <c r="BI32" s="40" t="str">
        <f aca="false">IF(AND(BD32=1,BD31=0),BF31,BI31)</f>
        <v/>
      </c>
      <c r="BJ32" s="42" t="str">
        <f aca="false">IF(AND(BD32=1,BD31=0),BG31,BJ31)</f>
        <v/>
      </c>
      <c r="BK32" s="42" t="str">
        <f aca="false">IF(AND(ISNUMBER(BG32),ISNUMBER(BJ32)),BG32-BJ32,"")</f>
        <v/>
      </c>
      <c r="BL32" s="42" t="n">
        <f aca="false">IF(AND(BD32=1,N32&gt;N31,ISNUMBER(BH32),ISNUMBER(BK32)),IF(AND(BE32&gt;BH32,BF32&lt;BI32,BK32&gt;=p_GapMin,BK32&lt;=p_GapMax),1,0),0)</f>
        <v>0</v>
      </c>
      <c r="BM32" s="42" t="n">
        <f aca="false">IF(AND(BL32=1,E32&gt;BI32),1,0)</f>
        <v>0</v>
      </c>
      <c r="BN32" s="42" t="n">
        <f aca="false">IF(BL32=1,IF(BE32&gt;=BH32*0.5,1,0),0)</f>
        <v>0</v>
      </c>
      <c r="BO32" s="42" t="n">
        <f aca="true">IF(V32&gt;MIN(OFFSET(V32,-MIN(p_FiLb-1,ROW()-5),0,MIN(p_FiLb-1,ROW()-5),1)),1,0)</f>
        <v>1</v>
      </c>
      <c r="BP32" s="44" t="n">
        <f aca="true">IF(COUNTIF(OFFSET(V32,1-MIN(100,ROW()-4),0,MIN(100,ROW()-4),1),"&lt;0")&gt;=5,AVERAGEIF(OFFSET(V32,1-MIN(100,ROW()-4),0,MIN(100,ROW()-4),1),"&lt;0"),"")</f>
        <v>-462137.825725669</v>
      </c>
      <c r="BQ32" s="42" t="n">
        <f aca="false">IF(ISNUMBER(BP32),IF(AND(V32&lt;5*BP32,V32&gt;V31,E32&lt;AJ32),1,0),0)</f>
        <v>0</v>
      </c>
      <c r="BR32" s="44" t="n">
        <f aca="true">AVERAGE(OFFSET(F32,1-MIN(5,ROW()-4),0,MIN(5,ROW()-4),1))</f>
        <v>4162880</v>
      </c>
      <c r="BS32" s="42" t="n">
        <f aca="false">IFERROR(IF(MATCH(G32,周线!$A$5:$A$84,0)&lt;=1,"",INDEX(周线!$R$5:$R$84,MATCH(G32,周线!$A$5:$A$84,0)-1)),"")</f>
        <v>1</v>
      </c>
      <c r="BT32" s="42" t="n">
        <f aca="false">IFERROR(IF(MATCH(G32,周线!$A$5:$A$84,0)&lt;=1,"",INDEX(周线!$S$5:$S$84,MATCH(G32,周线!$A$5:$A$84,0)-1)),"")</f>
        <v>1</v>
      </c>
      <c r="BU32" s="42" t="n">
        <f aca="false">IFERROR(IF(MATCH(G32,周线!$A$5:$A$84,0)&lt;=1,"",INDEX(周线!$U$5:$U$84,MATCH(G32,周线!$A$5:$A$84,0)-1)),"")</f>
        <v>1</v>
      </c>
      <c r="BV32" s="42" t="n">
        <f aca="false">IF(AND(BS32=1,S32&lt;&gt;-1,V32&lt;0,BO32=1,E32&lt;=H32,E32&gt;=AJ32),1,0)</f>
        <v>0</v>
      </c>
      <c r="BW32" s="42" t="n">
        <f aca="false">BL32</f>
        <v>0</v>
      </c>
      <c r="BX32" s="42" t="n">
        <f aca="false">BQ32</f>
        <v>0</v>
      </c>
      <c r="BY32" s="42" t="n">
        <f aca="false">IF(BS32=1,10,0)+IF(BU32=1,5,IF(BU32=-1,0,3))+IF(BT32=1,5,0)+IF(AND(AE32&gt;AF32,AH32&gt;AH31),5,0)</f>
        <v>25</v>
      </c>
      <c r="BZ32" s="42" t="n">
        <f aca="false">IF(AND(E32&lt;=H32,E32&gt;=I32),10,IF(AND(E32&gt;=AJ32,E32&lt;I32),6,0))+IF(AND(V32&lt;0,BO32=1),8,0)+IF(AT32&lt;30,7,IF(AT32&lt;50,3,0))</f>
        <v>0</v>
      </c>
      <c r="CA32" s="42" t="n">
        <f aca="false">IF(AND(BV32=1,BW32=1),25,IF(BW32=1,22,IF(BV32=1,15,IF(BX32=1,12,0))))</f>
        <v>0</v>
      </c>
      <c r="CB32" s="42" t="n">
        <f aca="false">IF(W32&gt;0,6,0)+IF(F32&lt;BR32,4,0)</f>
        <v>10</v>
      </c>
      <c r="CC32" s="42" t="n">
        <f aca="false">IF(BC32&gt;=3,15,IF(BC32&gt;=p_RRmin,10,IF(BC32&gt;=1.5,4,0)))</f>
        <v>0</v>
      </c>
      <c r="CD32" s="42" t="n">
        <f aca="false">BY32+BZ32+CA32+CB32+CC32</f>
        <v>35</v>
      </c>
      <c r="CE32" s="42" t="n">
        <f aca="false">IF(AND(BS32&lt;&gt;1,BW32+BX32=0),1,0)</f>
        <v>0</v>
      </c>
      <c r="CF32" s="42" t="n">
        <f aca="false">IF(BU32=-1,1,0)</f>
        <v>0</v>
      </c>
      <c r="CG32" s="42" t="n">
        <f aca="false">IF(S32=-1,1,0)</f>
        <v>0</v>
      </c>
      <c r="CH32" s="42" t="n">
        <f aca="false">IF(BV32+BW32+BX32=0,1,0)</f>
        <v>1</v>
      </c>
      <c r="CI32" s="42" t="n">
        <f aca="false">IF(BC32&lt;p_RRmin,1,0)</f>
        <v>1</v>
      </c>
      <c r="CJ32" s="46" t="str">
        <f aca="false">IF(SUM(CE32:CI32)=0,IF(CD32&gt;=p_GradeA,"A",IF(CD32&gt;=p_GradeB,"B","C")),IF(AND(CI32=1,SUM(CE32:CH32)=0,CD32&gt;=p_GradeB),"B","C"))</f>
        <v>C</v>
      </c>
    </row>
    <row r="33" customFormat="false" ht="15" hidden="false" customHeight="false" outlineLevel="0" collapsed="false">
      <c r="A33" s="36" t="n">
        <v>45699</v>
      </c>
      <c r="B33" s="37" t="n">
        <v>23.95</v>
      </c>
      <c r="C33" s="37" t="n">
        <v>24.02</v>
      </c>
      <c r="D33" s="37" t="n">
        <v>23.52</v>
      </c>
      <c r="E33" s="37" t="n">
        <v>23.59</v>
      </c>
      <c r="F33" s="38" t="n">
        <v>4785200</v>
      </c>
      <c r="G33" s="39" t="n">
        <f aca="false">A33-WEEKDAY(A33,3)</f>
        <v>45698</v>
      </c>
      <c r="H33" s="40" t="n">
        <f aca="false">2/(p_EmaF+1)*E33+(1-2/(p_EmaF+1))*H32</f>
        <v>22.605377859033</v>
      </c>
      <c r="I33" s="40" t="n">
        <f aca="false">2/(p_EmaS+1)*E33+(1-2/(p_EmaS+1))*I32</f>
        <v>21.7644471258845</v>
      </c>
      <c r="J33" s="41" t="n">
        <f aca="false">2/(p_MacdF+1)*E33+(1-2/(p_MacdF+1))*J32</f>
        <v>22.6936103910282</v>
      </c>
      <c r="K33" s="41" t="n">
        <f aca="false">2/(p_MacdS+1)*E33+(1-2/(p_MacdS+1))*K32</f>
        <v>21.7644471258845</v>
      </c>
      <c r="L33" s="41" t="n">
        <f aca="false">J33-K33</f>
        <v>0.929163265143664</v>
      </c>
      <c r="M33" s="41" t="n">
        <f aca="false">2/(p_MacdSig+1)*L33+(1-2/(p_MacdSig+1))*M32</f>
        <v>0.740102378913637</v>
      </c>
      <c r="N33" s="41" t="n">
        <f aca="false">L33-M33</f>
        <v>0.189060886230027</v>
      </c>
      <c r="O33" s="42" t="n">
        <f aca="false">IF(H33&gt;H32,1,0)</f>
        <v>1</v>
      </c>
      <c r="P33" s="42" t="n">
        <f aca="false">IF(H33&lt;H32,1,0)</f>
        <v>0</v>
      </c>
      <c r="Q33" s="42" t="n">
        <f aca="false">IF(N33&gt;N32,1,0)</f>
        <v>0</v>
      </c>
      <c r="R33" s="42" t="n">
        <f aca="false">IF(N33&lt;N32,1,0)</f>
        <v>1</v>
      </c>
      <c r="S33" s="42" t="n">
        <f aca="false">IF(AND(O33=1,Q33=1),1,IF(AND(P33=1,R33=1),-1,0))</f>
        <v>0</v>
      </c>
      <c r="T33" s="43" t="str">
        <f aca="false">IF(S33=1,"绿",IF(S33=-1,"红","蓝"))</f>
        <v>蓝</v>
      </c>
      <c r="U33" s="44" t="n">
        <f aca="false">F33*(E33-E32)</f>
        <v>-1292004</v>
      </c>
      <c r="V33" s="44" t="n">
        <f aca="false">2/(p_FiS+1)*U33+(1-2/(p_FiS+1))*V32</f>
        <v>-421757.330720282</v>
      </c>
      <c r="W33" s="44" t="n">
        <f aca="false">2/(p_FiL+1)*U33+(1-2/(p_FiL+1))*W32</f>
        <v>743673.612457659</v>
      </c>
      <c r="X33" s="41" t="n">
        <f aca="false">MAX(C33-D33,ABS(C33-E32),ABS(D33-E32))</f>
        <v>0.5</v>
      </c>
      <c r="Y33" s="41" t="n">
        <f aca="true">AVERAGE(OFFSET(X33,1-MIN(p_AtrN,ROW()-4),0,MIN(p_AtrN,ROW()-4),1))</f>
        <v>0.546923076923077</v>
      </c>
      <c r="Z33" s="41" t="n">
        <f aca="false">IF(AND(C33-C32&gt;D32-D33,C33-C32&gt;0),C33-C32,0)</f>
        <v>0.0899999999999999</v>
      </c>
      <c r="AA33" s="41" t="n">
        <f aca="false">IF(AND(D32-D33&gt;C33-C32,D32-D33&gt;0),D32-D33,0)</f>
        <v>0</v>
      </c>
      <c r="AB33" s="41" t="n">
        <f aca="false">2/(p_AdxN+1)*X33+(1-2/(p_AdxN+1))*AB32</f>
        <v>0.508453972659213</v>
      </c>
      <c r="AC33" s="41" t="n">
        <f aca="false">2/(p_AdxN+1)*Z33+(1-2/(p_AdxN+1))*AC32</f>
        <v>0.224071115028326</v>
      </c>
      <c r="AD33" s="41" t="n">
        <f aca="false">2/(p_AdxN+1)*AA33+(1-2/(p_AdxN+1))*AD32</f>
        <v>0.0123935494271192</v>
      </c>
      <c r="AE33" s="45" t="n">
        <f aca="false">100*AC33/AB33</f>
        <v>44.0691049882911</v>
      </c>
      <c r="AF33" s="45" t="n">
        <f aca="false">100*AD33/AB33</f>
        <v>2.43749682243624</v>
      </c>
      <c r="AG33" s="45" t="n">
        <f aca="false">IFERROR(100*ABS(AE33-AF33)/(AE33+AF33),0)</f>
        <v>89.5176309275127</v>
      </c>
      <c r="AH33" s="45" t="n">
        <f aca="false">2/(p_AdxN+1)*AG33+(1-2/(p_AdxN+1))*AH32</f>
        <v>77.4088595633764</v>
      </c>
      <c r="AI33" s="40" t="n">
        <f aca="false">I33*(1+p_ChPct)</f>
        <v>23.0703139534376</v>
      </c>
      <c r="AJ33" s="40" t="n">
        <f aca="false">I33*(1-p_ChPct)</f>
        <v>20.4585802983315</v>
      </c>
      <c r="AK33" s="40" t="n">
        <f aca="false">I33+1*Y33</f>
        <v>22.3113702028076</v>
      </c>
      <c r="AL33" s="40" t="n">
        <f aca="false">I33+2*Y33</f>
        <v>22.8582932797307</v>
      </c>
      <c r="AM33" s="40" t="n">
        <f aca="false">I33+3*Y33</f>
        <v>23.4052163566538</v>
      </c>
      <c r="AN33" s="40" t="n">
        <f aca="false">I33-1*Y33</f>
        <v>21.2175240489615</v>
      </c>
      <c r="AO33" s="40" t="n">
        <f aca="false">I33-2*Y33</f>
        <v>20.6706009720384</v>
      </c>
      <c r="AP33" s="40" t="n">
        <f aca="false">I33-3*Y33</f>
        <v>20.1236778951153</v>
      </c>
      <c r="AQ33" s="40" t="n">
        <f aca="true">MAX(OFFSET(C33,1-MIN(p_StochN,ROW()-4),0,MIN(p_StochN,ROW()-4),1))</f>
        <v>24.02</v>
      </c>
      <c r="AR33" s="40" t="n">
        <f aca="true">MIN(OFFSET(D33,1-MIN(p_StochN,ROW()-4),0,MIN(p_StochN,ROW()-4),1))</f>
        <v>22.34</v>
      </c>
      <c r="AS33" s="45" t="n">
        <f aca="false">IF(AQ33=AR33,50,100*(E33-AR33)/(AQ33-AR33))</f>
        <v>74.4047619047619</v>
      </c>
      <c r="AT33" s="45" t="n">
        <f aca="true">AVERAGE(OFFSET(AS33,1-MIN(p_StochSm,ROW()-4),0,MIN(p_StochSm,ROW()-4),1))</f>
        <v>86.8138504008069</v>
      </c>
      <c r="AU33" s="45" t="n">
        <f aca="true">AVERAGE(OFFSET(AT33,1-MIN(p_StochSm,ROW()-4),0,MIN(p_StochSm,ROW()-4),1))</f>
        <v>88.7776122887576</v>
      </c>
      <c r="AV33" s="41" t="n">
        <f aca="false">MAX(0,H33-D33)</f>
        <v>0</v>
      </c>
      <c r="AW33" s="41" t="n">
        <f aca="true">IF(COUNTIF(OFFSET(AV33,1-MIN(p_PenLb,ROW()-4),0,MIN(p_PenLb,ROW()-4),1),"&gt;0")&gt;0,SUM(OFFSET(AV33,1-MIN(p_PenLb,ROW()-4),0,MIN(p_PenLb,ROW()-4),1))/COUNTIF(OFFSET(AV33,1-MIN(p_PenLb,ROW()-4),0,MIN(p_PenLb,ROW()-4),1),"&gt;0"),0.5*Y33)</f>
        <v>0.202033543310049</v>
      </c>
      <c r="AX33" s="41" t="n">
        <f aca="false">2*H33-H32</f>
        <v>22.7694815491942</v>
      </c>
      <c r="AY33" s="40" t="n">
        <f aca="false">ROUND(MAX(AX33-AW33,0.01),2)</f>
        <v>22.57</v>
      </c>
      <c r="AZ33" s="40" t="n">
        <f aca="true">IF(MIN(p_StopLb,ROW()-4)&lt;2,D33,SMALL(OFFSET(D33,1-MIN(p_StopLb,ROW()-4),0,MIN(p_StopLb,ROW()-4),1),2))</f>
        <v>22.05</v>
      </c>
      <c r="BA33" s="40" t="n">
        <f aca="false">IF(MOD(ROUND(ROUNDDOWN(MIN(AZ33-0.01,AY33-p_StopAtr*Y33),2)*100,0),50)=0,ROUNDDOWN(MIN(AZ33-0.01,AY33-p_StopAtr*Y33),2)-0.01,ROUNDDOWN(MIN(AZ33-0.01,AY33-p_StopAtr*Y33),2))</f>
        <v>22.02</v>
      </c>
      <c r="BB33" s="40" t="n">
        <f aca="false">ROUND(AI33,2)</f>
        <v>23.07</v>
      </c>
      <c r="BC33" s="40" t="n">
        <f aca="false">IF(AY33-BA33&gt;0,(BB33-AY33)/(AY33-BA33),0)</f>
        <v>0.909090909090908</v>
      </c>
      <c r="BD33" s="42" t="n">
        <f aca="false">IF(N33&lt;0,1,0)</f>
        <v>0</v>
      </c>
      <c r="BE33" s="41" t="n">
        <f aca="false">IF(AND(BD33=1,BD32=0),N33,IF(BD33=1,MIN(BE32,N33),BE32))</f>
        <v>-0.0234128043712021</v>
      </c>
      <c r="BF33" s="40" t="n">
        <f aca="false">IF(AND(BD33=1,BD32=0),D33,IF(BD33=1,MIN(BF32,D33),BF32))</f>
        <v>19.42</v>
      </c>
      <c r="BG33" s="42" t="n">
        <f aca="false">IF(AND(BD33=1,BD32=0),ROW(),IF(BD33=1,IF(N33&lt;BE32,ROW(),BG32),BG32))</f>
        <v>10</v>
      </c>
      <c r="BH33" s="41" t="str">
        <f aca="false">IF(AND(BD33=1,BD32=0),BE32,BH32)</f>
        <v/>
      </c>
      <c r="BI33" s="40" t="str">
        <f aca="false">IF(AND(BD33=1,BD32=0),BF32,BI32)</f>
        <v/>
      </c>
      <c r="BJ33" s="42" t="str">
        <f aca="false">IF(AND(BD33=1,BD32=0),BG32,BJ32)</f>
        <v/>
      </c>
      <c r="BK33" s="42" t="str">
        <f aca="false">IF(AND(ISNUMBER(BG33),ISNUMBER(BJ33)),BG33-BJ33,"")</f>
        <v/>
      </c>
      <c r="BL33" s="42" t="n">
        <f aca="false">IF(AND(BD33=1,N33&gt;N32,ISNUMBER(BH33),ISNUMBER(BK33)),IF(AND(BE33&gt;BH33,BF33&lt;BI33,BK33&gt;=p_GapMin,BK33&lt;=p_GapMax),1,0),0)</f>
        <v>0</v>
      </c>
      <c r="BM33" s="42" t="n">
        <f aca="false">IF(AND(BL33=1,E33&gt;BI33),1,0)</f>
        <v>0</v>
      </c>
      <c r="BN33" s="42" t="n">
        <f aca="false">IF(BL33=1,IF(BE33&gt;=BH33*0.5,1,0),0)</f>
        <v>0</v>
      </c>
      <c r="BO33" s="42" t="n">
        <f aca="true">IF(V33&gt;MIN(OFFSET(V33,-MIN(p_FiLb-1,ROW()-5),0,MIN(p_FiLb-1,ROW()-5),1)),1,0)</f>
        <v>1</v>
      </c>
      <c r="BP33" s="44" t="n">
        <f aca="true">IF(COUNTIF(OFFSET(V33,1-MIN(100,ROW()-4),0,MIN(100,ROW()-4),1),"&lt;0")&gt;=5,AVERAGEIF(OFFSET(V33,1-MIN(100,ROW()-4),0,MIN(100,ROW()-4),1),"&lt;0"),"")</f>
        <v>-457090.263849995</v>
      </c>
      <c r="BQ33" s="42" t="n">
        <f aca="false">IF(ISNUMBER(BP33),IF(AND(V33&lt;5*BP33,V33&gt;V32,E33&lt;AJ33),1,0),0)</f>
        <v>0</v>
      </c>
      <c r="BR33" s="44" t="n">
        <f aca="true">AVERAGE(OFFSET(F33,1-MIN(5,ROW()-4),0,MIN(5,ROW()-4),1))</f>
        <v>4388600</v>
      </c>
      <c r="BS33" s="42" t="n">
        <f aca="false">IFERROR(IF(MATCH(G33,周线!$A$5:$A$84,0)&lt;=1,"",INDEX(周线!$R$5:$R$84,MATCH(G33,周线!$A$5:$A$84,0)-1)),"")</f>
        <v>1</v>
      </c>
      <c r="BT33" s="42" t="n">
        <f aca="false">IFERROR(IF(MATCH(G33,周线!$A$5:$A$84,0)&lt;=1,"",INDEX(周线!$S$5:$S$84,MATCH(G33,周线!$A$5:$A$84,0)-1)),"")</f>
        <v>1</v>
      </c>
      <c r="BU33" s="42" t="n">
        <f aca="false">IFERROR(IF(MATCH(G33,周线!$A$5:$A$84,0)&lt;=1,"",INDEX(周线!$U$5:$U$84,MATCH(G33,周线!$A$5:$A$84,0)-1)),"")</f>
        <v>1</v>
      </c>
      <c r="BV33" s="42" t="n">
        <f aca="false">IF(AND(BS33=1,S33&lt;&gt;-1,V33&lt;0,BO33=1,E33&lt;=H33,E33&gt;=AJ33),1,0)</f>
        <v>0</v>
      </c>
      <c r="BW33" s="42" t="n">
        <f aca="false">BL33</f>
        <v>0</v>
      </c>
      <c r="BX33" s="42" t="n">
        <f aca="false">BQ33</f>
        <v>0</v>
      </c>
      <c r="BY33" s="42" t="n">
        <f aca="false">IF(BS33=1,10,0)+IF(BU33=1,5,IF(BU33=-1,0,3))+IF(BT33=1,5,0)+IF(AND(AE33&gt;AF33,AH33&gt;AH32),5,0)</f>
        <v>25</v>
      </c>
      <c r="BZ33" s="42" t="n">
        <f aca="false">IF(AND(E33&lt;=H33,E33&gt;=I33),10,IF(AND(E33&gt;=AJ33,E33&lt;I33),6,0))+IF(AND(V33&lt;0,BO33=1),8,0)+IF(AT33&lt;30,7,IF(AT33&lt;50,3,0))</f>
        <v>8</v>
      </c>
      <c r="CA33" s="42" t="n">
        <f aca="false">IF(AND(BV33=1,BW33=1),25,IF(BW33=1,22,IF(BV33=1,15,IF(BX33=1,12,0))))</f>
        <v>0</v>
      </c>
      <c r="CB33" s="42" t="n">
        <f aca="false">IF(W33&gt;0,6,0)+IF(F33&lt;BR33,4,0)</f>
        <v>6</v>
      </c>
      <c r="CC33" s="42" t="n">
        <f aca="false">IF(BC33&gt;=3,15,IF(BC33&gt;=p_RRmin,10,IF(BC33&gt;=1.5,4,0)))</f>
        <v>0</v>
      </c>
      <c r="CD33" s="42" t="n">
        <f aca="false">BY33+BZ33+CA33+CB33+CC33</f>
        <v>39</v>
      </c>
      <c r="CE33" s="42" t="n">
        <f aca="false">IF(AND(BS33&lt;&gt;1,BW33+BX33=0),1,0)</f>
        <v>0</v>
      </c>
      <c r="CF33" s="42" t="n">
        <f aca="false">IF(BU33=-1,1,0)</f>
        <v>0</v>
      </c>
      <c r="CG33" s="42" t="n">
        <f aca="false">IF(S33=-1,1,0)</f>
        <v>0</v>
      </c>
      <c r="CH33" s="42" t="n">
        <f aca="false">IF(BV33+BW33+BX33=0,1,0)</f>
        <v>1</v>
      </c>
      <c r="CI33" s="42" t="n">
        <f aca="false">IF(BC33&lt;p_RRmin,1,0)</f>
        <v>1</v>
      </c>
      <c r="CJ33" s="46" t="str">
        <f aca="false">IF(SUM(CE33:CI33)=0,IF(CD33&gt;=p_GradeA,"A",IF(CD33&gt;=p_GradeB,"B","C")),IF(AND(CI33=1,SUM(CE33:CH33)=0,CD33&gt;=p_GradeB),"B","C"))</f>
        <v>C</v>
      </c>
    </row>
    <row r="34" customFormat="false" ht="15" hidden="false" customHeight="false" outlineLevel="0" collapsed="false">
      <c r="A34" s="36" t="n">
        <v>45700</v>
      </c>
      <c r="B34" s="37" t="n">
        <v>23.49</v>
      </c>
      <c r="C34" s="37" t="n">
        <v>23.62</v>
      </c>
      <c r="D34" s="37" t="n">
        <v>23.33</v>
      </c>
      <c r="E34" s="37" t="n">
        <v>23.48</v>
      </c>
      <c r="F34" s="38" t="n">
        <v>3093800</v>
      </c>
      <c r="G34" s="39" t="n">
        <f aca="false">A34-WEEKDAY(A34,3)</f>
        <v>45698</v>
      </c>
      <c r="H34" s="40" t="n">
        <f aca="false">2/(p_EmaF+1)*E34+(1-2/(p_EmaF+1))*H33</f>
        <v>22.7303238791712</v>
      </c>
      <c r="I34" s="40" t="n">
        <f aca="false">2/(p_EmaS+1)*E34+(1-2/(p_EmaS+1))*I33</f>
        <v>21.8915251165598</v>
      </c>
      <c r="J34" s="41" t="n">
        <f aca="false">2/(p_MacdF+1)*E34+(1-2/(p_MacdF+1))*J33</f>
        <v>22.8145934077931</v>
      </c>
      <c r="K34" s="41" t="n">
        <f aca="false">2/(p_MacdS+1)*E34+(1-2/(p_MacdS+1))*K33</f>
        <v>21.8915251165598</v>
      </c>
      <c r="L34" s="41" t="n">
        <f aca="false">J34-K34</f>
        <v>0.923068291233335</v>
      </c>
      <c r="M34" s="41" t="n">
        <f aca="false">2/(p_MacdSig+1)*L34+(1-2/(p_MacdSig+1))*M33</f>
        <v>0.776695561377577</v>
      </c>
      <c r="N34" s="41" t="n">
        <f aca="false">L34-M34</f>
        <v>0.146372729855758</v>
      </c>
      <c r="O34" s="42" t="n">
        <f aca="false">IF(H34&gt;H33,1,0)</f>
        <v>1</v>
      </c>
      <c r="P34" s="42" t="n">
        <f aca="false">IF(H34&lt;H33,1,0)</f>
        <v>0</v>
      </c>
      <c r="Q34" s="42" t="n">
        <f aca="false">IF(N34&gt;N33,1,0)</f>
        <v>0</v>
      </c>
      <c r="R34" s="42" t="n">
        <f aca="false">IF(N34&lt;N33,1,0)</f>
        <v>1</v>
      </c>
      <c r="S34" s="42" t="n">
        <f aca="false">IF(AND(O34=1,Q34=1),1,IF(AND(P34=1,R34=1),-1,0))</f>
        <v>0</v>
      </c>
      <c r="T34" s="43" t="str">
        <f aca="false">IF(S34=1,"绿",IF(S34=-1,"红","蓝"))</f>
        <v>蓝</v>
      </c>
      <c r="U34" s="44" t="n">
        <f aca="false">F34*(E34-E33)</f>
        <v>-340317.999999998</v>
      </c>
      <c r="V34" s="44" t="n">
        <f aca="false">2/(p_FiS+1)*U34+(1-2/(p_FiS+1))*V33</f>
        <v>-367464.443573426</v>
      </c>
      <c r="W34" s="44" t="n">
        <f aca="false">2/(p_FiL+1)*U34+(1-2/(p_FiL+1))*W33</f>
        <v>588817.667820851</v>
      </c>
      <c r="X34" s="41" t="n">
        <f aca="false">MAX(C34-D34,ABS(C34-E33),ABS(D34-E33))</f>
        <v>0.290000000000003</v>
      </c>
      <c r="Y34" s="41" t="n">
        <f aca="true">AVERAGE(OFFSET(X34,1-MIN(p_AtrN,ROW()-4),0,MIN(p_AtrN,ROW()-4),1))</f>
        <v>0.542307692307693</v>
      </c>
      <c r="Z34" s="41" t="n">
        <f aca="false">IF(AND(C34-C33&gt;D33-D34,C34-C33&gt;0),C34-C33,0)</f>
        <v>0</v>
      </c>
      <c r="AA34" s="41" t="n">
        <f aca="false">IF(AND(D33-D34&gt;C34-C33,D33-D34&gt;0),D33-D34,0)</f>
        <v>0.190000000000001</v>
      </c>
      <c r="AB34" s="41" t="n">
        <f aca="false">2/(p_AdxN+1)*X34+(1-2/(p_AdxN+1))*AB33</f>
        <v>0.477246262279326</v>
      </c>
      <c r="AC34" s="41" t="n">
        <f aca="false">2/(p_AdxN+1)*Z34+(1-2/(p_AdxN+1))*AC33</f>
        <v>0.192060955738565</v>
      </c>
      <c r="AD34" s="41" t="n">
        <f aca="false">2/(p_AdxN+1)*AA34+(1-2/(p_AdxN+1))*AD33</f>
        <v>0.0377658995089595</v>
      </c>
      <c r="AE34" s="45" t="n">
        <f aca="false">100*AC34/AB34</f>
        <v>40.2435746319485</v>
      </c>
      <c r="AF34" s="45" t="n">
        <f aca="false">100*AD34/AB34</f>
        <v>7.91329393101786</v>
      </c>
      <c r="AG34" s="45" t="n">
        <f aca="false">IFERROR(100*ABS(AE34-AF34)/(AE34+AF34),0)</f>
        <v>67.1353467650372</v>
      </c>
      <c r="AH34" s="45" t="n">
        <f aca="false">2/(p_AdxN+1)*AG34+(1-2/(p_AdxN+1))*AH33</f>
        <v>75.9412148778994</v>
      </c>
      <c r="AI34" s="40" t="n">
        <f aca="false">I34*(1+p_ChPct)</f>
        <v>23.2050166235533</v>
      </c>
      <c r="AJ34" s="40" t="n">
        <f aca="false">I34*(1-p_ChPct)</f>
        <v>20.5780336095662</v>
      </c>
      <c r="AK34" s="40" t="n">
        <f aca="false">I34+1*Y34</f>
        <v>22.4338328088674</v>
      </c>
      <c r="AL34" s="40" t="n">
        <f aca="false">I34+2*Y34</f>
        <v>22.9761405011751</v>
      </c>
      <c r="AM34" s="40" t="n">
        <f aca="false">I34+3*Y34</f>
        <v>23.5184481934828</v>
      </c>
      <c r="AN34" s="40" t="n">
        <f aca="false">I34-1*Y34</f>
        <v>21.3492174242521</v>
      </c>
      <c r="AO34" s="40" t="n">
        <f aca="false">I34-2*Y34</f>
        <v>20.8069097319444</v>
      </c>
      <c r="AP34" s="40" t="n">
        <f aca="false">I34-3*Y34</f>
        <v>20.2646020396367</v>
      </c>
      <c r="AQ34" s="40" t="n">
        <f aca="true">MAX(OFFSET(C34,1-MIN(p_StochN,ROW()-4),0,MIN(p_StochN,ROW()-4),1))</f>
        <v>24.02</v>
      </c>
      <c r="AR34" s="40" t="n">
        <f aca="true">MIN(OFFSET(D34,1-MIN(p_StochN,ROW()-4),0,MIN(p_StochN,ROW()-4),1))</f>
        <v>22.83</v>
      </c>
      <c r="AS34" s="45" t="n">
        <f aca="false">IF(AQ34=AR34,50,100*(E34-AR34)/(AQ34-AR34))</f>
        <v>54.6218487394959</v>
      </c>
      <c r="AT34" s="45" t="n">
        <f aca="true">AVERAGE(OFFSET(AS34,1-MIN(p_StochSm,ROW()-4),0,MIN(p_StochSm,ROW()-4),1))</f>
        <v>74.8929281857671</v>
      </c>
      <c r="AU34" s="45" t="n">
        <f aca="true">AVERAGE(OFFSET(AT34,1-MIN(p_StochSm,ROW()-4),0,MIN(p_StochSm,ROW()-4),1))</f>
        <v>84.1653400343533</v>
      </c>
      <c r="AV34" s="41" t="n">
        <f aca="false">MAX(0,H34-D34)</f>
        <v>0</v>
      </c>
      <c r="AW34" s="41" t="n">
        <f aca="true">IF(COUNTIF(OFFSET(AV34,1-MIN(p_PenLb,ROW()-4),0,MIN(p_PenLb,ROW()-4),1),"&gt;0")&gt;0,SUM(OFFSET(AV34,1-MIN(p_PenLb,ROW()-4),0,MIN(p_PenLb,ROW()-4),1))/COUNTIF(OFFSET(AV34,1-MIN(p_PenLb,ROW()-4),0,MIN(p_PenLb,ROW()-4),1),"&gt;0"),0.5*Y34)</f>
        <v>0.202033543310049</v>
      </c>
      <c r="AX34" s="41" t="n">
        <f aca="false">2*H34-H33</f>
        <v>22.8552698993093</v>
      </c>
      <c r="AY34" s="40" t="n">
        <f aca="false">ROUND(MAX(AX34-AW34,0.01),2)</f>
        <v>22.65</v>
      </c>
      <c r="AZ34" s="40" t="n">
        <f aca="true">IF(MIN(p_StopLb,ROW()-4)&lt;2,D34,SMALL(OFFSET(D34,1-MIN(p_StopLb,ROW()-4),0,MIN(p_StopLb,ROW()-4),1),2))</f>
        <v>22.08</v>
      </c>
      <c r="BA34" s="40" t="n">
        <f aca="false">IF(MOD(ROUND(ROUNDDOWN(MIN(AZ34-0.01,AY34-p_StopAtr*Y34),2)*100,0),50)=0,ROUNDDOWN(MIN(AZ34-0.01,AY34-p_StopAtr*Y34),2)-0.01,ROUNDDOWN(MIN(AZ34-0.01,AY34-p_StopAtr*Y34),2))</f>
        <v>22.07</v>
      </c>
      <c r="BB34" s="40" t="n">
        <f aca="false">ROUND(AI34,2)</f>
        <v>23.21</v>
      </c>
      <c r="BC34" s="40" t="n">
        <f aca="false">IF(AY34-BA34&gt;0,(BB34-AY34)/(AY34-BA34),0)</f>
        <v>0.965517241379317</v>
      </c>
      <c r="BD34" s="42" t="n">
        <f aca="false">IF(N34&lt;0,1,0)</f>
        <v>0</v>
      </c>
      <c r="BE34" s="41" t="n">
        <f aca="false">IF(AND(BD34=1,BD33=0),N34,IF(BD34=1,MIN(BE33,N34),BE33))</f>
        <v>-0.0234128043712021</v>
      </c>
      <c r="BF34" s="40" t="n">
        <f aca="false">IF(AND(BD34=1,BD33=0),D34,IF(BD34=1,MIN(BF33,D34),BF33))</f>
        <v>19.42</v>
      </c>
      <c r="BG34" s="42" t="n">
        <f aca="false">IF(AND(BD34=1,BD33=0),ROW(),IF(BD34=1,IF(N34&lt;BE33,ROW(),BG33),BG33))</f>
        <v>10</v>
      </c>
      <c r="BH34" s="41" t="str">
        <f aca="false">IF(AND(BD34=1,BD33=0),BE33,BH33)</f>
        <v/>
      </c>
      <c r="BI34" s="40" t="str">
        <f aca="false">IF(AND(BD34=1,BD33=0),BF33,BI33)</f>
        <v/>
      </c>
      <c r="BJ34" s="42" t="str">
        <f aca="false">IF(AND(BD34=1,BD33=0),BG33,BJ33)</f>
        <v/>
      </c>
      <c r="BK34" s="42" t="str">
        <f aca="false">IF(AND(ISNUMBER(BG34),ISNUMBER(BJ34)),BG34-BJ34,"")</f>
        <v/>
      </c>
      <c r="BL34" s="42" t="n">
        <f aca="false">IF(AND(BD34=1,N34&gt;N33,ISNUMBER(BH34),ISNUMBER(BK34)),IF(AND(BE34&gt;BH34,BF34&lt;BI34,BK34&gt;=p_GapMin,BK34&lt;=p_GapMax),1,0),0)</f>
        <v>0</v>
      </c>
      <c r="BM34" s="42" t="n">
        <f aca="false">IF(AND(BL34=1,E34&gt;BI34),1,0)</f>
        <v>0</v>
      </c>
      <c r="BN34" s="42" t="n">
        <f aca="false">IF(BL34=1,IF(BE34&gt;=BH34*0.5,1,0),0)</f>
        <v>0</v>
      </c>
      <c r="BO34" s="42" t="n">
        <f aca="true">IF(V34&gt;MIN(OFFSET(V34,-MIN(p_FiLb-1,ROW()-5),0,MIN(p_FiLb-1,ROW()-5),1)),1,0)</f>
        <v>1</v>
      </c>
      <c r="BP34" s="44" t="n">
        <f aca="true">IF(COUNTIF(OFFSET(V34,1-MIN(100,ROW()-4),0,MIN(100,ROW()-4),1),"&lt;0")&gt;=5,AVERAGEIF(OFFSET(V34,1-MIN(100,ROW()-4),0,MIN(100,ROW()-4),1),"&lt;0"),"")</f>
        <v>-447131.839374821</v>
      </c>
      <c r="BQ34" s="42" t="n">
        <f aca="false">IF(ISNUMBER(BP34),IF(AND(V34&lt;5*BP34,V34&gt;V33,E34&lt;AJ34),1,0),0)</f>
        <v>0</v>
      </c>
      <c r="BR34" s="44" t="n">
        <f aca="true">AVERAGE(OFFSET(F34,1-MIN(5,ROW()-4),0,MIN(5,ROW()-4),1))</f>
        <v>3693460</v>
      </c>
      <c r="BS34" s="42" t="n">
        <f aca="false">IFERROR(IF(MATCH(G34,周线!$A$5:$A$84,0)&lt;=1,"",INDEX(周线!$R$5:$R$84,MATCH(G34,周线!$A$5:$A$84,0)-1)),"")</f>
        <v>1</v>
      </c>
      <c r="BT34" s="42" t="n">
        <f aca="false">IFERROR(IF(MATCH(G34,周线!$A$5:$A$84,0)&lt;=1,"",INDEX(周线!$S$5:$S$84,MATCH(G34,周线!$A$5:$A$84,0)-1)),"")</f>
        <v>1</v>
      </c>
      <c r="BU34" s="42" t="n">
        <f aca="false">IFERROR(IF(MATCH(G34,周线!$A$5:$A$84,0)&lt;=1,"",INDEX(周线!$U$5:$U$84,MATCH(G34,周线!$A$5:$A$84,0)-1)),"")</f>
        <v>1</v>
      </c>
      <c r="BV34" s="42" t="n">
        <f aca="false">IF(AND(BS34=1,S34&lt;&gt;-1,V34&lt;0,BO34=1,E34&lt;=H34,E34&gt;=AJ34),1,0)</f>
        <v>0</v>
      </c>
      <c r="BW34" s="42" t="n">
        <f aca="false">BL34</f>
        <v>0</v>
      </c>
      <c r="BX34" s="42" t="n">
        <f aca="false">BQ34</f>
        <v>0</v>
      </c>
      <c r="BY34" s="42" t="n">
        <f aca="false">IF(BS34=1,10,0)+IF(BU34=1,5,IF(BU34=-1,0,3))+IF(BT34=1,5,0)+IF(AND(AE34&gt;AF34,AH34&gt;AH33),5,0)</f>
        <v>20</v>
      </c>
      <c r="BZ34" s="42" t="n">
        <f aca="false">IF(AND(E34&lt;=H34,E34&gt;=I34),10,IF(AND(E34&gt;=AJ34,E34&lt;I34),6,0))+IF(AND(V34&lt;0,BO34=1),8,0)+IF(AT34&lt;30,7,IF(AT34&lt;50,3,0))</f>
        <v>8</v>
      </c>
      <c r="CA34" s="42" t="n">
        <f aca="false">IF(AND(BV34=1,BW34=1),25,IF(BW34=1,22,IF(BV34=1,15,IF(BX34=1,12,0))))</f>
        <v>0</v>
      </c>
      <c r="CB34" s="42" t="n">
        <f aca="false">IF(W34&gt;0,6,0)+IF(F34&lt;BR34,4,0)</f>
        <v>10</v>
      </c>
      <c r="CC34" s="42" t="n">
        <f aca="false">IF(BC34&gt;=3,15,IF(BC34&gt;=p_RRmin,10,IF(BC34&gt;=1.5,4,0)))</f>
        <v>0</v>
      </c>
      <c r="CD34" s="42" t="n">
        <f aca="false">BY34+BZ34+CA34+CB34+CC34</f>
        <v>38</v>
      </c>
      <c r="CE34" s="42" t="n">
        <f aca="false">IF(AND(BS34&lt;&gt;1,BW34+BX34=0),1,0)</f>
        <v>0</v>
      </c>
      <c r="CF34" s="42" t="n">
        <f aca="false">IF(BU34=-1,1,0)</f>
        <v>0</v>
      </c>
      <c r="CG34" s="42" t="n">
        <f aca="false">IF(S34=-1,1,0)</f>
        <v>0</v>
      </c>
      <c r="CH34" s="42" t="n">
        <f aca="false">IF(BV34+BW34+BX34=0,1,0)</f>
        <v>1</v>
      </c>
      <c r="CI34" s="42" t="n">
        <f aca="false">IF(BC34&lt;p_RRmin,1,0)</f>
        <v>1</v>
      </c>
      <c r="CJ34" s="46" t="str">
        <f aca="false">IF(SUM(CE34:CI34)=0,IF(CD34&gt;=p_GradeA,"A",IF(CD34&gt;=p_GradeB,"B","C")),IF(AND(CI34=1,SUM(CE34:CH34)=0,CD34&gt;=p_GradeB),"B","C"))</f>
        <v>C</v>
      </c>
    </row>
    <row r="35" customFormat="false" ht="15" hidden="false" customHeight="false" outlineLevel="0" collapsed="false">
      <c r="A35" s="36" t="n">
        <v>45701</v>
      </c>
      <c r="B35" s="37" t="n">
        <v>23.43</v>
      </c>
      <c r="C35" s="37" t="n">
        <v>24.51</v>
      </c>
      <c r="D35" s="37" t="n">
        <v>23.37</v>
      </c>
      <c r="E35" s="37" t="n">
        <v>24.41</v>
      </c>
      <c r="F35" s="38" t="n">
        <v>6767500</v>
      </c>
      <c r="G35" s="39" t="n">
        <f aca="false">A35-WEEKDAY(A35,3)</f>
        <v>45698</v>
      </c>
      <c r="H35" s="40" t="n">
        <f aca="false">2/(p_EmaF+1)*E35+(1-2/(p_EmaF+1))*H34</f>
        <v>22.9702776107181</v>
      </c>
      <c r="I35" s="40" t="n">
        <f aca="false">2/(p_EmaS+1)*E35+(1-2/(p_EmaS+1))*I34</f>
        <v>22.0780788116294</v>
      </c>
      <c r="J35" s="41" t="n">
        <f aca="false">2/(p_MacdF+1)*E35+(1-2/(p_MacdF+1))*J34</f>
        <v>23.0600405758249</v>
      </c>
      <c r="K35" s="41" t="n">
        <f aca="false">2/(p_MacdS+1)*E35+(1-2/(p_MacdS+1))*K34</f>
        <v>22.0780788116294</v>
      </c>
      <c r="L35" s="41" t="n">
        <f aca="false">J35-K35</f>
        <v>0.981961764195518</v>
      </c>
      <c r="M35" s="41" t="n">
        <f aca="false">2/(p_MacdSig+1)*L35+(1-2/(p_MacdSig+1))*M34</f>
        <v>0.817748801941165</v>
      </c>
      <c r="N35" s="41" t="n">
        <f aca="false">L35-M35</f>
        <v>0.164212962254353</v>
      </c>
      <c r="O35" s="42" t="n">
        <f aca="false">IF(H35&gt;H34,1,0)</f>
        <v>1</v>
      </c>
      <c r="P35" s="42" t="n">
        <f aca="false">IF(H35&lt;H34,1,0)</f>
        <v>0</v>
      </c>
      <c r="Q35" s="42" t="n">
        <f aca="false">IF(N35&gt;N34,1,0)</f>
        <v>1</v>
      </c>
      <c r="R35" s="42" t="n">
        <f aca="false">IF(N35&lt;N34,1,0)</f>
        <v>0</v>
      </c>
      <c r="S35" s="42" t="n">
        <f aca="false">IF(AND(O35=1,Q35=1),1,IF(AND(P35=1,R35=1),-1,0))</f>
        <v>1</v>
      </c>
      <c r="T35" s="43" t="str">
        <f aca="false">IF(S35=1,"绿",IF(S35=-1,"红","蓝"))</f>
        <v>绿</v>
      </c>
      <c r="U35" s="44" t="n">
        <f aca="false">F35*(E35-E34)</f>
        <v>6293775</v>
      </c>
      <c r="V35" s="44" t="n">
        <f aca="false">2/(p_FiS+1)*U35+(1-2/(p_FiS+1))*V34</f>
        <v>4073361.85214219</v>
      </c>
      <c r="W35" s="44" t="n">
        <f aca="false">2/(p_FiL+1)*U35+(1-2/(p_FiL+1))*W34</f>
        <v>1403811.57241787</v>
      </c>
      <c r="X35" s="41" t="n">
        <f aca="false">MAX(C35-D35,ABS(C35-E34),ABS(D35-E34))</f>
        <v>1.14</v>
      </c>
      <c r="Y35" s="41" t="n">
        <f aca="true">AVERAGE(OFFSET(X35,1-MIN(p_AtrN,ROW()-4),0,MIN(p_AtrN,ROW()-4),1))</f>
        <v>0.540769230769231</v>
      </c>
      <c r="Z35" s="41" t="n">
        <f aca="false">IF(AND(C35-C34&gt;D34-D35,C35-C34&gt;0),C35-C34,0)</f>
        <v>0.890000000000001</v>
      </c>
      <c r="AA35" s="41" t="n">
        <f aca="false">IF(AND(D34-D35&gt;C35-C34,D34-D35&gt;0),D34-D35,0)</f>
        <v>0</v>
      </c>
      <c r="AB35" s="41" t="n">
        <f aca="false">2/(p_AdxN+1)*X35+(1-2/(p_AdxN+1))*AB34</f>
        <v>0.571925367667994</v>
      </c>
      <c r="AC35" s="41" t="n">
        <f aca="false">2/(p_AdxN+1)*Z35+(1-2/(p_AdxN+1))*AC34</f>
        <v>0.291766533490199</v>
      </c>
      <c r="AD35" s="41" t="n">
        <f aca="false">2/(p_AdxN+1)*AA35+(1-2/(p_AdxN+1))*AD34</f>
        <v>0.0323707710076795</v>
      </c>
      <c r="AE35" s="45" t="n">
        <f aca="false">100*AC35/AB35</f>
        <v>51.0147914368385</v>
      </c>
      <c r="AF35" s="45" t="n">
        <f aca="false">100*AD35/AB35</f>
        <v>5.65996419072479</v>
      </c>
      <c r="AG35" s="45" t="n">
        <f aca="false">IFERROR(100*ABS(AE35-AF35)/(AE35+AF35),0)</f>
        <v>80.0265069410476</v>
      </c>
      <c r="AH35" s="45" t="n">
        <f aca="false">2/(p_AdxN+1)*AG35+(1-2/(p_AdxN+1))*AH34</f>
        <v>76.5248280297777</v>
      </c>
      <c r="AI35" s="40" t="n">
        <f aca="false">I35*(1+p_ChPct)</f>
        <v>23.4027635403272</v>
      </c>
      <c r="AJ35" s="40" t="n">
        <f aca="false">I35*(1-p_ChPct)</f>
        <v>20.7533940829316</v>
      </c>
      <c r="AK35" s="40" t="n">
        <f aca="false">I35+1*Y35</f>
        <v>22.6188480423986</v>
      </c>
      <c r="AL35" s="40" t="n">
        <f aca="false">I35+2*Y35</f>
        <v>23.1596172731679</v>
      </c>
      <c r="AM35" s="40" t="n">
        <f aca="false">I35+3*Y35</f>
        <v>23.7003865039371</v>
      </c>
      <c r="AN35" s="40" t="n">
        <f aca="false">I35-1*Y35</f>
        <v>21.5373095808602</v>
      </c>
      <c r="AO35" s="40" t="n">
        <f aca="false">I35-2*Y35</f>
        <v>20.9965403500909</v>
      </c>
      <c r="AP35" s="40" t="n">
        <f aca="false">I35-3*Y35</f>
        <v>20.4557711193217</v>
      </c>
      <c r="AQ35" s="40" t="n">
        <f aca="true">MAX(OFFSET(C35,1-MIN(p_StochN,ROW()-4),0,MIN(p_StochN,ROW()-4),1))</f>
        <v>24.51</v>
      </c>
      <c r="AR35" s="40" t="n">
        <f aca="true">MIN(OFFSET(D35,1-MIN(p_StochN,ROW()-4),0,MIN(p_StochN,ROW()-4),1))</f>
        <v>23.1</v>
      </c>
      <c r="AS35" s="45" t="n">
        <f aca="false">IF(AQ35=AR35,50,100*(E35-AR35)/(AQ35-AR35))</f>
        <v>92.9078014184396</v>
      </c>
      <c r="AT35" s="45" t="n">
        <f aca="true">AVERAGE(OFFSET(AS35,1-MIN(p_StochSm,ROW()-4),0,MIN(p_StochSm,ROW()-4),1))</f>
        <v>73.9781373542325</v>
      </c>
      <c r="AU35" s="45" t="n">
        <f aca="true">AVERAGE(OFFSET(AT35,1-MIN(p_StochSm,ROW()-4),0,MIN(p_StochSm,ROW()-4),1))</f>
        <v>78.5616386469355</v>
      </c>
      <c r="AV35" s="41" t="n">
        <f aca="false">MAX(0,H35-D35)</f>
        <v>0</v>
      </c>
      <c r="AW35" s="41" t="n">
        <f aca="true">IF(COUNTIF(OFFSET(AV35,1-MIN(p_PenLb,ROW()-4),0,MIN(p_PenLb,ROW()-4),1),"&gt;0")&gt;0,SUM(OFFSET(AV35,1-MIN(p_PenLb,ROW()-4),0,MIN(p_PenLb,ROW()-4),1))/COUNTIF(OFFSET(AV35,1-MIN(p_PenLb,ROW()-4),0,MIN(p_PenLb,ROW()-4),1),"&gt;0"),0.5*Y35)</f>
        <v>0.206703937011166</v>
      </c>
      <c r="AX35" s="41" t="n">
        <f aca="false">2*H35-H34</f>
        <v>23.2102313422651</v>
      </c>
      <c r="AY35" s="40" t="n">
        <f aca="false">ROUND(MAX(AX35-AW35,0.01),2)</f>
        <v>23</v>
      </c>
      <c r="AZ35" s="40" t="n">
        <f aca="true">IF(MIN(p_StopLb,ROW()-4)&lt;2,D35,SMALL(OFFSET(D35,1-MIN(p_StopLb,ROW()-4),0,MIN(p_StopLb,ROW()-4),1),2))</f>
        <v>22.2</v>
      </c>
      <c r="BA35" s="40" t="n">
        <f aca="false">IF(MOD(ROUND(ROUNDDOWN(MIN(AZ35-0.01,AY35-p_StopAtr*Y35),2)*100,0),50)=0,ROUNDDOWN(MIN(AZ35-0.01,AY35-p_StopAtr*Y35),2)-0.01,ROUNDDOWN(MIN(AZ35-0.01,AY35-p_StopAtr*Y35),2))</f>
        <v>22.19</v>
      </c>
      <c r="BB35" s="40" t="n">
        <f aca="false">ROUND(AI35,2)</f>
        <v>23.4</v>
      </c>
      <c r="BC35" s="40" t="n">
        <f aca="false">IF(AY35-BA35&gt;0,(BB35-AY35)/(AY35-BA35),0)</f>
        <v>0.493827160493826</v>
      </c>
      <c r="BD35" s="42" t="n">
        <f aca="false">IF(N35&lt;0,1,0)</f>
        <v>0</v>
      </c>
      <c r="BE35" s="41" t="n">
        <f aca="false">IF(AND(BD35=1,BD34=0),N35,IF(BD35=1,MIN(BE34,N35),BE34))</f>
        <v>-0.0234128043712021</v>
      </c>
      <c r="BF35" s="40" t="n">
        <f aca="false">IF(AND(BD35=1,BD34=0),D35,IF(BD35=1,MIN(BF34,D35),BF34))</f>
        <v>19.42</v>
      </c>
      <c r="BG35" s="42" t="n">
        <f aca="false">IF(AND(BD35=1,BD34=0),ROW(),IF(BD35=1,IF(N35&lt;BE34,ROW(),BG34),BG34))</f>
        <v>10</v>
      </c>
      <c r="BH35" s="41" t="str">
        <f aca="false">IF(AND(BD35=1,BD34=0),BE34,BH34)</f>
        <v/>
      </c>
      <c r="BI35" s="40" t="str">
        <f aca="false">IF(AND(BD35=1,BD34=0),BF34,BI34)</f>
        <v/>
      </c>
      <c r="BJ35" s="42" t="str">
        <f aca="false">IF(AND(BD35=1,BD34=0),BG34,BJ34)</f>
        <v/>
      </c>
      <c r="BK35" s="42" t="str">
        <f aca="false">IF(AND(ISNUMBER(BG35),ISNUMBER(BJ35)),BG35-BJ35,"")</f>
        <v/>
      </c>
      <c r="BL35" s="42" t="n">
        <f aca="false">IF(AND(BD35=1,N35&gt;N34,ISNUMBER(BH35),ISNUMBER(BK35)),IF(AND(BE35&gt;BH35,BF35&lt;BI35,BK35&gt;=p_GapMin,BK35&lt;=p_GapMax),1,0),0)</f>
        <v>0</v>
      </c>
      <c r="BM35" s="42" t="n">
        <f aca="false">IF(AND(BL35=1,E35&gt;BI35),1,0)</f>
        <v>0</v>
      </c>
      <c r="BN35" s="42" t="n">
        <f aca="false">IF(BL35=1,IF(BE35&gt;=BH35*0.5,1,0),0)</f>
        <v>0</v>
      </c>
      <c r="BO35" s="42" t="n">
        <f aca="true">IF(V35&gt;MIN(OFFSET(V35,-MIN(p_FiLb-1,ROW()-5),0,MIN(p_FiLb-1,ROW()-5),1)),1,0)</f>
        <v>1</v>
      </c>
      <c r="BP35" s="44" t="n">
        <f aca="true">IF(COUNTIF(OFFSET(V35,1-MIN(100,ROW()-4),0,MIN(100,ROW()-4),1),"&lt;0")&gt;=5,AVERAGEIF(OFFSET(V35,1-MIN(100,ROW()-4),0,MIN(100,ROW()-4),1),"&lt;0"),"")</f>
        <v>-447131.839374821</v>
      </c>
      <c r="BQ35" s="42" t="n">
        <f aca="false">IF(ISNUMBER(BP35),IF(AND(V35&lt;5*BP35,V35&gt;V34,E35&lt;AJ35),1,0),0)</f>
        <v>0</v>
      </c>
      <c r="BR35" s="44" t="n">
        <f aca="true">AVERAGE(OFFSET(F35,1-MIN(5,ROW()-4),0,MIN(5,ROW()-4),1))</f>
        <v>4451440</v>
      </c>
      <c r="BS35" s="42" t="n">
        <f aca="false">IFERROR(IF(MATCH(G35,周线!$A$5:$A$84,0)&lt;=1,"",INDEX(周线!$R$5:$R$84,MATCH(G35,周线!$A$5:$A$84,0)-1)),"")</f>
        <v>1</v>
      </c>
      <c r="BT35" s="42" t="n">
        <f aca="false">IFERROR(IF(MATCH(G35,周线!$A$5:$A$84,0)&lt;=1,"",INDEX(周线!$S$5:$S$84,MATCH(G35,周线!$A$5:$A$84,0)-1)),"")</f>
        <v>1</v>
      </c>
      <c r="BU35" s="42" t="n">
        <f aca="false">IFERROR(IF(MATCH(G35,周线!$A$5:$A$84,0)&lt;=1,"",INDEX(周线!$U$5:$U$84,MATCH(G35,周线!$A$5:$A$84,0)-1)),"")</f>
        <v>1</v>
      </c>
      <c r="BV35" s="42" t="n">
        <f aca="false">IF(AND(BS35=1,S35&lt;&gt;-1,V35&lt;0,BO35=1,E35&lt;=H35,E35&gt;=AJ35),1,0)</f>
        <v>0</v>
      </c>
      <c r="BW35" s="42" t="n">
        <f aca="false">BL35</f>
        <v>0</v>
      </c>
      <c r="BX35" s="42" t="n">
        <f aca="false">BQ35</f>
        <v>0</v>
      </c>
      <c r="BY35" s="42" t="n">
        <f aca="false">IF(BS35=1,10,0)+IF(BU35=1,5,IF(BU35=-1,0,3))+IF(BT35=1,5,0)+IF(AND(AE35&gt;AF35,AH35&gt;AH34),5,0)</f>
        <v>25</v>
      </c>
      <c r="BZ35" s="42" t="n">
        <f aca="false">IF(AND(E35&lt;=H35,E35&gt;=I35),10,IF(AND(E35&gt;=AJ35,E35&lt;I35),6,0))+IF(AND(V35&lt;0,BO35=1),8,0)+IF(AT35&lt;30,7,IF(AT35&lt;50,3,0))</f>
        <v>0</v>
      </c>
      <c r="CA35" s="42" t="n">
        <f aca="false">IF(AND(BV35=1,BW35=1),25,IF(BW35=1,22,IF(BV35=1,15,IF(BX35=1,12,0))))</f>
        <v>0</v>
      </c>
      <c r="CB35" s="42" t="n">
        <f aca="false">IF(W35&gt;0,6,0)+IF(F35&lt;BR35,4,0)</f>
        <v>6</v>
      </c>
      <c r="CC35" s="42" t="n">
        <f aca="false">IF(BC35&gt;=3,15,IF(BC35&gt;=p_RRmin,10,IF(BC35&gt;=1.5,4,0)))</f>
        <v>0</v>
      </c>
      <c r="CD35" s="42" t="n">
        <f aca="false">BY35+BZ35+CA35+CB35+CC35</f>
        <v>31</v>
      </c>
      <c r="CE35" s="42" t="n">
        <f aca="false">IF(AND(BS35&lt;&gt;1,BW35+BX35=0),1,0)</f>
        <v>0</v>
      </c>
      <c r="CF35" s="42" t="n">
        <f aca="false">IF(BU35=-1,1,0)</f>
        <v>0</v>
      </c>
      <c r="CG35" s="42" t="n">
        <f aca="false">IF(S35=-1,1,0)</f>
        <v>0</v>
      </c>
      <c r="CH35" s="42" t="n">
        <f aca="false">IF(BV35+BW35+BX35=0,1,0)</f>
        <v>1</v>
      </c>
      <c r="CI35" s="42" t="n">
        <f aca="false">IF(BC35&lt;p_RRmin,1,0)</f>
        <v>1</v>
      </c>
      <c r="CJ35" s="46" t="str">
        <f aca="false">IF(SUM(CE35:CI35)=0,IF(CD35&gt;=p_GradeA,"A",IF(CD35&gt;=p_GradeB,"B","C")),IF(AND(CI35=1,SUM(CE35:CH35)=0,CD35&gt;=p_GradeB),"B","C"))</f>
        <v>C</v>
      </c>
    </row>
    <row r="36" customFormat="false" ht="15" hidden="false" customHeight="false" outlineLevel="0" collapsed="false">
      <c r="A36" s="36" t="n">
        <v>45702</v>
      </c>
      <c r="B36" s="37" t="n">
        <v>24.49</v>
      </c>
      <c r="C36" s="37" t="n">
        <v>24.63</v>
      </c>
      <c r="D36" s="37" t="n">
        <v>24.31</v>
      </c>
      <c r="E36" s="37" t="n">
        <v>24.38</v>
      </c>
      <c r="F36" s="38" t="n">
        <v>2994500</v>
      </c>
      <c r="G36" s="39" t="n">
        <f aca="false">A36-WEEKDAY(A36,3)</f>
        <v>45698</v>
      </c>
      <c r="H36" s="40" t="n">
        <f aca="false">2/(p_EmaF+1)*E36+(1-2/(p_EmaF+1))*H35</f>
        <v>23.1716665234727</v>
      </c>
      <c r="I36" s="40" t="n">
        <f aca="false">2/(p_EmaS+1)*E36+(1-2/(p_EmaS+1))*I35</f>
        <v>22.2485914922495</v>
      </c>
      <c r="J36" s="41" t="n">
        <f aca="false">2/(p_MacdF+1)*E36+(1-2/(p_MacdF+1))*J35</f>
        <v>23.2631112564672</v>
      </c>
      <c r="K36" s="41" t="n">
        <f aca="false">2/(p_MacdS+1)*E36+(1-2/(p_MacdS+1))*K35</f>
        <v>22.2485914922495</v>
      </c>
      <c r="L36" s="41" t="n">
        <f aca="false">J36-K36</f>
        <v>1.01451976421779</v>
      </c>
      <c r="M36" s="41" t="n">
        <f aca="false">2/(p_MacdSig+1)*L36+(1-2/(p_MacdSig+1))*M35</f>
        <v>0.85710299439649</v>
      </c>
      <c r="N36" s="41" t="n">
        <f aca="false">L36-M36</f>
        <v>0.157416769821301</v>
      </c>
      <c r="O36" s="42" t="n">
        <f aca="false">IF(H36&gt;H35,1,0)</f>
        <v>1</v>
      </c>
      <c r="P36" s="42" t="n">
        <f aca="false">IF(H36&lt;H35,1,0)</f>
        <v>0</v>
      </c>
      <c r="Q36" s="42" t="n">
        <f aca="false">IF(N36&gt;N35,1,0)</f>
        <v>0</v>
      </c>
      <c r="R36" s="42" t="n">
        <f aca="false">IF(N36&lt;N35,1,0)</f>
        <v>1</v>
      </c>
      <c r="S36" s="42" t="n">
        <f aca="false">IF(AND(O36=1,Q36=1),1,IF(AND(P36=1,R36=1),-1,0))</f>
        <v>0</v>
      </c>
      <c r="T36" s="43" t="str">
        <f aca="false">IF(S36=1,"绿",IF(S36=-1,"红","蓝"))</f>
        <v>蓝</v>
      </c>
      <c r="U36" s="44" t="n">
        <f aca="false">F36*(E36-E35)</f>
        <v>-89835.0000000034</v>
      </c>
      <c r="V36" s="44" t="n">
        <f aca="false">2/(p_FiS+1)*U36+(1-2/(p_FiS+1))*V35</f>
        <v>1297897.28404739</v>
      </c>
      <c r="W36" s="44" t="n">
        <f aca="false">2/(p_FiL+1)*U36+(1-2/(p_FiL+1))*W35</f>
        <v>1190433.49064389</v>
      </c>
      <c r="X36" s="41" t="n">
        <f aca="false">MAX(C36-D36,ABS(C36-E35),ABS(D36-E35))</f>
        <v>0.32</v>
      </c>
      <c r="Y36" s="41" t="n">
        <f aca="true">AVERAGE(OFFSET(X36,1-MIN(p_AtrN,ROW()-4),0,MIN(p_AtrN,ROW()-4),1))</f>
        <v>0.525384615384616</v>
      </c>
      <c r="Z36" s="41" t="n">
        <f aca="false">IF(AND(C36-C35&gt;D35-D36,C36-C35&gt;0),C36-C35,0)</f>
        <v>0.119999999999997</v>
      </c>
      <c r="AA36" s="41" t="n">
        <f aca="false">IF(AND(D35-D36&gt;C36-C35,D35-D36&gt;0),D35-D36,0)</f>
        <v>0</v>
      </c>
      <c r="AB36" s="41" t="n">
        <f aca="false">2/(p_AdxN+1)*X36+(1-2/(p_AdxN+1))*AB35</f>
        <v>0.535936029429709</v>
      </c>
      <c r="AC36" s="41" t="n">
        <f aca="false">2/(p_AdxN+1)*Z36+(1-2/(p_AdxN+1))*AC35</f>
        <v>0.267228457277313</v>
      </c>
      <c r="AD36" s="41" t="n">
        <f aca="false">2/(p_AdxN+1)*AA36+(1-2/(p_AdxN+1))*AD35</f>
        <v>0.0277463751494396</v>
      </c>
      <c r="AE36" s="45" t="n">
        <f aca="false">100*AC36/AB36</f>
        <v>49.8620063968589</v>
      </c>
      <c r="AF36" s="45" t="n">
        <f aca="false">100*AD36/AB36</f>
        <v>5.17718041441711</v>
      </c>
      <c r="AG36" s="45" t="n">
        <f aca="false">IFERROR(100*ABS(AE36-AF36)/(AE36+AF36),0)</f>
        <v>81.1872932201228</v>
      </c>
      <c r="AH36" s="45" t="n">
        <f aca="false">2/(p_AdxN+1)*AG36+(1-2/(p_AdxN+1))*AH35</f>
        <v>77.1908944855413</v>
      </c>
      <c r="AI36" s="40" t="n">
        <f aca="false">I36*(1+p_ChPct)</f>
        <v>23.5835069817844</v>
      </c>
      <c r="AJ36" s="40" t="n">
        <f aca="false">I36*(1-p_ChPct)</f>
        <v>20.9136760027145</v>
      </c>
      <c r="AK36" s="40" t="n">
        <f aca="false">I36+1*Y36</f>
        <v>22.7739761076341</v>
      </c>
      <c r="AL36" s="40" t="n">
        <f aca="false">I36+2*Y36</f>
        <v>23.2993607230187</v>
      </c>
      <c r="AM36" s="40" t="n">
        <f aca="false">I36+3*Y36</f>
        <v>23.8247453384033</v>
      </c>
      <c r="AN36" s="40" t="n">
        <f aca="false">I36-1*Y36</f>
        <v>21.7232068768648</v>
      </c>
      <c r="AO36" s="40" t="n">
        <f aca="false">I36-2*Y36</f>
        <v>21.1978222614802</v>
      </c>
      <c r="AP36" s="40" t="n">
        <f aca="false">I36-3*Y36</f>
        <v>20.6724376460956</v>
      </c>
      <c r="AQ36" s="40" t="n">
        <f aca="true">MAX(OFFSET(C36,1-MIN(p_StochN,ROW()-4),0,MIN(p_StochN,ROW()-4),1))</f>
        <v>24.63</v>
      </c>
      <c r="AR36" s="40" t="n">
        <f aca="true">MIN(OFFSET(D36,1-MIN(p_StochN,ROW()-4),0,MIN(p_StochN,ROW()-4),1))</f>
        <v>23.33</v>
      </c>
      <c r="AS36" s="45" t="n">
        <f aca="false">IF(AQ36=AR36,50,100*(E36-AR36)/(AQ36-AR36))</f>
        <v>80.7692307692308</v>
      </c>
      <c r="AT36" s="45" t="n">
        <f aca="true">AVERAGE(OFFSET(AS36,1-MIN(p_StochSm,ROW()-4),0,MIN(p_StochSm,ROW()-4),1))</f>
        <v>76.0996269757221</v>
      </c>
      <c r="AU36" s="45" t="n">
        <f aca="true">AVERAGE(OFFSET(AT36,1-MIN(p_StochSm,ROW()-4),0,MIN(p_StochSm,ROW()-4),1))</f>
        <v>74.9902308385739</v>
      </c>
      <c r="AV36" s="41" t="n">
        <f aca="false">MAX(0,H36-D36)</f>
        <v>0</v>
      </c>
      <c r="AW36" s="41" t="n">
        <f aca="true">IF(COUNTIF(OFFSET(AV36,1-MIN(p_PenLb,ROW()-4),0,MIN(p_PenLb,ROW()-4),1),"&gt;0")&gt;0,SUM(OFFSET(AV36,1-MIN(p_PenLb,ROW()-4),0,MIN(p_PenLb,ROW()-4),1))/COUNTIF(OFFSET(AV36,1-MIN(p_PenLb,ROW()-4),0,MIN(p_PenLb,ROW()-4),1),"&gt;0"),0.5*Y36)</f>
        <v>0.225220500566133</v>
      </c>
      <c r="AX36" s="41" t="n">
        <f aca="false">2*H36-H35</f>
        <v>23.3730554362272</v>
      </c>
      <c r="AY36" s="40" t="n">
        <f aca="false">ROUND(MAX(AX36-AW36,0.01),2)</f>
        <v>23.15</v>
      </c>
      <c r="AZ36" s="40" t="n">
        <f aca="true">IF(MIN(p_StopLb,ROW()-4)&lt;2,D36,SMALL(OFFSET(D36,1-MIN(p_StopLb,ROW()-4),0,MIN(p_StopLb,ROW()-4),1),2))</f>
        <v>22.32</v>
      </c>
      <c r="BA36" s="40" t="n">
        <f aca="false">IF(MOD(ROUND(ROUNDDOWN(MIN(AZ36-0.01,AY36-p_StopAtr*Y36),2)*100,0),50)=0,ROUNDDOWN(MIN(AZ36-0.01,AY36-p_StopAtr*Y36),2)-0.01,ROUNDDOWN(MIN(AZ36-0.01,AY36-p_StopAtr*Y36),2))</f>
        <v>22.31</v>
      </c>
      <c r="BB36" s="40" t="n">
        <f aca="false">ROUND(AI36,2)</f>
        <v>23.58</v>
      </c>
      <c r="BC36" s="40" t="n">
        <f aca="false">IF(AY36-BA36&gt;0,(BB36-AY36)/(AY36-BA36),0)</f>
        <v>0.511904761904762</v>
      </c>
      <c r="BD36" s="42" t="n">
        <f aca="false">IF(N36&lt;0,1,0)</f>
        <v>0</v>
      </c>
      <c r="BE36" s="41" t="n">
        <f aca="false">IF(AND(BD36=1,BD35=0),N36,IF(BD36=1,MIN(BE35,N36),BE35))</f>
        <v>-0.0234128043712021</v>
      </c>
      <c r="BF36" s="40" t="n">
        <f aca="false">IF(AND(BD36=1,BD35=0),D36,IF(BD36=1,MIN(BF35,D36),BF35))</f>
        <v>19.42</v>
      </c>
      <c r="BG36" s="42" t="n">
        <f aca="false">IF(AND(BD36=1,BD35=0),ROW(),IF(BD36=1,IF(N36&lt;BE35,ROW(),BG35),BG35))</f>
        <v>10</v>
      </c>
      <c r="BH36" s="41" t="str">
        <f aca="false">IF(AND(BD36=1,BD35=0),BE35,BH35)</f>
        <v/>
      </c>
      <c r="BI36" s="40" t="str">
        <f aca="false">IF(AND(BD36=1,BD35=0),BF35,BI35)</f>
        <v/>
      </c>
      <c r="BJ36" s="42" t="str">
        <f aca="false">IF(AND(BD36=1,BD35=0),BG35,BJ35)</f>
        <v/>
      </c>
      <c r="BK36" s="42" t="str">
        <f aca="false">IF(AND(ISNUMBER(BG36),ISNUMBER(BJ36)),BG36-BJ36,"")</f>
        <v/>
      </c>
      <c r="BL36" s="42" t="n">
        <f aca="false">IF(AND(BD36=1,N36&gt;N35,ISNUMBER(BH36),ISNUMBER(BK36)),IF(AND(BE36&gt;BH36,BF36&lt;BI36,BK36&gt;=p_GapMin,BK36&lt;=p_GapMax),1,0),0)</f>
        <v>0</v>
      </c>
      <c r="BM36" s="42" t="n">
        <f aca="false">IF(AND(BL36=1,E36&gt;BI36),1,0)</f>
        <v>0</v>
      </c>
      <c r="BN36" s="42" t="n">
        <f aca="false">IF(BL36=1,IF(BE36&gt;=BH36*0.5,1,0),0)</f>
        <v>0</v>
      </c>
      <c r="BO36" s="42" t="n">
        <f aca="true">IF(V36&gt;MIN(OFFSET(V36,-MIN(p_FiLb-1,ROW()-5),0,MIN(p_FiLb-1,ROW()-5),1)),1,0)</f>
        <v>1</v>
      </c>
      <c r="BP36" s="44" t="n">
        <f aca="true">IF(COUNTIF(OFFSET(V36,1-MIN(100,ROW()-4),0,MIN(100,ROW()-4),1),"&lt;0")&gt;=5,AVERAGEIF(OFFSET(V36,1-MIN(100,ROW()-4),0,MIN(100,ROW()-4),1),"&lt;0"),"")</f>
        <v>-447131.839374821</v>
      </c>
      <c r="BQ36" s="42" t="n">
        <f aca="false">IF(ISNUMBER(BP36),IF(AND(V36&lt;5*BP36,V36&gt;V35,E36&lt;AJ36),1,0),0)</f>
        <v>0</v>
      </c>
      <c r="BR36" s="44" t="n">
        <f aca="true">AVERAGE(OFFSET(F36,1-MIN(5,ROW()-4),0,MIN(5,ROW()-4),1))</f>
        <v>4269880</v>
      </c>
      <c r="BS36" s="42" t="n">
        <f aca="false">IFERROR(IF(MATCH(G36,周线!$A$5:$A$84,0)&lt;=1,"",INDEX(周线!$R$5:$R$84,MATCH(G36,周线!$A$5:$A$84,0)-1)),"")</f>
        <v>1</v>
      </c>
      <c r="BT36" s="42" t="n">
        <f aca="false">IFERROR(IF(MATCH(G36,周线!$A$5:$A$84,0)&lt;=1,"",INDEX(周线!$S$5:$S$84,MATCH(G36,周线!$A$5:$A$84,0)-1)),"")</f>
        <v>1</v>
      </c>
      <c r="BU36" s="42" t="n">
        <f aca="false">IFERROR(IF(MATCH(G36,周线!$A$5:$A$84,0)&lt;=1,"",INDEX(周线!$U$5:$U$84,MATCH(G36,周线!$A$5:$A$84,0)-1)),"")</f>
        <v>1</v>
      </c>
      <c r="BV36" s="42" t="n">
        <f aca="false">IF(AND(BS36=1,S36&lt;&gt;-1,V36&lt;0,BO36=1,E36&lt;=H36,E36&gt;=AJ36),1,0)</f>
        <v>0</v>
      </c>
      <c r="BW36" s="42" t="n">
        <f aca="false">BL36</f>
        <v>0</v>
      </c>
      <c r="BX36" s="42" t="n">
        <f aca="false">BQ36</f>
        <v>0</v>
      </c>
      <c r="BY36" s="42" t="n">
        <f aca="false">IF(BS36=1,10,0)+IF(BU36=1,5,IF(BU36=-1,0,3))+IF(BT36=1,5,0)+IF(AND(AE36&gt;AF36,AH36&gt;AH35),5,0)</f>
        <v>25</v>
      </c>
      <c r="BZ36" s="42" t="n">
        <f aca="false">IF(AND(E36&lt;=H36,E36&gt;=I36),10,IF(AND(E36&gt;=AJ36,E36&lt;I36),6,0))+IF(AND(V36&lt;0,BO36=1),8,0)+IF(AT36&lt;30,7,IF(AT36&lt;50,3,0))</f>
        <v>0</v>
      </c>
      <c r="CA36" s="42" t="n">
        <f aca="false">IF(AND(BV36=1,BW36=1),25,IF(BW36=1,22,IF(BV36=1,15,IF(BX36=1,12,0))))</f>
        <v>0</v>
      </c>
      <c r="CB36" s="42" t="n">
        <f aca="false">IF(W36&gt;0,6,0)+IF(F36&lt;BR36,4,0)</f>
        <v>10</v>
      </c>
      <c r="CC36" s="42" t="n">
        <f aca="false">IF(BC36&gt;=3,15,IF(BC36&gt;=p_RRmin,10,IF(BC36&gt;=1.5,4,0)))</f>
        <v>0</v>
      </c>
      <c r="CD36" s="42" t="n">
        <f aca="false">BY36+BZ36+CA36+CB36+CC36</f>
        <v>35</v>
      </c>
      <c r="CE36" s="42" t="n">
        <f aca="false">IF(AND(BS36&lt;&gt;1,BW36+BX36=0),1,0)</f>
        <v>0</v>
      </c>
      <c r="CF36" s="42" t="n">
        <f aca="false">IF(BU36=-1,1,0)</f>
        <v>0</v>
      </c>
      <c r="CG36" s="42" t="n">
        <f aca="false">IF(S36=-1,1,0)</f>
        <v>0</v>
      </c>
      <c r="CH36" s="42" t="n">
        <f aca="false">IF(BV36+BW36+BX36=0,1,0)</f>
        <v>1</v>
      </c>
      <c r="CI36" s="42" t="n">
        <f aca="false">IF(BC36&lt;p_RRmin,1,0)</f>
        <v>1</v>
      </c>
      <c r="CJ36" s="46" t="str">
        <f aca="false">IF(SUM(CE36:CI36)=0,IF(CD36&gt;=p_GradeA,"A",IF(CD36&gt;=p_GradeB,"B","C")),IF(AND(CI36=1,SUM(CE36:CH36)=0,CD36&gt;=p_GradeB),"B","C"))</f>
        <v>C</v>
      </c>
    </row>
    <row r="37" customFormat="false" ht="15" hidden="false" customHeight="false" outlineLevel="0" collapsed="false">
      <c r="A37" s="36" t="n">
        <v>45705</v>
      </c>
      <c r="B37" s="37" t="n">
        <v>24.38</v>
      </c>
      <c r="C37" s="37" t="n">
        <v>24.6</v>
      </c>
      <c r="D37" s="37" t="n">
        <v>24.26</v>
      </c>
      <c r="E37" s="37" t="n">
        <v>24.51</v>
      </c>
      <c r="F37" s="38" t="n">
        <v>2638800</v>
      </c>
      <c r="G37" s="39" t="n">
        <f aca="false">A37-WEEKDAY(A37,3)</f>
        <v>45705</v>
      </c>
      <c r="H37" s="40" t="n">
        <f aca="false">2/(p_EmaF+1)*E37+(1-2/(p_EmaF+1))*H36</f>
        <v>23.3628570201194</v>
      </c>
      <c r="I37" s="40" t="n">
        <f aca="false">2/(p_EmaS+1)*E37+(1-2/(p_EmaS+1))*I36</f>
        <v>22.4161032335643</v>
      </c>
      <c r="J37" s="41" t="n">
        <f aca="false">2/(p_MacdF+1)*E37+(1-2/(p_MacdF+1))*J36</f>
        <v>23.4549402939338</v>
      </c>
      <c r="K37" s="41" t="n">
        <f aca="false">2/(p_MacdS+1)*E37+(1-2/(p_MacdS+1))*K36</f>
        <v>22.4161032335643</v>
      </c>
      <c r="L37" s="41" t="n">
        <f aca="false">J37-K37</f>
        <v>1.03883706036952</v>
      </c>
      <c r="M37" s="41" t="n">
        <f aca="false">2/(p_MacdSig+1)*L37+(1-2/(p_MacdSig+1))*M36</f>
        <v>0.893449807591096</v>
      </c>
      <c r="N37" s="41" t="n">
        <f aca="false">L37-M37</f>
        <v>0.145387252778421</v>
      </c>
      <c r="O37" s="42" t="n">
        <f aca="false">IF(H37&gt;H36,1,0)</f>
        <v>1</v>
      </c>
      <c r="P37" s="42" t="n">
        <f aca="false">IF(H37&lt;H36,1,0)</f>
        <v>0</v>
      </c>
      <c r="Q37" s="42" t="n">
        <f aca="false">IF(N37&gt;N36,1,0)</f>
        <v>0</v>
      </c>
      <c r="R37" s="42" t="n">
        <f aca="false">IF(N37&lt;N36,1,0)</f>
        <v>1</v>
      </c>
      <c r="S37" s="42" t="n">
        <f aca="false">IF(AND(O37=1,Q37=1),1,IF(AND(P37=1,R37=1),-1,0))</f>
        <v>0</v>
      </c>
      <c r="T37" s="43" t="str">
        <f aca="false">IF(S37=1,"绿",IF(S37=-1,"红","蓝"))</f>
        <v>蓝</v>
      </c>
      <c r="U37" s="44" t="n">
        <f aca="false">F37*(E37-E36)</f>
        <v>343044.000000007</v>
      </c>
      <c r="V37" s="44" t="n">
        <f aca="false">2/(p_FiS+1)*U37+(1-2/(p_FiS+1))*V36</f>
        <v>661328.428015803</v>
      </c>
      <c r="W37" s="44" t="n">
        <f aca="false">2/(p_FiL+1)*U37+(1-2/(p_FiL+1))*W36</f>
        <v>1069377.84912334</v>
      </c>
      <c r="X37" s="41" t="n">
        <f aca="false">MAX(C37-D37,ABS(C37-E36),ABS(D37-E36))</f>
        <v>0.34</v>
      </c>
      <c r="Y37" s="41" t="n">
        <f aca="true">AVERAGE(OFFSET(X37,1-MIN(p_AtrN,ROW()-4),0,MIN(p_AtrN,ROW()-4),1))</f>
        <v>0.512307692307693</v>
      </c>
      <c r="Z37" s="41" t="n">
        <f aca="false">IF(AND(C37-C36&gt;D36-D37,C37-C36&gt;0),C37-C36,0)</f>
        <v>0</v>
      </c>
      <c r="AA37" s="41" t="n">
        <f aca="false">IF(AND(D36-D37&gt;C37-C36,D36-D37&gt;0),D36-D37,0)</f>
        <v>0.0499999999999972</v>
      </c>
      <c r="AB37" s="41" t="n">
        <f aca="false">2/(p_AdxN+1)*X37+(1-2/(p_AdxN+1))*AB36</f>
        <v>0.507945168082608</v>
      </c>
      <c r="AC37" s="41" t="n">
        <f aca="false">2/(p_AdxN+1)*Z37+(1-2/(p_AdxN+1))*AC36</f>
        <v>0.229052963380554</v>
      </c>
      <c r="AD37" s="41" t="n">
        <f aca="false">2/(p_AdxN+1)*AA37+(1-2/(p_AdxN+1))*AD36</f>
        <v>0.030925464413805</v>
      </c>
      <c r="AE37" s="45" t="n">
        <f aca="false">100*AC37/AB37</f>
        <v>45.0940333274915</v>
      </c>
      <c r="AF37" s="45" t="n">
        <f aca="false">100*AD37/AB37</f>
        <v>6.08834700220547</v>
      </c>
      <c r="AG37" s="45" t="n">
        <f aca="false">IFERROR(100*ABS(AE37-AF37)/(AE37+AF37),0)</f>
        <v>76.2092072975633</v>
      </c>
      <c r="AH37" s="45" t="n">
        <f aca="false">2/(p_AdxN+1)*AG37+(1-2/(p_AdxN+1))*AH36</f>
        <v>77.0506534586873</v>
      </c>
      <c r="AI37" s="40" t="n">
        <f aca="false">I37*(1+p_ChPct)</f>
        <v>23.7610694275782</v>
      </c>
      <c r="AJ37" s="40" t="n">
        <f aca="false">I37*(1-p_ChPct)</f>
        <v>21.0711370395504</v>
      </c>
      <c r="AK37" s="40" t="n">
        <f aca="false">I37+1*Y37</f>
        <v>22.928410925872</v>
      </c>
      <c r="AL37" s="40" t="n">
        <f aca="false">I37+2*Y37</f>
        <v>23.4407186181797</v>
      </c>
      <c r="AM37" s="40" t="n">
        <f aca="false">I37+3*Y37</f>
        <v>23.9530263104874</v>
      </c>
      <c r="AN37" s="40" t="n">
        <f aca="false">I37-1*Y37</f>
        <v>21.9037955412566</v>
      </c>
      <c r="AO37" s="40" t="n">
        <f aca="false">I37-2*Y37</f>
        <v>21.3914878489489</v>
      </c>
      <c r="AP37" s="40" t="n">
        <f aca="false">I37-3*Y37</f>
        <v>20.8791801566412</v>
      </c>
      <c r="AQ37" s="40" t="n">
        <f aca="true">MAX(OFFSET(C37,1-MIN(p_StochN,ROW()-4),0,MIN(p_StochN,ROW()-4),1))</f>
        <v>24.63</v>
      </c>
      <c r="AR37" s="40" t="n">
        <f aca="true">MIN(OFFSET(D37,1-MIN(p_StochN,ROW()-4),0,MIN(p_StochN,ROW()-4),1))</f>
        <v>23.33</v>
      </c>
      <c r="AS37" s="45" t="n">
        <f aca="false">IF(AQ37=AR37,50,100*(E37-AR37)/(AQ37-AR37))</f>
        <v>90.769230769231</v>
      </c>
      <c r="AT37" s="45" t="n">
        <f aca="true">AVERAGE(OFFSET(AS37,1-MIN(p_StochSm,ROW()-4),0,MIN(p_StochSm,ROW()-4),1))</f>
        <v>88.1487543189671</v>
      </c>
      <c r="AU37" s="45" t="n">
        <f aca="true">AVERAGE(OFFSET(AT37,1-MIN(p_StochSm,ROW()-4),0,MIN(p_StochSm,ROW()-4),1))</f>
        <v>79.4088395496406</v>
      </c>
      <c r="AV37" s="41" t="n">
        <f aca="false">MAX(0,H37-D37)</f>
        <v>0</v>
      </c>
      <c r="AW37" s="41" t="n">
        <f aca="true">IF(COUNTIF(OFFSET(AV37,1-MIN(p_PenLb,ROW()-4),0,MIN(p_PenLb,ROW()-4),1),"&gt;0")&gt;0,SUM(OFFSET(AV37,1-MIN(p_PenLb,ROW()-4),0,MIN(p_PenLb,ROW()-4),1))/COUNTIF(OFFSET(AV37,1-MIN(p_PenLb,ROW()-4),0,MIN(p_PenLb,ROW()-4),1),"&gt;0"),0.5*Y37)</f>
        <v>0.241855499189282</v>
      </c>
      <c r="AX37" s="41" t="n">
        <f aca="false">2*H37-H36</f>
        <v>23.5540475167662</v>
      </c>
      <c r="AY37" s="40" t="n">
        <f aca="false">ROUND(MAX(AX37-AW37,0.01),2)</f>
        <v>23.31</v>
      </c>
      <c r="AZ37" s="40" t="n">
        <f aca="true">IF(MIN(p_StopLb,ROW()-4)&lt;2,D37,SMALL(OFFSET(D37,1-MIN(p_StopLb,ROW()-4),0,MIN(p_StopLb,ROW()-4),1),2))</f>
        <v>22.34</v>
      </c>
      <c r="BA37" s="40" t="n">
        <f aca="false">IF(MOD(ROUND(ROUNDDOWN(MIN(AZ37-0.01,AY37-p_StopAtr*Y37),2)*100,0),50)=0,ROUNDDOWN(MIN(AZ37-0.01,AY37-p_StopAtr*Y37),2)-0.01,ROUNDDOWN(MIN(AZ37-0.01,AY37-p_StopAtr*Y37),2))</f>
        <v>22.33</v>
      </c>
      <c r="BB37" s="40" t="n">
        <f aca="false">ROUND(AI37,2)</f>
        <v>23.76</v>
      </c>
      <c r="BC37" s="40" t="n">
        <f aca="false">IF(AY37-BA37&gt;0,(BB37-AY37)/(AY37-BA37),0)</f>
        <v>0.45918367346939</v>
      </c>
      <c r="BD37" s="42" t="n">
        <f aca="false">IF(N37&lt;0,1,0)</f>
        <v>0</v>
      </c>
      <c r="BE37" s="41" t="n">
        <f aca="false">IF(AND(BD37=1,BD36=0),N37,IF(BD37=1,MIN(BE36,N37),BE36))</f>
        <v>-0.0234128043712021</v>
      </c>
      <c r="BF37" s="40" t="n">
        <f aca="false">IF(AND(BD37=1,BD36=0),D37,IF(BD37=1,MIN(BF36,D37),BF36))</f>
        <v>19.42</v>
      </c>
      <c r="BG37" s="42" t="n">
        <f aca="false">IF(AND(BD37=1,BD36=0),ROW(),IF(BD37=1,IF(N37&lt;BE36,ROW(),BG36),BG36))</f>
        <v>10</v>
      </c>
      <c r="BH37" s="41" t="str">
        <f aca="false">IF(AND(BD37=1,BD36=0),BE36,BH36)</f>
        <v/>
      </c>
      <c r="BI37" s="40" t="str">
        <f aca="false">IF(AND(BD37=1,BD36=0),BF36,BI36)</f>
        <v/>
      </c>
      <c r="BJ37" s="42" t="str">
        <f aca="false">IF(AND(BD37=1,BD36=0),BG36,BJ36)</f>
        <v/>
      </c>
      <c r="BK37" s="42" t="str">
        <f aca="false">IF(AND(ISNUMBER(BG37),ISNUMBER(BJ37)),BG37-BJ37,"")</f>
        <v/>
      </c>
      <c r="BL37" s="42" t="n">
        <f aca="false">IF(AND(BD37=1,N37&gt;N36,ISNUMBER(BH37),ISNUMBER(BK37)),IF(AND(BE37&gt;BH37,BF37&lt;BI37,BK37&gt;=p_GapMin,BK37&lt;=p_GapMax),1,0),0)</f>
        <v>0</v>
      </c>
      <c r="BM37" s="42" t="n">
        <f aca="false">IF(AND(BL37=1,E37&gt;BI37),1,0)</f>
        <v>0</v>
      </c>
      <c r="BN37" s="42" t="n">
        <f aca="false">IF(BL37=1,IF(BE37&gt;=BH37*0.5,1,0),0)</f>
        <v>0</v>
      </c>
      <c r="BO37" s="42" t="n">
        <f aca="true">IF(V37&gt;MIN(OFFSET(V37,-MIN(p_FiLb-1,ROW()-5),0,MIN(p_FiLb-1,ROW()-5),1)),1,0)</f>
        <v>1</v>
      </c>
      <c r="BP37" s="44" t="n">
        <f aca="true">IF(COUNTIF(OFFSET(V37,1-MIN(100,ROW()-4),0,MIN(100,ROW()-4),1),"&lt;0")&gt;=5,AVERAGEIF(OFFSET(V37,1-MIN(100,ROW()-4),0,MIN(100,ROW()-4),1),"&lt;0"),"")</f>
        <v>-447131.839374821</v>
      </c>
      <c r="BQ37" s="42" t="n">
        <f aca="false">IF(ISNUMBER(BP37),IF(AND(V37&lt;5*BP37,V37&gt;V36,E37&lt;AJ37),1,0),0)</f>
        <v>0</v>
      </c>
      <c r="BR37" s="44" t="n">
        <f aca="true">AVERAGE(OFFSET(F37,1-MIN(5,ROW()-4),0,MIN(5,ROW()-4),1))</f>
        <v>4055960</v>
      </c>
      <c r="BS37" s="42" t="n">
        <f aca="false">IFERROR(IF(MATCH(G37,周线!$A$5:$A$84,0)&lt;=1,"",INDEX(周线!$R$5:$R$84,MATCH(G37,周线!$A$5:$A$84,0)-1)),"")</f>
        <v>1</v>
      </c>
      <c r="BT37" s="42" t="n">
        <f aca="false">IFERROR(IF(MATCH(G37,周线!$A$5:$A$84,0)&lt;=1,"",INDEX(周线!$S$5:$S$84,MATCH(G37,周线!$A$5:$A$84,0)-1)),"")</f>
        <v>1</v>
      </c>
      <c r="BU37" s="42" t="n">
        <f aca="false">IFERROR(IF(MATCH(G37,周线!$A$5:$A$84,0)&lt;=1,"",INDEX(周线!$U$5:$U$84,MATCH(G37,周线!$A$5:$A$84,0)-1)),"")</f>
        <v>1</v>
      </c>
      <c r="BV37" s="42" t="n">
        <f aca="false">IF(AND(BS37=1,S37&lt;&gt;-1,V37&lt;0,BO37=1,E37&lt;=H37,E37&gt;=AJ37),1,0)</f>
        <v>0</v>
      </c>
      <c r="BW37" s="42" t="n">
        <f aca="false">BL37</f>
        <v>0</v>
      </c>
      <c r="BX37" s="42" t="n">
        <f aca="false">BQ37</f>
        <v>0</v>
      </c>
      <c r="BY37" s="42" t="n">
        <f aca="false">IF(BS37=1,10,0)+IF(BU37=1,5,IF(BU37=-1,0,3))+IF(BT37=1,5,0)+IF(AND(AE37&gt;AF37,AH37&gt;AH36),5,0)</f>
        <v>20</v>
      </c>
      <c r="BZ37" s="42" t="n">
        <f aca="false">IF(AND(E37&lt;=H37,E37&gt;=I37),10,IF(AND(E37&gt;=AJ37,E37&lt;I37),6,0))+IF(AND(V37&lt;0,BO37=1),8,0)+IF(AT37&lt;30,7,IF(AT37&lt;50,3,0))</f>
        <v>0</v>
      </c>
      <c r="CA37" s="42" t="n">
        <f aca="false">IF(AND(BV37=1,BW37=1),25,IF(BW37=1,22,IF(BV37=1,15,IF(BX37=1,12,0))))</f>
        <v>0</v>
      </c>
      <c r="CB37" s="42" t="n">
        <f aca="false">IF(W37&gt;0,6,0)+IF(F37&lt;BR37,4,0)</f>
        <v>10</v>
      </c>
      <c r="CC37" s="42" t="n">
        <f aca="false">IF(BC37&gt;=3,15,IF(BC37&gt;=p_RRmin,10,IF(BC37&gt;=1.5,4,0)))</f>
        <v>0</v>
      </c>
      <c r="CD37" s="42" t="n">
        <f aca="false">BY37+BZ37+CA37+CB37+CC37</f>
        <v>30</v>
      </c>
      <c r="CE37" s="42" t="n">
        <f aca="false">IF(AND(BS37&lt;&gt;1,BW37+BX37=0),1,0)</f>
        <v>0</v>
      </c>
      <c r="CF37" s="42" t="n">
        <f aca="false">IF(BU37=-1,1,0)</f>
        <v>0</v>
      </c>
      <c r="CG37" s="42" t="n">
        <f aca="false">IF(S37=-1,1,0)</f>
        <v>0</v>
      </c>
      <c r="CH37" s="42" t="n">
        <f aca="false">IF(BV37+BW37+BX37=0,1,0)</f>
        <v>1</v>
      </c>
      <c r="CI37" s="42" t="n">
        <f aca="false">IF(BC37&lt;p_RRmin,1,0)</f>
        <v>1</v>
      </c>
      <c r="CJ37" s="46" t="str">
        <f aca="false">IF(SUM(CE37:CI37)=0,IF(CD37&gt;=p_GradeA,"A",IF(CD37&gt;=p_GradeB,"B","C")),IF(AND(CI37=1,SUM(CE37:CH37)=0,CD37&gt;=p_GradeB),"B","C"))</f>
        <v>C</v>
      </c>
    </row>
    <row r="38" customFormat="false" ht="15" hidden="false" customHeight="false" outlineLevel="0" collapsed="false">
      <c r="A38" s="36" t="n">
        <v>45706</v>
      </c>
      <c r="B38" s="37" t="n">
        <v>24.52</v>
      </c>
      <c r="C38" s="37" t="n">
        <v>24.77</v>
      </c>
      <c r="D38" s="37" t="n">
        <v>24.02</v>
      </c>
      <c r="E38" s="37" t="n">
        <v>24.18</v>
      </c>
      <c r="F38" s="38" t="n">
        <v>4817400</v>
      </c>
      <c r="G38" s="39" t="n">
        <f aca="false">A38-WEEKDAY(A38,3)</f>
        <v>45705</v>
      </c>
      <c r="H38" s="40" t="n">
        <f aca="false">2/(p_EmaF+1)*E38+(1-2/(p_EmaF+1))*H37</f>
        <v>23.479591731531</v>
      </c>
      <c r="I38" s="40" t="n">
        <f aca="false">2/(p_EmaS+1)*E38+(1-2/(p_EmaS+1))*I37</f>
        <v>22.5467622533003</v>
      </c>
      <c r="J38" s="41" t="n">
        <f aca="false">2/(p_MacdF+1)*E38+(1-2/(p_MacdF+1))*J37</f>
        <v>23.5664879410209</v>
      </c>
      <c r="K38" s="41" t="n">
        <f aca="false">2/(p_MacdS+1)*E38+(1-2/(p_MacdS+1))*K37</f>
        <v>22.5467622533003</v>
      </c>
      <c r="L38" s="41" t="n">
        <f aca="false">J38-K38</f>
        <v>1.01972568772064</v>
      </c>
      <c r="M38" s="41" t="n">
        <f aca="false">2/(p_MacdSig+1)*L38+(1-2/(p_MacdSig+1))*M37</f>
        <v>0.918704983617005</v>
      </c>
      <c r="N38" s="41" t="n">
        <f aca="false">L38-M38</f>
        <v>0.101020704103639</v>
      </c>
      <c r="O38" s="42" t="n">
        <f aca="false">IF(H38&gt;H37,1,0)</f>
        <v>1</v>
      </c>
      <c r="P38" s="42" t="n">
        <f aca="false">IF(H38&lt;H37,1,0)</f>
        <v>0</v>
      </c>
      <c r="Q38" s="42" t="n">
        <f aca="false">IF(N38&gt;N37,1,0)</f>
        <v>0</v>
      </c>
      <c r="R38" s="42" t="n">
        <f aca="false">IF(N38&lt;N37,1,0)</f>
        <v>1</v>
      </c>
      <c r="S38" s="42" t="n">
        <f aca="false">IF(AND(O38=1,Q38=1),1,IF(AND(P38=1,R38=1),-1,0))</f>
        <v>0</v>
      </c>
      <c r="T38" s="43" t="str">
        <f aca="false">IF(S38=1,"绿",IF(S38=-1,"红","蓝"))</f>
        <v>蓝</v>
      </c>
      <c r="U38" s="44" t="n">
        <f aca="false">F38*(E38-E37)</f>
        <v>-1589742.00000001</v>
      </c>
      <c r="V38" s="44" t="n">
        <f aca="false">2/(p_FiS+1)*U38+(1-2/(p_FiS+1))*V37</f>
        <v>-839385.190661405</v>
      </c>
      <c r="W38" s="44" t="n">
        <f aca="false">2/(p_FiL+1)*U38+(1-2/(p_FiL+1))*W37</f>
        <v>689503.584962858</v>
      </c>
      <c r="X38" s="41" t="n">
        <f aca="false">MAX(C38-D38,ABS(C38-E37),ABS(D38-E37))</f>
        <v>0.75</v>
      </c>
      <c r="Y38" s="41" t="n">
        <f aca="true">AVERAGE(OFFSET(X38,1-MIN(p_AtrN,ROW()-4),0,MIN(p_AtrN,ROW()-4),1))</f>
        <v>0.532307692307693</v>
      </c>
      <c r="Z38" s="41" t="n">
        <f aca="false">IF(AND(C38-C37&gt;D37-D38,C38-C37&gt;0),C38-C37,0)</f>
        <v>0</v>
      </c>
      <c r="AA38" s="41" t="n">
        <f aca="false">IF(AND(D37-D38&gt;C38-C37,D37-D38&gt;0),D37-D38,0)</f>
        <v>0.240000000000002</v>
      </c>
      <c r="AB38" s="41" t="n">
        <f aca="false">2/(p_AdxN+1)*X38+(1-2/(p_AdxN+1))*AB37</f>
        <v>0.542524429785092</v>
      </c>
      <c r="AC38" s="41" t="n">
        <f aca="false">2/(p_AdxN+1)*Z38+(1-2/(p_AdxN+1))*AC37</f>
        <v>0.196331111469046</v>
      </c>
      <c r="AD38" s="41" t="n">
        <f aca="false">2/(p_AdxN+1)*AA38+(1-2/(p_AdxN+1))*AD37</f>
        <v>0.0607932552118331</v>
      </c>
      <c r="AE38" s="45" t="n">
        <f aca="false">100*AC38/AB38</f>
        <v>36.1884369975409</v>
      </c>
      <c r="AF38" s="45" t="n">
        <f aca="false">100*AD38/AB38</f>
        <v>11.2056253827897</v>
      </c>
      <c r="AG38" s="45" t="n">
        <f aca="false">IFERROR(100*ABS(AE38-AF38)/(AE38+AF38),0)</f>
        <v>52.7129567713942</v>
      </c>
      <c r="AH38" s="45" t="n">
        <f aca="false">2/(p_AdxN+1)*AG38+(1-2/(p_AdxN+1))*AH37</f>
        <v>73.5738396462169</v>
      </c>
      <c r="AI38" s="40" t="n">
        <f aca="false">I38*(1+p_ChPct)</f>
        <v>23.8995679884983</v>
      </c>
      <c r="AJ38" s="40" t="n">
        <f aca="false">I38*(1-p_ChPct)</f>
        <v>21.1939565181023</v>
      </c>
      <c r="AK38" s="40" t="n">
        <f aca="false">I38+1*Y38</f>
        <v>23.079069945608</v>
      </c>
      <c r="AL38" s="40" t="n">
        <f aca="false">I38+2*Y38</f>
        <v>23.6113776379157</v>
      </c>
      <c r="AM38" s="40" t="n">
        <f aca="false">I38+3*Y38</f>
        <v>24.1436853302234</v>
      </c>
      <c r="AN38" s="40" t="n">
        <f aca="false">I38-1*Y38</f>
        <v>22.0144545609926</v>
      </c>
      <c r="AO38" s="40" t="n">
        <f aca="false">I38-2*Y38</f>
        <v>21.4821468686849</v>
      </c>
      <c r="AP38" s="40" t="n">
        <f aca="false">I38-3*Y38</f>
        <v>20.9498391763772</v>
      </c>
      <c r="AQ38" s="40" t="n">
        <f aca="true">MAX(OFFSET(C38,1-MIN(p_StochN,ROW()-4),0,MIN(p_StochN,ROW()-4),1))</f>
        <v>24.77</v>
      </c>
      <c r="AR38" s="40" t="n">
        <f aca="true">MIN(OFFSET(D38,1-MIN(p_StochN,ROW()-4),0,MIN(p_StochN,ROW()-4),1))</f>
        <v>23.33</v>
      </c>
      <c r="AS38" s="45" t="n">
        <f aca="false">IF(AQ38=AR38,50,100*(E38-AR38)/(AQ38-AR38))</f>
        <v>59.0277777777778</v>
      </c>
      <c r="AT38" s="45" t="n">
        <f aca="true">AVERAGE(OFFSET(AS38,1-MIN(p_StochSm,ROW()-4),0,MIN(p_StochSm,ROW()-4),1))</f>
        <v>76.8554131054132</v>
      </c>
      <c r="AU38" s="45" t="n">
        <f aca="true">AVERAGE(OFFSET(AT38,1-MIN(p_StochSm,ROW()-4),0,MIN(p_StochSm,ROW()-4),1))</f>
        <v>80.3679314667008</v>
      </c>
      <c r="AV38" s="41" t="n">
        <f aca="false">MAX(0,H38-D38)</f>
        <v>0</v>
      </c>
      <c r="AW38" s="41" t="n">
        <f aca="true">IF(COUNTIF(OFFSET(AV38,1-MIN(p_PenLb,ROW()-4),0,MIN(p_PenLb,ROW()-4),1),"&gt;0")&gt;0,SUM(OFFSET(AV38,1-MIN(p_PenLb,ROW()-4),0,MIN(p_PenLb,ROW()-4),1))/COUNTIF(OFFSET(AV38,1-MIN(p_PenLb,ROW()-4),0,MIN(p_PenLb,ROW()-4),1),"&gt;0"),0.5*Y38)</f>
        <v>0.223768247596436</v>
      </c>
      <c r="AX38" s="41" t="n">
        <f aca="false">2*H38-H37</f>
        <v>23.5963264429425</v>
      </c>
      <c r="AY38" s="40" t="n">
        <f aca="false">ROUND(MAX(AX38-AW38,0.01),2)</f>
        <v>23.37</v>
      </c>
      <c r="AZ38" s="40" t="n">
        <f aca="true">IF(MIN(p_StopLb,ROW()-4)&lt;2,D38,SMALL(OFFSET(D38,1-MIN(p_StopLb,ROW()-4),0,MIN(p_StopLb,ROW()-4),1),2))</f>
        <v>22.83</v>
      </c>
      <c r="BA38" s="40" t="n">
        <f aca="false">IF(MOD(ROUND(ROUNDDOWN(MIN(AZ38-0.01,AY38-p_StopAtr*Y38),2)*100,0),50)=0,ROUNDDOWN(MIN(AZ38-0.01,AY38-p_StopAtr*Y38),2)-0.01,ROUNDDOWN(MIN(AZ38-0.01,AY38-p_StopAtr*Y38),2))</f>
        <v>22.82</v>
      </c>
      <c r="BB38" s="40" t="n">
        <f aca="false">ROUND(AI38,2)</f>
        <v>23.9</v>
      </c>
      <c r="BC38" s="40" t="n">
        <f aca="false">IF(AY38-BA38&gt;0,(BB38-AY38)/(AY38-BA38),0)</f>
        <v>0.963636363636358</v>
      </c>
      <c r="BD38" s="42" t="n">
        <f aca="false">IF(N38&lt;0,1,0)</f>
        <v>0</v>
      </c>
      <c r="BE38" s="41" t="n">
        <f aca="false">IF(AND(BD38=1,BD37=0),N38,IF(BD38=1,MIN(BE37,N38),BE37))</f>
        <v>-0.0234128043712021</v>
      </c>
      <c r="BF38" s="40" t="n">
        <f aca="false">IF(AND(BD38=1,BD37=0),D38,IF(BD38=1,MIN(BF37,D38),BF37))</f>
        <v>19.42</v>
      </c>
      <c r="BG38" s="42" t="n">
        <f aca="false">IF(AND(BD38=1,BD37=0),ROW(),IF(BD38=1,IF(N38&lt;BE37,ROW(),BG37),BG37))</f>
        <v>10</v>
      </c>
      <c r="BH38" s="41" t="str">
        <f aca="false">IF(AND(BD38=1,BD37=0),BE37,BH37)</f>
        <v/>
      </c>
      <c r="BI38" s="40" t="str">
        <f aca="false">IF(AND(BD38=1,BD37=0),BF37,BI37)</f>
        <v/>
      </c>
      <c r="BJ38" s="42" t="str">
        <f aca="false">IF(AND(BD38=1,BD37=0),BG37,BJ37)</f>
        <v/>
      </c>
      <c r="BK38" s="42" t="str">
        <f aca="false">IF(AND(ISNUMBER(BG38),ISNUMBER(BJ38)),BG38-BJ38,"")</f>
        <v/>
      </c>
      <c r="BL38" s="42" t="n">
        <f aca="false">IF(AND(BD38=1,N38&gt;N37,ISNUMBER(BH38),ISNUMBER(BK38)),IF(AND(BE38&gt;BH38,BF38&lt;BI38,BK38&gt;=p_GapMin,BK38&lt;=p_GapMax),1,0),0)</f>
        <v>0</v>
      </c>
      <c r="BM38" s="42" t="n">
        <f aca="false">IF(AND(BL38=1,E38&gt;BI38),1,0)</f>
        <v>0</v>
      </c>
      <c r="BN38" s="42" t="n">
        <f aca="false">IF(BL38=1,IF(BE38&gt;=BH38*0.5,1,0),0)</f>
        <v>0</v>
      </c>
      <c r="BO38" s="42" t="n">
        <f aca="true">IF(V38&gt;MIN(OFFSET(V38,-MIN(p_FiLb-1,ROW()-5),0,MIN(p_FiLb-1,ROW()-5),1)),1,0)</f>
        <v>0</v>
      </c>
      <c r="BP38" s="44" t="n">
        <f aca="true">IF(COUNTIF(OFFSET(V38,1-MIN(100,ROW()-4),0,MIN(100,ROW()-4),1),"&lt;0")&gt;=5,AVERAGEIF(OFFSET(V38,1-MIN(100,ROW()-4),0,MIN(100,ROW()-4),1),"&lt;0"),"")</f>
        <v>-486357.174503479</v>
      </c>
      <c r="BQ38" s="42" t="n">
        <f aca="false">IF(ISNUMBER(BP38),IF(AND(V38&lt;5*BP38,V38&gt;V37,E38&lt;AJ38),1,0),0)</f>
        <v>0</v>
      </c>
      <c r="BR38" s="44" t="n">
        <f aca="true">AVERAGE(OFFSET(F38,1-MIN(5,ROW()-4),0,MIN(5,ROW()-4),1))</f>
        <v>4062400</v>
      </c>
      <c r="BS38" s="42" t="n">
        <f aca="false">IFERROR(IF(MATCH(G38,周线!$A$5:$A$84,0)&lt;=1,"",INDEX(周线!$R$5:$R$84,MATCH(G38,周线!$A$5:$A$84,0)-1)),"")</f>
        <v>1</v>
      </c>
      <c r="BT38" s="42" t="n">
        <f aca="false">IFERROR(IF(MATCH(G38,周线!$A$5:$A$84,0)&lt;=1,"",INDEX(周线!$S$5:$S$84,MATCH(G38,周线!$A$5:$A$84,0)-1)),"")</f>
        <v>1</v>
      </c>
      <c r="BU38" s="42" t="n">
        <f aca="false">IFERROR(IF(MATCH(G38,周线!$A$5:$A$84,0)&lt;=1,"",INDEX(周线!$U$5:$U$84,MATCH(G38,周线!$A$5:$A$84,0)-1)),"")</f>
        <v>1</v>
      </c>
      <c r="BV38" s="42" t="n">
        <f aca="false">IF(AND(BS38=1,S38&lt;&gt;-1,V38&lt;0,BO38=1,E38&lt;=H38,E38&gt;=AJ38),1,0)</f>
        <v>0</v>
      </c>
      <c r="BW38" s="42" t="n">
        <f aca="false">BL38</f>
        <v>0</v>
      </c>
      <c r="BX38" s="42" t="n">
        <f aca="false">BQ38</f>
        <v>0</v>
      </c>
      <c r="BY38" s="42" t="n">
        <f aca="false">IF(BS38=1,10,0)+IF(BU38=1,5,IF(BU38=-1,0,3))+IF(BT38=1,5,0)+IF(AND(AE38&gt;AF38,AH38&gt;AH37),5,0)</f>
        <v>20</v>
      </c>
      <c r="BZ38" s="42" t="n">
        <f aca="false">IF(AND(E38&lt;=H38,E38&gt;=I38),10,IF(AND(E38&gt;=AJ38,E38&lt;I38),6,0))+IF(AND(V38&lt;0,BO38=1),8,0)+IF(AT38&lt;30,7,IF(AT38&lt;50,3,0))</f>
        <v>0</v>
      </c>
      <c r="CA38" s="42" t="n">
        <f aca="false">IF(AND(BV38=1,BW38=1),25,IF(BW38=1,22,IF(BV38=1,15,IF(BX38=1,12,0))))</f>
        <v>0</v>
      </c>
      <c r="CB38" s="42" t="n">
        <f aca="false">IF(W38&gt;0,6,0)+IF(F38&lt;BR38,4,0)</f>
        <v>6</v>
      </c>
      <c r="CC38" s="42" t="n">
        <f aca="false">IF(BC38&gt;=3,15,IF(BC38&gt;=p_RRmin,10,IF(BC38&gt;=1.5,4,0)))</f>
        <v>0</v>
      </c>
      <c r="CD38" s="42" t="n">
        <f aca="false">BY38+BZ38+CA38+CB38+CC38</f>
        <v>26</v>
      </c>
      <c r="CE38" s="42" t="n">
        <f aca="false">IF(AND(BS38&lt;&gt;1,BW38+BX38=0),1,0)</f>
        <v>0</v>
      </c>
      <c r="CF38" s="42" t="n">
        <f aca="false">IF(BU38=-1,1,0)</f>
        <v>0</v>
      </c>
      <c r="CG38" s="42" t="n">
        <f aca="false">IF(S38=-1,1,0)</f>
        <v>0</v>
      </c>
      <c r="CH38" s="42" t="n">
        <f aca="false">IF(BV38+BW38+BX38=0,1,0)</f>
        <v>1</v>
      </c>
      <c r="CI38" s="42" t="n">
        <f aca="false">IF(BC38&lt;p_RRmin,1,0)</f>
        <v>1</v>
      </c>
      <c r="CJ38" s="46" t="str">
        <f aca="false">IF(SUM(CE38:CI38)=0,IF(CD38&gt;=p_GradeA,"A",IF(CD38&gt;=p_GradeB,"B","C")),IF(AND(CI38=1,SUM(CE38:CH38)=0,CD38&gt;=p_GradeB),"B","C"))</f>
        <v>C</v>
      </c>
    </row>
    <row r="39" customFormat="false" ht="15" hidden="false" customHeight="false" outlineLevel="0" collapsed="false">
      <c r="A39" s="36" t="n">
        <v>45707</v>
      </c>
      <c r="B39" s="37" t="n">
        <v>24.1</v>
      </c>
      <c r="C39" s="37" t="n">
        <v>24.49</v>
      </c>
      <c r="D39" s="37" t="n">
        <v>23.91</v>
      </c>
      <c r="E39" s="37" t="n">
        <v>24.25</v>
      </c>
      <c r="F39" s="38" t="n">
        <v>3389900</v>
      </c>
      <c r="G39" s="39" t="n">
        <f aca="false">A39-WEEKDAY(A39,3)</f>
        <v>45705</v>
      </c>
      <c r="H39" s="40" t="n">
        <f aca="false">2/(p_EmaF+1)*E39+(1-2/(p_EmaF+1))*H38</f>
        <v>23.589650055598</v>
      </c>
      <c r="I39" s="40" t="n">
        <f aca="false">2/(p_EmaS+1)*E39+(1-2/(p_EmaS+1))*I38</f>
        <v>22.6729280123151</v>
      </c>
      <c r="J39" s="41" t="n">
        <f aca="false">2/(p_MacdF+1)*E39+(1-2/(p_MacdF+1))*J38</f>
        <v>23.6716436424023</v>
      </c>
      <c r="K39" s="41" t="n">
        <f aca="false">2/(p_MacdS+1)*E39+(1-2/(p_MacdS+1))*K38</f>
        <v>22.6729280123151</v>
      </c>
      <c r="L39" s="41" t="n">
        <f aca="false">J39-K39</f>
        <v>0.998715630087244</v>
      </c>
      <c r="M39" s="41" t="n">
        <f aca="false">2/(p_MacdSig+1)*L39+(1-2/(p_MacdSig+1))*M38</f>
        <v>0.934707112911053</v>
      </c>
      <c r="N39" s="41" t="n">
        <f aca="false">L39-M39</f>
        <v>0.0640085171761905</v>
      </c>
      <c r="O39" s="42" t="n">
        <f aca="false">IF(H39&gt;H38,1,0)</f>
        <v>1</v>
      </c>
      <c r="P39" s="42" t="n">
        <f aca="false">IF(H39&lt;H38,1,0)</f>
        <v>0</v>
      </c>
      <c r="Q39" s="42" t="n">
        <f aca="false">IF(N39&gt;N38,1,0)</f>
        <v>0</v>
      </c>
      <c r="R39" s="42" t="n">
        <f aca="false">IF(N39&lt;N38,1,0)</f>
        <v>1</v>
      </c>
      <c r="S39" s="42" t="n">
        <f aca="false">IF(AND(O39=1,Q39=1),1,IF(AND(P39=1,R39=1),-1,0))</f>
        <v>0</v>
      </c>
      <c r="T39" s="43" t="str">
        <f aca="false">IF(S39=1,"绿",IF(S39=-1,"红","蓝"))</f>
        <v>蓝</v>
      </c>
      <c r="U39" s="44" t="n">
        <f aca="false">F39*(E39-E38)</f>
        <v>237293.000000001</v>
      </c>
      <c r="V39" s="44" t="n">
        <f aca="false">2/(p_FiS+1)*U39+(1-2/(p_FiS+1))*V38</f>
        <v>-121599.730220468</v>
      </c>
      <c r="W39" s="44" t="n">
        <f aca="false">2/(p_FiL+1)*U39+(1-2/(p_FiL+1))*W38</f>
        <v>624902.072825307</v>
      </c>
      <c r="X39" s="41" t="n">
        <f aca="false">MAX(C39-D39,ABS(C39-E38),ABS(D39-E38))</f>
        <v>0.579999999999998</v>
      </c>
      <c r="Y39" s="41" t="n">
        <f aca="true">AVERAGE(OFFSET(X39,1-MIN(p_AtrN,ROW()-4),0,MIN(p_AtrN,ROW()-4),1))</f>
        <v>0.538461538461538</v>
      </c>
      <c r="Z39" s="41" t="n">
        <f aca="false">IF(AND(C39-C38&gt;D38-D39,C39-C38&gt;0),C39-C38,0)</f>
        <v>0</v>
      </c>
      <c r="AA39" s="41" t="n">
        <f aca="false">IF(AND(D38-D39&gt;C39-C38,D38-D39&gt;0),D38-D39,0)</f>
        <v>0.109999999999999</v>
      </c>
      <c r="AB39" s="41" t="n">
        <f aca="false">2/(p_AdxN+1)*X39+(1-2/(p_AdxN+1))*AB38</f>
        <v>0.547878082672936</v>
      </c>
      <c r="AC39" s="41" t="n">
        <f aca="false">2/(p_AdxN+1)*Z39+(1-2/(p_AdxN+1))*AC38</f>
        <v>0.168283809830611</v>
      </c>
      <c r="AD39" s="41" t="n">
        <f aca="false">2/(p_AdxN+1)*AA39+(1-2/(p_AdxN+1))*AD38</f>
        <v>0.0678227901815712</v>
      </c>
      <c r="AE39" s="45" t="n">
        <f aca="false">100*AC39/AB39</f>
        <v>30.7155579229605</v>
      </c>
      <c r="AF39" s="45" t="n">
        <f aca="false">100*AD39/AB39</f>
        <v>12.3791756462832</v>
      </c>
      <c r="AG39" s="45" t="n">
        <f aca="false">IFERROR(100*ABS(AE39-AF39)/(AE39+AF39),0)</f>
        <v>42.5490094914147</v>
      </c>
      <c r="AH39" s="45" t="n">
        <f aca="false">2/(p_AdxN+1)*AG39+(1-2/(p_AdxN+1))*AH38</f>
        <v>69.1417210526737</v>
      </c>
      <c r="AI39" s="40" t="n">
        <f aca="false">I39*(1+p_ChPct)</f>
        <v>24.033303693054</v>
      </c>
      <c r="AJ39" s="40" t="n">
        <f aca="false">I39*(1-p_ChPct)</f>
        <v>21.3125523315762</v>
      </c>
      <c r="AK39" s="40" t="n">
        <f aca="false">I39+1*Y39</f>
        <v>23.2113895507766</v>
      </c>
      <c r="AL39" s="40" t="n">
        <f aca="false">I39+2*Y39</f>
        <v>23.7498510892382</v>
      </c>
      <c r="AM39" s="40" t="n">
        <f aca="false">I39+3*Y39</f>
        <v>24.2883126276997</v>
      </c>
      <c r="AN39" s="40" t="n">
        <f aca="false">I39-1*Y39</f>
        <v>22.1344664738535</v>
      </c>
      <c r="AO39" s="40" t="n">
        <f aca="false">I39-2*Y39</f>
        <v>21.596004935392</v>
      </c>
      <c r="AP39" s="40" t="n">
        <f aca="false">I39-3*Y39</f>
        <v>21.0575433969305</v>
      </c>
      <c r="AQ39" s="40" t="n">
        <f aca="true">MAX(OFFSET(C39,1-MIN(p_StochN,ROW()-4),0,MIN(p_StochN,ROW()-4),1))</f>
        <v>24.77</v>
      </c>
      <c r="AR39" s="40" t="n">
        <f aca="true">MIN(OFFSET(D39,1-MIN(p_StochN,ROW()-4),0,MIN(p_StochN,ROW()-4),1))</f>
        <v>23.37</v>
      </c>
      <c r="AS39" s="45" t="n">
        <f aca="false">IF(AQ39=AR39,50,100*(E39-AR39)/(AQ39-AR39))</f>
        <v>62.8571428571429</v>
      </c>
      <c r="AT39" s="45" t="n">
        <f aca="true">AVERAGE(OFFSET(AS39,1-MIN(p_StochSm,ROW()-4),0,MIN(p_StochSm,ROW()-4),1))</f>
        <v>70.8847171347172</v>
      </c>
      <c r="AU39" s="45" t="n">
        <f aca="true">AVERAGE(OFFSET(AT39,1-MIN(p_StochSm,ROW()-4),0,MIN(p_StochSm,ROW()-4),1))</f>
        <v>78.6296281863658</v>
      </c>
      <c r="AV39" s="41" t="n">
        <f aca="false">MAX(0,H39-D39)</f>
        <v>0</v>
      </c>
      <c r="AW39" s="41" t="n">
        <f aca="true">IF(COUNTIF(OFFSET(AV39,1-MIN(p_PenLb,ROW()-4),0,MIN(p_PenLb,ROW()-4),1),"&gt;0")&gt;0,SUM(OFFSET(AV39,1-MIN(p_PenLb,ROW()-4),0,MIN(p_PenLb,ROW()-4),1))/COUNTIF(OFFSET(AV39,1-MIN(p_PenLb,ROW()-4),0,MIN(p_PenLb,ROW()-4),1),"&gt;0"),0.5*Y39)</f>
        <v>0.195028352759203</v>
      </c>
      <c r="AX39" s="41" t="n">
        <f aca="false">2*H39-H38</f>
        <v>23.699708379665</v>
      </c>
      <c r="AY39" s="40" t="n">
        <f aca="false">ROUND(MAX(AX39-AW39,0.01),2)</f>
        <v>23.5</v>
      </c>
      <c r="AZ39" s="40" t="n">
        <f aca="true">IF(MIN(p_StopLb,ROW()-4)&lt;2,D39,SMALL(OFFSET(D39,1-MIN(p_StopLb,ROW()-4),0,MIN(p_StopLb,ROW()-4),1),2))</f>
        <v>23.1</v>
      </c>
      <c r="BA39" s="40" t="n">
        <f aca="false">IF(MOD(ROUND(ROUNDDOWN(MIN(AZ39-0.01,AY39-p_StopAtr*Y39),2)*100,0),50)=0,ROUNDDOWN(MIN(AZ39-0.01,AY39-p_StopAtr*Y39),2)-0.01,ROUNDDOWN(MIN(AZ39-0.01,AY39-p_StopAtr*Y39),2))</f>
        <v>22.96</v>
      </c>
      <c r="BB39" s="40" t="n">
        <f aca="false">ROUND(AI39,2)</f>
        <v>24.03</v>
      </c>
      <c r="BC39" s="40" t="n">
        <f aca="false">IF(AY39-BA39&gt;0,(BB39-AY39)/(AY39-BA39),0)</f>
        <v>0.981481481481485</v>
      </c>
      <c r="BD39" s="42" t="n">
        <f aca="false">IF(N39&lt;0,1,0)</f>
        <v>0</v>
      </c>
      <c r="BE39" s="41" t="n">
        <f aca="false">IF(AND(BD39=1,BD38=0),N39,IF(BD39=1,MIN(BE38,N39),BE38))</f>
        <v>-0.0234128043712021</v>
      </c>
      <c r="BF39" s="40" t="n">
        <f aca="false">IF(AND(BD39=1,BD38=0),D39,IF(BD39=1,MIN(BF38,D39),BF38))</f>
        <v>19.42</v>
      </c>
      <c r="BG39" s="42" t="n">
        <f aca="false">IF(AND(BD39=1,BD38=0),ROW(),IF(BD39=1,IF(N39&lt;BE38,ROW(),BG38),BG38))</f>
        <v>10</v>
      </c>
      <c r="BH39" s="41" t="str">
        <f aca="false">IF(AND(BD39=1,BD38=0),BE38,BH38)</f>
        <v/>
      </c>
      <c r="BI39" s="40" t="str">
        <f aca="false">IF(AND(BD39=1,BD38=0),BF38,BI38)</f>
        <v/>
      </c>
      <c r="BJ39" s="42" t="str">
        <f aca="false">IF(AND(BD39=1,BD38=0),BG38,BJ38)</f>
        <v/>
      </c>
      <c r="BK39" s="42" t="str">
        <f aca="false">IF(AND(ISNUMBER(BG39),ISNUMBER(BJ39)),BG39-BJ39,"")</f>
        <v/>
      </c>
      <c r="BL39" s="42" t="n">
        <f aca="false">IF(AND(BD39=1,N39&gt;N38,ISNUMBER(BH39),ISNUMBER(BK39)),IF(AND(BE39&gt;BH39,BF39&lt;BI39,BK39&gt;=p_GapMin,BK39&lt;=p_GapMax),1,0),0)</f>
        <v>0</v>
      </c>
      <c r="BM39" s="42" t="n">
        <f aca="false">IF(AND(BL39=1,E39&gt;BI39),1,0)</f>
        <v>0</v>
      </c>
      <c r="BN39" s="42" t="n">
        <f aca="false">IF(BL39=1,IF(BE39&gt;=BH39*0.5,1,0),0)</f>
        <v>0</v>
      </c>
      <c r="BO39" s="42" t="n">
        <f aca="true">IF(V39&gt;MIN(OFFSET(V39,-MIN(p_FiLb-1,ROW()-5),0,MIN(p_FiLb-1,ROW()-5),1)),1,0)</f>
        <v>1</v>
      </c>
      <c r="BP39" s="44" t="n">
        <f aca="true">IF(COUNTIF(OFFSET(V39,1-MIN(100,ROW()-4),0,MIN(100,ROW()-4),1),"&lt;0")&gt;=5,AVERAGEIF(OFFSET(V39,1-MIN(100,ROW()-4),0,MIN(100,ROW()-4),1),"&lt;0"),"")</f>
        <v>-453197.406841387</v>
      </c>
      <c r="BQ39" s="42" t="n">
        <f aca="false">IF(ISNUMBER(BP39),IF(AND(V39&lt;5*BP39,V39&gt;V38,E39&lt;AJ39),1,0),0)</f>
        <v>0</v>
      </c>
      <c r="BR39" s="44" t="n">
        <f aca="true">AVERAGE(OFFSET(F39,1-MIN(5,ROW()-4),0,MIN(5,ROW()-4),1))</f>
        <v>4121620</v>
      </c>
      <c r="BS39" s="42" t="n">
        <f aca="false">IFERROR(IF(MATCH(G39,周线!$A$5:$A$84,0)&lt;=1,"",INDEX(周线!$R$5:$R$84,MATCH(G39,周线!$A$5:$A$84,0)-1)),"")</f>
        <v>1</v>
      </c>
      <c r="BT39" s="42" t="n">
        <f aca="false">IFERROR(IF(MATCH(G39,周线!$A$5:$A$84,0)&lt;=1,"",INDEX(周线!$S$5:$S$84,MATCH(G39,周线!$A$5:$A$84,0)-1)),"")</f>
        <v>1</v>
      </c>
      <c r="BU39" s="42" t="n">
        <f aca="false">IFERROR(IF(MATCH(G39,周线!$A$5:$A$84,0)&lt;=1,"",INDEX(周线!$U$5:$U$84,MATCH(G39,周线!$A$5:$A$84,0)-1)),"")</f>
        <v>1</v>
      </c>
      <c r="BV39" s="42" t="n">
        <f aca="false">IF(AND(BS39=1,S39&lt;&gt;-1,V39&lt;0,BO39=1,E39&lt;=H39,E39&gt;=AJ39),1,0)</f>
        <v>0</v>
      </c>
      <c r="BW39" s="42" t="n">
        <f aca="false">BL39</f>
        <v>0</v>
      </c>
      <c r="BX39" s="42" t="n">
        <f aca="false">BQ39</f>
        <v>0</v>
      </c>
      <c r="BY39" s="42" t="n">
        <f aca="false">IF(BS39=1,10,0)+IF(BU39=1,5,IF(BU39=-1,0,3))+IF(BT39=1,5,0)+IF(AND(AE39&gt;AF39,AH39&gt;AH38),5,0)</f>
        <v>20</v>
      </c>
      <c r="BZ39" s="42" t="n">
        <f aca="false">IF(AND(E39&lt;=H39,E39&gt;=I39),10,IF(AND(E39&gt;=AJ39,E39&lt;I39),6,0))+IF(AND(V39&lt;0,BO39=1),8,0)+IF(AT39&lt;30,7,IF(AT39&lt;50,3,0))</f>
        <v>8</v>
      </c>
      <c r="CA39" s="42" t="n">
        <f aca="false">IF(AND(BV39=1,BW39=1),25,IF(BW39=1,22,IF(BV39=1,15,IF(BX39=1,12,0))))</f>
        <v>0</v>
      </c>
      <c r="CB39" s="42" t="n">
        <f aca="false">IF(W39&gt;0,6,0)+IF(F39&lt;BR39,4,0)</f>
        <v>10</v>
      </c>
      <c r="CC39" s="42" t="n">
        <f aca="false">IF(BC39&gt;=3,15,IF(BC39&gt;=p_RRmin,10,IF(BC39&gt;=1.5,4,0)))</f>
        <v>0</v>
      </c>
      <c r="CD39" s="42" t="n">
        <f aca="false">BY39+BZ39+CA39+CB39+CC39</f>
        <v>38</v>
      </c>
      <c r="CE39" s="42" t="n">
        <f aca="false">IF(AND(BS39&lt;&gt;1,BW39+BX39=0),1,0)</f>
        <v>0</v>
      </c>
      <c r="CF39" s="42" t="n">
        <f aca="false">IF(BU39=-1,1,0)</f>
        <v>0</v>
      </c>
      <c r="CG39" s="42" t="n">
        <f aca="false">IF(S39=-1,1,0)</f>
        <v>0</v>
      </c>
      <c r="CH39" s="42" t="n">
        <f aca="false">IF(BV39+BW39+BX39=0,1,0)</f>
        <v>1</v>
      </c>
      <c r="CI39" s="42" t="n">
        <f aca="false">IF(BC39&lt;p_RRmin,1,0)</f>
        <v>1</v>
      </c>
      <c r="CJ39" s="46" t="str">
        <f aca="false">IF(SUM(CE39:CI39)=0,IF(CD39&gt;=p_GradeA,"A",IF(CD39&gt;=p_GradeB,"B","C")),IF(AND(CI39=1,SUM(CE39:CH39)=0,CD39&gt;=p_GradeB),"B","C"))</f>
        <v>C</v>
      </c>
    </row>
    <row r="40" customFormat="false" ht="15" hidden="false" customHeight="false" outlineLevel="0" collapsed="false">
      <c r="A40" s="36" t="n">
        <v>45708</v>
      </c>
      <c r="B40" s="37" t="n">
        <v>24.36</v>
      </c>
      <c r="C40" s="37" t="n">
        <v>24.65</v>
      </c>
      <c r="D40" s="37" t="n">
        <v>24.33</v>
      </c>
      <c r="E40" s="37" t="n">
        <v>24.57</v>
      </c>
      <c r="F40" s="38" t="n">
        <v>5112600</v>
      </c>
      <c r="G40" s="39" t="n">
        <f aca="false">A40-WEEKDAY(A40,3)</f>
        <v>45705</v>
      </c>
      <c r="H40" s="40" t="n">
        <f aca="false">2/(p_EmaF+1)*E40+(1-2/(p_EmaF+1))*H39</f>
        <v>23.7297000476554</v>
      </c>
      <c r="I40" s="40" t="n">
        <f aca="false">2/(p_EmaS+1)*E40+(1-2/(p_EmaS+1))*I39</f>
        <v>22.8134518632547</v>
      </c>
      <c r="J40" s="41" t="n">
        <f aca="false">2/(p_MacdF+1)*E40+(1-2/(p_MacdF+1))*J39</f>
        <v>23.809852312802</v>
      </c>
      <c r="K40" s="41" t="n">
        <f aca="false">2/(p_MacdS+1)*E40+(1-2/(p_MacdS+1))*K39</f>
        <v>22.8134518632547</v>
      </c>
      <c r="L40" s="41" t="n">
        <f aca="false">J40-K40</f>
        <v>0.996400449547267</v>
      </c>
      <c r="M40" s="41" t="n">
        <f aca="false">2/(p_MacdSig+1)*L40+(1-2/(p_MacdSig+1))*M39</f>
        <v>0.947045780238296</v>
      </c>
      <c r="N40" s="41" t="n">
        <f aca="false">L40-M40</f>
        <v>0.0493546693089707</v>
      </c>
      <c r="O40" s="42" t="n">
        <f aca="false">IF(H40&gt;H39,1,0)</f>
        <v>1</v>
      </c>
      <c r="P40" s="42" t="n">
        <f aca="false">IF(H40&lt;H39,1,0)</f>
        <v>0</v>
      </c>
      <c r="Q40" s="42" t="n">
        <f aca="false">IF(N40&gt;N39,1,0)</f>
        <v>0</v>
      </c>
      <c r="R40" s="42" t="n">
        <f aca="false">IF(N40&lt;N39,1,0)</f>
        <v>1</v>
      </c>
      <c r="S40" s="42" t="n">
        <f aca="false">IF(AND(O40=1,Q40=1),1,IF(AND(P40=1,R40=1),-1,0))</f>
        <v>0</v>
      </c>
      <c r="T40" s="43" t="str">
        <f aca="false">IF(S40=1,"绿",IF(S40=-1,"红","蓝"))</f>
        <v>蓝</v>
      </c>
      <c r="U40" s="44" t="n">
        <f aca="false">F40*(E40-E39)</f>
        <v>1636032</v>
      </c>
      <c r="V40" s="44" t="n">
        <f aca="false">2/(p_FiS+1)*U40+(1-2/(p_FiS+1))*V39</f>
        <v>1050154.75659318</v>
      </c>
      <c r="W40" s="44" t="n">
        <f aca="false">2/(p_FiL+1)*U40+(1-2/(p_FiL+1))*W39</f>
        <v>769349.205278835</v>
      </c>
      <c r="X40" s="41" t="n">
        <f aca="false">MAX(C40-D40,ABS(C40-E39),ABS(D40-E39))</f>
        <v>0.399999999999999</v>
      </c>
      <c r="Y40" s="41" t="n">
        <f aca="true">AVERAGE(OFFSET(X40,1-MIN(p_AtrN,ROW()-4),0,MIN(p_AtrN,ROW()-4),1))</f>
        <v>0.538461538461538</v>
      </c>
      <c r="Z40" s="41" t="n">
        <f aca="false">IF(AND(C40-C39&gt;D39-D40,C40-C39&gt;0),C40-C39,0)</f>
        <v>0.16</v>
      </c>
      <c r="AA40" s="41" t="n">
        <f aca="false">IF(AND(D39-D40&gt;C40-C39,D39-D40&gt;0),D39-D40,0)</f>
        <v>0</v>
      </c>
      <c r="AB40" s="41" t="n">
        <f aca="false">2/(p_AdxN+1)*X40+(1-2/(p_AdxN+1))*AB39</f>
        <v>0.526752642291088</v>
      </c>
      <c r="AC40" s="41" t="n">
        <f aca="false">2/(p_AdxN+1)*Z40+(1-2/(p_AdxN+1))*AC39</f>
        <v>0.167100408426238</v>
      </c>
      <c r="AD40" s="41" t="n">
        <f aca="false">2/(p_AdxN+1)*AA40+(1-2/(p_AdxN+1))*AD39</f>
        <v>0.0581338201556324</v>
      </c>
      <c r="AE40" s="45" t="n">
        <f aca="false">100*AC40/AB40</f>
        <v>31.7227470752576</v>
      </c>
      <c r="AF40" s="45" t="n">
        <f aca="false">100*AD40/AB40</f>
        <v>11.0362655045795</v>
      </c>
      <c r="AG40" s="45" t="n">
        <f aca="false">IFERROR(100*ABS(AE40-AF40)/(AE40+AF40),0)</f>
        <v>48.3792312370485</v>
      </c>
      <c r="AH40" s="45" t="n">
        <f aca="false">2/(p_AdxN+1)*AG40+(1-2/(p_AdxN+1))*AH39</f>
        <v>66.175651079013</v>
      </c>
      <c r="AI40" s="40" t="n">
        <f aca="false">I40*(1+p_ChPct)</f>
        <v>24.18225897505</v>
      </c>
      <c r="AJ40" s="40" t="n">
        <f aca="false">I40*(1-p_ChPct)</f>
        <v>21.4446447514594</v>
      </c>
      <c r="AK40" s="40" t="n">
        <f aca="false">I40+1*Y40</f>
        <v>23.3519134017162</v>
      </c>
      <c r="AL40" s="40" t="n">
        <f aca="false">I40+2*Y40</f>
        <v>23.8903749401778</v>
      </c>
      <c r="AM40" s="40" t="n">
        <f aca="false">I40+3*Y40</f>
        <v>24.4288364786393</v>
      </c>
      <c r="AN40" s="40" t="n">
        <f aca="false">I40-1*Y40</f>
        <v>22.2749903247932</v>
      </c>
      <c r="AO40" s="40" t="n">
        <f aca="false">I40-2*Y40</f>
        <v>21.7365287863316</v>
      </c>
      <c r="AP40" s="40" t="n">
        <f aca="false">I40-3*Y40</f>
        <v>21.1980672478701</v>
      </c>
      <c r="AQ40" s="40" t="n">
        <f aca="true">MAX(OFFSET(C40,1-MIN(p_StochN,ROW()-4),0,MIN(p_StochN,ROW()-4),1))</f>
        <v>24.77</v>
      </c>
      <c r="AR40" s="40" t="n">
        <f aca="true">MIN(OFFSET(D40,1-MIN(p_StochN,ROW()-4),0,MIN(p_StochN,ROW()-4),1))</f>
        <v>23.91</v>
      </c>
      <c r="AS40" s="45" t="n">
        <f aca="false">IF(AQ40=AR40,50,100*(E40-AR40)/(AQ40-AR40))</f>
        <v>76.7441860465117</v>
      </c>
      <c r="AT40" s="45" t="n">
        <f aca="true">AVERAGE(OFFSET(AS40,1-MIN(p_StochSm,ROW()-4),0,MIN(p_StochSm,ROW()-4),1))</f>
        <v>66.2097022271441</v>
      </c>
      <c r="AU40" s="45" t="n">
        <f aca="true">AVERAGE(OFFSET(AT40,1-MIN(p_StochSm,ROW()-4),0,MIN(p_StochSm,ROW()-4),1))</f>
        <v>71.3166108224248</v>
      </c>
      <c r="AV40" s="41" t="n">
        <f aca="false">MAX(0,H40-D40)</f>
        <v>0</v>
      </c>
      <c r="AW40" s="41" t="n">
        <f aca="true">IF(COUNTIF(OFFSET(AV40,1-MIN(p_PenLb,ROW()-4),0,MIN(p_PenLb,ROW()-4),1),"&gt;0")&gt;0,SUM(OFFSET(AV40,1-MIN(p_PenLb,ROW()-4),0,MIN(p_PenLb,ROW()-4),1))/COUNTIF(OFFSET(AV40,1-MIN(p_PenLb,ROW()-4),0,MIN(p_PenLb,ROW()-4),1),"&gt;0"),0.5*Y40)</f>
        <v>0.155756643424162</v>
      </c>
      <c r="AX40" s="41" t="n">
        <f aca="false">2*H40-H39</f>
        <v>23.8697500397128</v>
      </c>
      <c r="AY40" s="40" t="n">
        <f aca="false">ROUND(MAX(AX40-AW40,0.01),2)</f>
        <v>23.71</v>
      </c>
      <c r="AZ40" s="40" t="n">
        <f aca="true">IF(MIN(p_StopLb,ROW()-4)&lt;2,D40,SMALL(OFFSET(D40,1-MIN(p_StopLb,ROW()-4),0,MIN(p_StopLb,ROW()-4),1),2))</f>
        <v>23.33</v>
      </c>
      <c r="BA40" s="40" t="n">
        <f aca="false">IF(MOD(ROUND(ROUNDDOWN(MIN(AZ40-0.01,AY40-p_StopAtr*Y40),2)*100,0),50)=0,ROUNDDOWN(MIN(AZ40-0.01,AY40-p_StopAtr*Y40),2)-0.01,ROUNDDOWN(MIN(AZ40-0.01,AY40-p_StopAtr*Y40),2))</f>
        <v>23.17</v>
      </c>
      <c r="BB40" s="40" t="n">
        <f aca="false">ROUND(AI40,2)</f>
        <v>24.18</v>
      </c>
      <c r="BC40" s="40" t="n">
        <f aca="false">IF(AY40-BA40&gt;0,(BB40-AY40)/(AY40-BA40),0)</f>
        <v>0.87037037037037</v>
      </c>
      <c r="BD40" s="42" t="n">
        <f aca="false">IF(N40&lt;0,1,0)</f>
        <v>0</v>
      </c>
      <c r="BE40" s="41" t="n">
        <f aca="false">IF(AND(BD40=1,BD39=0),N40,IF(BD40=1,MIN(BE39,N40),BE39))</f>
        <v>-0.0234128043712021</v>
      </c>
      <c r="BF40" s="40" t="n">
        <f aca="false">IF(AND(BD40=1,BD39=0),D40,IF(BD40=1,MIN(BF39,D40),BF39))</f>
        <v>19.42</v>
      </c>
      <c r="BG40" s="42" t="n">
        <f aca="false">IF(AND(BD40=1,BD39=0),ROW(),IF(BD40=1,IF(N40&lt;BE39,ROW(),BG39),BG39))</f>
        <v>10</v>
      </c>
      <c r="BH40" s="41" t="str">
        <f aca="false">IF(AND(BD40=1,BD39=0),BE39,BH39)</f>
        <v/>
      </c>
      <c r="BI40" s="40" t="str">
        <f aca="false">IF(AND(BD40=1,BD39=0),BF39,BI39)</f>
        <v/>
      </c>
      <c r="BJ40" s="42" t="str">
        <f aca="false">IF(AND(BD40=1,BD39=0),BG39,BJ39)</f>
        <v/>
      </c>
      <c r="BK40" s="42" t="str">
        <f aca="false">IF(AND(ISNUMBER(BG40),ISNUMBER(BJ40)),BG40-BJ40,"")</f>
        <v/>
      </c>
      <c r="BL40" s="42" t="n">
        <f aca="false">IF(AND(BD40=1,N40&gt;N39,ISNUMBER(BH40),ISNUMBER(BK40)),IF(AND(BE40&gt;BH40,BF40&lt;BI40,BK40&gt;=p_GapMin,BK40&lt;=p_GapMax),1,0),0)</f>
        <v>0</v>
      </c>
      <c r="BM40" s="42" t="n">
        <f aca="false">IF(AND(BL40=1,E40&gt;BI40),1,0)</f>
        <v>0</v>
      </c>
      <c r="BN40" s="42" t="n">
        <f aca="false">IF(BL40=1,IF(BE40&gt;=BH40*0.5,1,0),0)</f>
        <v>0</v>
      </c>
      <c r="BO40" s="42" t="n">
        <f aca="true">IF(V40&gt;MIN(OFFSET(V40,-MIN(p_FiLb-1,ROW()-5),0,MIN(p_FiLb-1,ROW()-5),1)),1,0)</f>
        <v>1</v>
      </c>
      <c r="BP40" s="44" t="n">
        <f aca="true">IF(COUNTIF(OFFSET(V40,1-MIN(100,ROW()-4),0,MIN(100,ROW()-4),1),"&lt;0")&gt;=5,AVERAGEIF(OFFSET(V40,1-MIN(100,ROW()-4),0,MIN(100,ROW()-4),1),"&lt;0"),"")</f>
        <v>-453197.406841387</v>
      </c>
      <c r="BQ40" s="42" t="n">
        <f aca="false">IF(ISNUMBER(BP40),IF(AND(V40&lt;5*BP40,V40&gt;V39,E40&lt;AJ40),1,0),0)</f>
        <v>0</v>
      </c>
      <c r="BR40" s="44" t="n">
        <f aca="true">AVERAGE(OFFSET(F40,1-MIN(5,ROW()-4),0,MIN(5,ROW()-4),1))</f>
        <v>3790640</v>
      </c>
      <c r="BS40" s="42" t="n">
        <f aca="false">IFERROR(IF(MATCH(G40,周线!$A$5:$A$84,0)&lt;=1,"",INDEX(周线!$R$5:$R$84,MATCH(G40,周线!$A$5:$A$84,0)-1)),"")</f>
        <v>1</v>
      </c>
      <c r="BT40" s="42" t="n">
        <f aca="false">IFERROR(IF(MATCH(G40,周线!$A$5:$A$84,0)&lt;=1,"",INDEX(周线!$S$5:$S$84,MATCH(G40,周线!$A$5:$A$84,0)-1)),"")</f>
        <v>1</v>
      </c>
      <c r="BU40" s="42" t="n">
        <f aca="false">IFERROR(IF(MATCH(G40,周线!$A$5:$A$84,0)&lt;=1,"",INDEX(周线!$U$5:$U$84,MATCH(G40,周线!$A$5:$A$84,0)-1)),"")</f>
        <v>1</v>
      </c>
      <c r="BV40" s="42" t="n">
        <f aca="false">IF(AND(BS40=1,S40&lt;&gt;-1,V40&lt;0,BO40=1,E40&lt;=H40,E40&gt;=AJ40),1,0)</f>
        <v>0</v>
      </c>
      <c r="BW40" s="42" t="n">
        <f aca="false">BL40</f>
        <v>0</v>
      </c>
      <c r="BX40" s="42" t="n">
        <f aca="false">BQ40</f>
        <v>0</v>
      </c>
      <c r="BY40" s="42" t="n">
        <f aca="false">IF(BS40=1,10,0)+IF(BU40=1,5,IF(BU40=-1,0,3))+IF(BT40=1,5,0)+IF(AND(AE40&gt;AF40,AH40&gt;AH39),5,0)</f>
        <v>20</v>
      </c>
      <c r="BZ40" s="42" t="n">
        <f aca="false">IF(AND(E40&lt;=H40,E40&gt;=I40),10,IF(AND(E40&gt;=AJ40,E40&lt;I40),6,0))+IF(AND(V40&lt;0,BO40=1),8,0)+IF(AT40&lt;30,7,IF(AT40&lt;50,3,0))</f>
        <v>0</v>
      </c>
      <c r="CA40" s="42" t="n">
        <f aca="false">IF(AND(BV40=1,BW40=1),25,IF(BW40=1,22,IF(BV40=1,15,IF(BX40=1,12,0))))</f>
        <v>0</v>
      </c>
      <c r="CB40" s="42" t="n">
        <f aca="false">IF(W40&gt;0,6,0)+IF(F40&lt;BR40,4,0)</f>
        <v>6</v>
      </c>
      <c r="CC40" s="42" t="n">
        <f aca="false">IF(BC40&gt;=3,15,IF(BC40&gt;=p_RRmin,10,IF(BC40&gt;=1.5,4,0)))</f>
        <v>0</v>
      </c>
      <c r="CD40" s="42" t="n">
        <f aca="false">BY40+BZ40+CA40+CB40+CC40</f>
        <v>26</v>
      </c>
      <c r="CE40" s="42" t="n">
        <f aca="false">IF(AND(BS40&lt;&gt;1,BW40+BX40=0),1,0)</f>
        <v>0</v>
      </c>
      <c r="CF40" s="42" t="n">
        <f aca="false">IF(BU40=-1,1,0)</f>
        <v>0</v>
      </c>
      <c r="CG40" s="42" t="n">
        <f aca="false">IF(S40=-1,1,0)</f>
        <v>0</v>
      </c>
      <c r="CH40" s="42" t="n">
        <f aca="false">IF(BV40+BW40+BX40=0,1,0)</f>
        <v>1</v>
      </c>
      <c r="CI40" s="42" t="n">
        <f aca="false">IF(BC40&lt;p_RRmin,1,0)</f>
        <v>1</v>
      </c>
      <c r="CJ40" s="46" t="str">
        <f aca="false">IF(SUM(CE40:CI40)=0,IF(CD40&gt;=p_GradeA,"A",IF(CD40&gt;=p_GradeB,"B","C")),IF(AND(CI40=1,SUM(CE40:CH40)=0,CD40&gt;=p_GradeB),"B","C"))</f>
        <v>C</v>
      </c>
    </row>
    <row r="41" customFormat="false" ht="15" hidden="false" customHeight="false" outlineLevel="0" collapsed="false">
      <c r="A41" s="36" t="n">
        <v>45709</v>
      </c>
      <c r="B41" s="37" t="n">
        <v>24.58</v>
      </c>
      <c r="C41" s="37" t="n">
        <v>24.98</v>
      </c>
      <c r="D41" s="37" t="n">
        <v>24.52</v>
      </c>
      <c r="E41" s="37" t="n">
        <v>24.79</v>
      </c>
      <c r="F41" s="38" t="n">
        <v>2972800</v>
      </c>
      <c r="G41" s="39" t="n">
        <f aca="false">A41-WEEKDAY(A41,3)</f>
        <v>45705</v>
      </c>
      <c r="H41" s="40" t="n">
        <f aca="false">2/(p_EmaF+1)*E41+(1-2/(p_EmaF+1))*H40</f>
        <v>23.8811714694189</v>
      </c>
      <c r="I41" s="40" t="n">
        <f aca="false">2/(p_EmaS+1)*E41+(1-2/(p_EmaS+1))*I40</f>
        <v>22.9598628363469</v>
      </c>
      <c r="J41" s="41" t="n">
        <f aca="false">2/(p_MacdF+1)*E41+(1-2/(p_MacdF+1))*J40</f>
        <v>23.9606442646786</v>
      </c>
      <c r="K41" s="41" t="n">
        <f aca="false">2/(p_MacdS+1)*E41+(1-2/(p_MacdS+1))*K40</f>
        <v>22.9598628363469</v>
      </c>
      <c r="L41" s="41" t="n">
        <f aca="false">J41-K41</f>
        <v>1.00078142833164</v>
      </c>
      <c r="M41" s="41" t="n">
        <f aca="false">2/(p_MacdSig+1)*L41+(1-2/(p_MacdSig+1))*M40</f>
        <v>0.957792909856965</v>
      </c>
      <c r="N41" s="41" t="n">
        <f aca="false">L41-M41</f>
        <v>0.042988518474677</v>
      </c>
      <c r="O41" s="42" t="n">
        <f aca="false">IF(H41&gt;H40,1,0)</f>
        <v>1</v>
      </c>
      <c r="P41" s="42" t="n">
        <f aca="false">IF(H41&lt;H40,1,0)</f>
        <v>0</v>
      </c>
      <c r="Q41" s="42" t="n">
        <f aca="false">IF(N41&gt;N40,1,0)</f>
        <v>0</v>
      </c>
      <c r="R41" s="42" t="n">
        <f aca="false">IF(N41&lt;N40,1,0)</f>
        <v>1</v>
      </c>
      <c r="S41" s="42" t="n">
        <f aca="false">IF(AND(O41=1,Q41=1),1,IF(AND(P41=1,R41=1),-1,0))</f>
        <v>0</v>
      </c>
      <c r="T41" s="43" t="str">
        <f aca="false">IF(S41=1,"绿",IF(S41=-1,"红","蓝"))</f>
        <v>蓝</v>
      </c>
      <c r="U41" s="44" t="n">
        <f aca="false">F41*(E41-E40)</f>
        <v>654015.999999997</v>
      </c>
      <c r="V41" s="44" t="n">
        <f aca="false">2/(p_FiS+1)*U41+(1-2/(p_FiS+1))*V40</f>
        <v>786062.252197724</v>
      </c>
      <c r="W41" s="44" t="n">
        <f aca="false">2/(p_FiL+1)*U41+(1-2/(p_FiL+1))*W40</f>
        <v>752873.033096144</v>
      </c>
      <c r="X41" s="41" t="n">
        <f aca="false">MAX(C41-D41,ABS(C41-E40),ABS(D41-E40))</f>
        <v>0.460000000000001</v>
      </c>
      <c r="Y41" s="41" t="n">
        <f aca="true">AVERAGE(OFFSET(X41,1-MIN(p_AtrN,ROW()-4),0,MIN(p_AtrN,ROW()-4),1))</f>
        <v>0.563846153846154</v>
      </c>
      <c r="Z41" s="41" t="n">
        <f aca="false">IF(AND(C41-C40&gt;D40-D41,C41-C40&gt;0),C41-C40,0)</f>
        <v>0.330000000000002</v>
      </c>
      <c r="AA41" s="41" t="n">
        <f aca="false">IF(AND(D40-D41&gt;C41-C40,D40-D41&gt;0),D40-D41,0)</f>
        <v>0</v>
      </c>
      <c r="AB41" s="41" t="n">
        <f aca="false">2/(p_AdxN+1)*X41+(1-2/(p_AdxN+1))*AB40</f>
        <v>0.517216550535218</v>
      </c>
      <c r="AC41" s="41" t="n">
        <f aca="false">2/(p_AdxN+1)*Z41+(1-2/(p_AdxN+1))*AC40</f>
        <v>0.190371778651061</v>
      </c>
      <c r="AD41" s="41" t="n">
        <f aca="false">2/(p_AdxN+1)*AA41+(1-2/(p_AdxN+1))*AD40</f>
        <v>0.0498289887048278</v>
      </c>
      <c r="AE41" s="45" t="n">
        <f aca="false">100*AC41/AB41</f>
        <v>36.8069773587221</v>
      </c>
      <c r="AF41" s="45" t="n">
        <f aca="false">100*AD41/AB41</f>
        <v>9.63406694029117</v>
      </c>
      <c r="AG41" s="45" t="n">
        <f aca="false">IFERROR(100*ABS(AE41-AF41)/(AE41+AF41),0)</f>
        <v>58.5105499425824</v>
      </c>
      <c r="AH41" s="45" t="n">
        <f aca="false">2/(p_AdxN+1)*AG41+(1-2/(p_AdxN+1))*AH40</f>
        <v>65.0806366309515</v>
      </c>
      <c r="AI41" s="40" t="n">
        <f aca="false">I41*(1+p_ChPct)</f>
        <v>24.3374546065278</v>
      </c>
      <c r="AJ41" s="40" t="n">
        <f aca="false">I41*(1-p_ChPct)</f>
        <v>21.5822710661661</v>
      </c>
      <c r="AK41" s="40" t="n">
        <f aca="false">I41+1*Y41</f>
        <v>23.5237089901931</v>
      </c>
      <c r="AL41" s="40" t="n">
        <f aca="false">I41+2*Y41</f>
        <v>24.0875551440393</v>
      </c>
      <c r="AM41" s="40" t="n">
        <f aca="false">I41+3*Y41</f>
        <v>24.6514012978854</v>
      </c>
      <c r="AN41" s="40" t="n">
        <f aca="false">I41-1*Y41</f>
        <v>22.3960166825008</v>
      </c>
      <c r="AO41" s="40" t="n">
        <f aca="false">I41-2*Y41</f>
        <v>21.8321705286546</v>
      </c>
      <c r="AP41" s="40" t="n">
        <f aca="false">I41-3*Y41</f>
        <v>21.2683243748085</v>
      </c>
      <c r="AQ41" s="40" t="n">
        <f aca="true">MAX(OFFSET(C41,1-MIN(p_StochN,ROW()-4),0,MIN(p_StochN,ROW()-4),1))</f>
        <v>24.98</v>
      </c>
      <c r="AR41" s="40" t="n">
        <f aca="true">MIN(OFFSET(D41,1-MIN(p_StochN,ROW()-4),0,MIN(p_StochN,ROW()-4),1))</f>
        <v>23.91</v>
      </c>
      <c r="AS41" s="45" t="n">
        <f aca="false">IF(AQ41=AR41,50,100*(E41-AR41)/(AQ41-AR41))</f>
        <v>82.2429906542055</v>
      </c>
      <c r="AT41" s="45" t="n">
        <f aca="true">AVERAGE(OFFSET(AS41,1-MIN(p_StochSm,ROW()-4),0,MIN(p_StochSm,ROW()-4),1))</f>
        <v>73.9481065192867</v>
      </c>
      <c r="AU41" s="45" t="n">
        <f aca="true">AVERAGE(OFFSET(AT41,1-MIN(p_StochSm,ROW()-4),0,MIN(p_StochSm,ROW()-4),1))</f>
        <v>70.3475086270493</v>
      </c>
      <c r="AV41" s="41" t="n">
        <f aca="false">MAX(0,H41-D41)</f>
        <v>0</v>
      </c>
      <c r="AW41" s="41" t="n">
        <f aca="true">IF(COUNTIF(OFFSET(AV41,1-MIN(p_PenLb,ROW()-4),0,MIN(p_PenLb,ROW()-4),1),"&gt;0")&gt;0,SUM(OFFSET(AV41,1-MIN(p_PenLb,ROW()-4),0,MIN(p_PenLb,ROW()-4),1))/COUNTIF(OFFSET(AV41,1-MIN(p_PenLb,ROW()-4),0,MIN(p_PenLb,ROW()-4),1),"&gt;0"),0.5*Y41)</f>
        <v>0.154214041680015</v>
      </c>
      <c r="AX41" s="41" t="n">
        <f aca="false">2*H41-H40</f>
        <v>24.0326428911824</v>
      </c>
      <c r="AY41" s="40" t="n">
        <f aca="false">ROUND(MAX(AX41-AW41,0.01),2)</f>
        <v>23.88</v>
      </c>
      <c r="AZ41" s="40" t="n">
        <f aca="true">IF(MIN(p_StopLb,ROW()-4)&lt;2,D41,SMALL(OFFSET(D41,1-MIN(p_StopLb,ROW()-4),0,MIN(p_StopLb,ROW()-4),1),2))</f>
        <v>23.35</v>
      </c>
      <c r="BA41" s="40" t="n">
        <f aca="false">IF(MOD(ROUND(ROUNDDOWN(MIN(AZ41-0.01,AY41-p_StopAtr*Y41),2)*100,0),50)=0,ROUNDDOWN(MIN(AZ41-0.01,AY41-p_StopAtr*Y41),2)-0.01,ROUNDDOWN(MIN(AZ41-0.01,AY41-p_StopAtr*Y41),2))</f>
        <v>23.31</v>
      </c>
      <c r="BB41" s="40" t="n">
        <f aca="false">ROUND(AI41,2)</f>
        <v>24.34</v>
      </c>
      <c r="BC41" s="40" t="n">
        <f aca="false">IF(AY41-BA41&gt;0,(BB41-AY41)/(AY41-BA41),0)</f>
        <v>0.80701754385965</v>
      </c>
      <c r="BD41" s="42" t="n">
        <f aca="false">IF(N41&lt;0,1,0)</f>
        <v>0</v>
      </c>
      <c r="BE41" s="41" t="n">
        <f aca="false">IF(AND(BD41=1,BD40=0),N41,IF(BD41=1,MIN(BE40,N41),BE40))</f>
        <v>-0.0234128043712021</v>
      </c>
      <c r="BF41" s="40" t="n">
        <f aca="false">IF(AND(BD41=1,BD40=0),D41,IF(BD41=1,MIN(BF40,D41),BF40))</f>
        <v>19.42</v>
      </c>
      <c r="BG41" s="42" t="n">
        <f aca="false">IF(AND(BD41=1,BD40=0),ROW(),IF(BD41=1,IF(N41&lt;BE40,ROW(),BG40),BG40))</f>
        <v>10</v>
      </c>
      <c r="BH41" s="41" t="str">
        <f aca="false">IF(AND(BD41=1,BD40=0),BE40,BH40)</f>
        <v/>
      </c>
      <c r="BI41" s="40" t="str">
        <f aca="false">IF(AND(BD41=1,BD40=0),BF40,BI40)</f>
        <v/>
      </c>
      <c r="BJ41" s="42" t="str">
        <f aca="false">IF(AND(BD41=1,BD40=0),BG40,BJ40)</f>
        <v/>
      </c>
      <c r="BK41" s="42" t="str">
        <f aca="false">IF(AND(ISNUMBER(BG41),ISNUMBER(BJ41)),BG41-BJ41,"")</f>
        <v/>
      </c>
      <c r="BL41" s="42" t="n">
        <f aca="false">IF(AND(BD41=1,N41&gt;N40,ISNUMBER(BH41),ISNUMBER(BK41)),IF(AND(BE41&gt;BH41,BF41&lt;BI41,BK41&gt;=p_GapMin,BK41&lt;=p_GapMax),1,0),0)</f>
        <v>0</v>
      </c>
      <c r="BM41" s="42" t="n">
        <f aca="false">IF(AND(BL41=1,E41&gt;BI41),1,0)</f>
        <v>0</v>
      </c>
      <c r="BN41" s="42" t="n">
        <f aca="false">IF(BL41=1,IF(BE41&gt;=BH41*0.5,1,0),0)</f>
        <v>0</v>
      </c>
      <c r="BO41" s="42" t="n">
        <f aca="true">IF(V41&gt;MIN(OFFSET(V41,-MIN(p_FiLb-1,ROW()-5),0,MIN(p_FiLb-1,ROW()-5),1)),1,0)</f>
        <v>1</v>
      </c>
      <c r="BP41" s="44" t="n">
        <f aca="true">IF(COUNTIF(OFFSET(V41,1-MIN(100,ROW()-4),0,MIN(100,ROW()-4),1),"&lt;0")&gt;=5,AVERAGEIF(OFFSET(V41,1-MIN(100,ROW()-4),0,MIN(100,ROW()-4),1),"&lt;0"),"")</f>
        <v>-453197.406841387</v>
      </c>
      <c r="BQ41" s="42" t="n">
        <f aca="false">IF(ISNUMBER(BP41),IF(AND(V41&lt;5*BP41,V41&gt;V40,E41&lt;AJ41),1,0),0)</f>
        <v>0</v>
      </c>
      <c r="BR41" s="44" t="n">
        <f aca="true">AVERAGE(OFFSET(F41,1-MIN(5,ROW()-4),0,MIN(5,ROW()-4),1))</f>
        <v>3786300</v>
      </c>
      <c r="BS41" s="42" t="n">
        <f aca="false">IFERROR(IF(MATCH(G41,周线!$A$5:$A$84,0)&lt;=1,"",INDEX(周线!$R$5:$R$84,MATCH(G41,周线!$A$5:$A$84,0)-1)),"")</f>
        <v>1</v>
      </c>
      <c r="BT41" s="42" t="n">
        <f aca="false">IFERROR(IF(MATCH(G41,周线!$A$5:$A$84,0)&lt;=1,"",INDEX(周线!$S$5:$S$84,MATCH(G41,周线!$A$5:$A$84,0)-1)),"")</f>
        <v>1</v>
      </c>
      <c r="BU41" s="42" t="n">
        <f aca="false">IFERROR(IF(MATCH(G41,周线!$A$5:$A$84,0)&lt;=1,"",INDEX(周线!$U$5:$U$84,MATCH(G41,周线!$A$5:$A$84,0)-1)),"")</f>
        <v>1</v>
      </c>
      <c r="BV41" s="42" t="n">
        <f aca="false">IF(AND(BS41=1,S41&lt;&gt;-1,V41&lt;0,BO41=1,E41&lt;=H41,E41&gt;=AJ41),1,0)</f>
        <v>0</v>
      </c>
      <c r="BW41" s="42" t="n">
        <f aca="false">BL41</f>
        <v>0</v>
      </c>
      <c r="BX41" s="42" t="n">
        <f aca="false">BQ41</f>
        <v>0</v>
      </c>
      <c r="BY41" s="42" t="n">
        <f aca="false">IF(BS41=1,10,0)+IF(BU41=1,5,IF(BU41=-1,0,3))+IF(BT41=1,5,0)+IF(AND(AE41&gt;AF41,AH41&gt;AH40),5,0)</f>
        <v>20</v>
      </c>
      <c r="BZ41" s="42" t="n">
        <f aca="false">IF(AND(E41&lt;=H41,E41&gt;=I41),10,IF(AND(E41&gt;=AJ41,E41&lt;I41),6,0))+IF(AND(V41&lt;0,BO41=1),8,0)+IF(AT41&lt;30,7,IF(AT41&lt;50,3,0))</f>
        <v>0</v>
      </c>
      <c r="CA41" s="42" t="n">
        <f aca="false">IF(AND(BV41=1,BW41=1),25,IF(BW41=1,22,IF(BV41=1,15,IF(BX41=1,12,0))))</f>
        <v>0</v>
      </c>
      <c r="CB41" s="42" t="n">
        <f aca="false">IF(W41&gt;0,6,0)+IF(F41&lt;BR41,4,0)</f>
        <v>10</v>
      </c>
      <c r="CC41" s="42" t="n">
        <f aca="false">IF(BC41&gt;=3,15,IF(BC41&gt;=p_RRmin,10,IF(BC41&gt;=1.5,4,0)))</f>
        <v>0</v>
      </c>
      <c r="CD41" s="42" t="n">
        <f aca="false">BY41+BZ41+CA41+CB41+CC41</f>
        <v>30</v>
      </c>
      <c r="CE41" s="42" t="n">
        <f aca="false">IF(AND(BS41&lt;&gt;1,BW41+BX41=0),1,0)</f>
        <v>0</v>
      </c>
      <c r="CF41" s="42" t="n">
        <f aca="false">IF(BU41=-1,1,0)</f>
        <v>0</v>
      </c>
      <c r="CG41" s="42" t="n">
        <f aca="false">IF(S41=-1,1,0)</f>
        <v>0</v>
      </c>
      <c r="CH41" s="42" t="n">
        <f aca="false">IF(BV41+BW41+BX41=0,1,0)</f>
        <v>1</v>
      </c>
      <c r="CI41" s="42" t="n">
        <f aca="false">IF(BC41&lt;p_RRmin,1,0)</f>
        <v>1</v>
      </c>
      <c r="CJ41" s="46" t="str">
        <f aca="false">IF(SUM(CE41:CI41)=0,IF(CD41&gt;=p_GradeA,"A",IF(CD41&gt;=p_GradeB,"B","C")),IF(AND(CI41=1,SUM(CE41:CH41)=0,CD41&gt;=p_GradeB),"B","C"))</f>
        <v>C</v>
      </c>
    </row>
    <row r="42" customFormat="false" ht="15" hidden="false" customHeight="false" outlineLevel="0" collapsed="false">
      <c r="A42" s="36" t="n">
        <v>45712</v>
      </c>
      <c r="B42" s="37" t="n">
        <v>24.95</v>
      </c>
      <c r="C42" s="37" t="n">
        <v>25.04</v>
      </c>
      <c r="D42" s="37" t="n">
        <v>24.33</v>
      </c>
      <c r="E42" s="37" t="n">
        <v>24.45</v>
      </c>
      <c r="F42" s="38" t="n">
        <v>4906200</v>
      </c>
      <c r="G42" s="39" t="n">
        <f aca="false">A42-WEEKDAY(A42,3)</f>
        <v>45712</v>
      </c>
      <c r="H42" s="40" t="n">
        <f aca="false">2/(p_EmaF+1)*E42+(1-2/(p_EmaF+1))*H41</f>
        <v>23.9624326880734</v>
      </c>
      <c r="I42" s="40" t="n">
        <f aca="false">2/(p_EmaS+1)*E42+(1-2/(p_EmaS+1))*I41</f>
        <v>23.0702433669879</v>
      </c>
      <c r="J42" s="41" t="n">
        <f aca="false">2/(p_MacdF+1)*E42+(1-2/(p_MacdF+1))*J41</f>
        <v>24.0359297624203</v>
      </c>
      <c r="K42" s="41" t="n">
        <f aca="false">2/(p_MacdS+1)*E42+(1-2/(p_MacdS+1))*K41</f>
        <v>23.0702433669879</v>
      </c>
      <c r="L42" s="41" t="n">
        <f aca="false">J42-K42</f>
        <v>0.965686395432432</v>
      </c>
      <c r="M42" s="41" t="n">
        <f aca="false">2/(p_MacdSig+1)*L42+(1-2/(p_MacdSig+1))*M41</f>
        <v>0.959371606972058</v>
      </c>
      <c r="N42" s="41" t="n">
        <f aca="false">L42-M42</f>
        <v>0.00631478846037314</v>
      </c>
      <c r="O42" s="42" t="n">
        <f aca="false">IF(H42&gt;H41,1,0)</f>
        <v>1</v>
      </c>
      <c r="P42" s="42" t="n">
        <f aca="false">IF(H42&lt;H41,1,0)</f>
        <v>0</v>
      </c>
      <c r="Q42" s="42" t="n">
        <f aca="false">IF(N42&gt;N41,1,0)</f>
        <v>0</v>
      </c>
      <c r="R42" s="42" t="n">
        <f aca="false">IF(N42&lt;N41,1,0)</f>
        <v>1</v>
      </c>
      <c r="S42" s="42" t="n">
        <f aca="false">IF(AND(O42=1,Q42=1),1,IF(AND(P42=1,R42=1),-1,0))</f>
        <v>0</v>
      </c>
      <c r="T42" s="43" t="str">
        <f aca="false">IF(S42=1,"绿",IF(S42=-1,"红","蓝"))</f>
        <v>蓝</v>
      </c>
      <c r="U42" s="44" t="n">
        <f aca="false">F42*(E42-E41)</f>
        <v>-1668108</v>
      </c>
      <c r="V42" s="44" t="n">
        <f aca="false">2/(p_FiS+1)*U42+(1-2/(p_FiS+1))*V41</f>
        <v>-850051.249267425</v>
      </c>
      <c r="W42" s="44" t="n">
        <f aca="false">2/(p_FiL+1)*U42+(1-2/(p_FiL+1))*W41</f>
        <v>407018.599796695</v>
      </c>
      <c r="X42" s="41" t="n">
        <f aca="false">MAX(C42-D42,ABS(C42-E41),ABS(D42-E41))</f>
        <v>0.710000000000001</v>
      </c>
      <c r="Y42" s="41" t="n">
        <f aca="true">AVERAGE(OFFSET(X42,1-MIN(p_AtrN,ROW()-4),0,MIN(p_AtrN,ROW()-4),1))</f>
        <v>0.553076923076923</v>
      </c>
      <c r="Z42" s="41" t="n">
        <f aca="false">IF(AND(C42-C41&gt;D41-D42,C42-C41&gt;0),C42-C41,0)</f>
        <v>0</v>
      </c>
      <c r="AA42" s="41" t="n">
        <f aca="false">IF(AND(D41-D42&gt;C42-C41,D41-D42&gt;0),D41-D42,0)</f>
        <v>0.190000000000001</v>
      </c>
      <c r="AB42" s="41" t="n">
        <f aca="false">2/(p_AdxN+1)*X42+(1-2/(p_AdxN+1))*AB41</f>
        <v>0.544757043315902</v>
      </c>
      <c r="AC42" s="41" t="n">
        <f aca="false">2/(p_AdxN+1)*Z42+(1-2/(p_AdxN+1))*AC41</f>
        <v>0.163175810272338</v>
      </c>
      <c r="AD42" s="41" t="n">
        <f aca="false">2/(p_AdxN+1)*AA42+(1-2/(p_AdxN+1))*AD41</f>
        <v>0.0698534188898526</v>
      </c>
      <c r="AE42" s="45" t="n">
        <f aca="false">100*AC42/AB42</f>
        <v>29.953868843824</v>
      </c>
      <c r="AF42" s="45" t="n">
        <f aca="false">100*AD42/AB42</f>
        <v>12.8228574089945</v>
      </c>
      <c r="AG42" s="45" t="n">
        <f aca="false">IFERROR(100*ABS(AE42-AF42)/(AE42+AF42),0)</f>
        <v>40.0475046490981</v>
      </c>
      <c r="AH42" s="45" t="n">
        <f aca="false">2/(p_AdxN+1)*AG42+(1-2/(p_AdxN+1))*AH41</f>
        <v>61.5044749192581</v>
      </c>
      <c r="AI42" s="40" t="n">
        <f aca="false">I42*(1+p_ChPct)</f>
        <v>24.4544579690072</v>
      </c>
      <c r="AJ42" s="40" t="n">
        <f aca="false">I42*(1-p_ChPct)</f>
        <v>21.6860287649686</v>
      </c>
      <c r="AK42" s="40" t="n">
        <f aca="false">I42+1*Y42</f>
        <v>23.6233202900648</v>
      </c>
      <c r="AL42" s="40" t="n">
        <f aca="false">I42+2*Y42</f>
        <v>24.1763972131418</v>
      </c>
      <c r="AM42" s="40" t="n">
        <f aca="false">I42+3*Y42</f>
        <v>24.7294741362187</v>
      </c>
      <c r="AN42" s="40" t="n">
        <f aca="false">I42-1*Y42</f>
        <v>22.517166443911</v>
      </c>
      <c r="AO42" s="40" t="n">
        <f aca="false">I42-2*Y42</f>
        <v>21.9640895208341</v>
      </c>
      <c r="AP42" s="40" t="n">
        <f aca="false">I42-3*Y42</f>
        <v>21.4110125977571</v>
      </c>
      <c r="AQ42" s="40" t="n">
        <f aca="true">MAX(OFFSET(C42,1-MIN(p_StochN,ROW()-4),0,MIN(p_StochN,ROW()-4),1))</f>
        <v>25.04</v>
      </c>
      <c r="AR42" s="40" t="n">
        <f aca="true">MIN(OFFSET(D42,1-MIN(p_StochN,ROW()-4),0,MIN(p_StochN,ROW()-4),1))</f>
        <v>23.91</v>
      </c>
      <c r="AS42" s="45" t="n">
        <f aca="false">IF(AQ42=AR42,50,100*(E42-AR42)/(AQ42-AR42))</f>
        <v>47.787610619469</v>
      </c>
      <c r="AT42" s="45" t="n">
        <f aca="true">AVERAGE(OFFSET(AS42,1-MIN(p_StochSm,ROW()-4),0,MIN(p_StochSm,ROW()-4),1))</f>
        <v>68.9249291067287</v>
      </c>
      <c r="AU42" s="45" t="n">
        <f aca="true">AVERAGE(OFFSET(AT42,1-MIN(p_StochSm,ROW()-4),0,MIN(p_StochSm,ROW()-4),1))</f>
        <v>69.6942459510532</v>
      </c>
      <c r="AV42" s="41" t="n">
        <f aca="false">MAX(0,H42-D42)</f>
        <v>0</v>
      </c>
      <c r="AW42" s="41" t="n">
        <f aca="true">IF(COUNTIF(OFFSET(AV42,1-MIN(p_PenLb,ROW()-4),0,MIN(p_PenLb,ROW()-4),1),"&gt;0")&gt;0,SUM(OFFSET(AV42,1-MIN(p_PenLb,ROW()-4),0,MIN(p_PenLb,ROW()-4),1))/COUNTIF(OFFSET(AV42,1-MIN(p_PenLb,ROW()-4),0,MIN(p_PenLb,ROW()-4),1),"&gt;0"),0.5*Y42)</f>
        <v>0.154214041680015</v>
      </c>
      <c r="AX42" s="41" t="n">
        <f aca="false">2*H42-H41</f>
        <v>24.0436939067278</v>
      </c>
      <c r="AY42" s="40" t="n">
        <f aca="false">ROUND(MAX(AX42-AW42,0.01),2)</f>
        <v>23.89</v>
      </c>
      <c r="AZ42" s="40" t="n">
        <f aca="true">IF(MIN(p_StopLb,ROW()-4)&lt;2,D42,SMALL(OFFSET(D42,1-MIN(p_StopLb,ROW()-4),0,MIN(p_StopLb,ROW()-4),1),2))</f>
        <v>23.37</v>
      </c>
      <c r="BA42" s="40" t="n">
        <f aca="false">IF(MOD(ROUND(ROUNDDOWN(MIN(AZ42-0.01,AY42-p_StopAtr*Y42),2)*100,0),50)=0,ROUNDDOWN(MIN(AZ42-0.01,AY42-p_StopAtr*Y42),2)-0.01,ROUNDDOWN(MIN(AZ42-0.01,AY42-p_StopAtr*Y42),2))</f>
        <v>23.33</v>
      </c>
      <c r="BB42" s="40" t="n">
        <f aca="false">ROUND(AI42,2)</f>
        <v>24.45</v>
      </c>
      <c r="BC42" s="40" t="n">
        <f aca="false">IF(AY42-BA42&gt;0,(BB42-AY42)/(AY42-BA42),0)</f>
        <v>0.999999999999994</v>
      </c>
      <c r="BD42" s="42" t="n">
        <f aca="false">IF(N42&lt;0,1,0)</f>
        <v>0</v>
      </c>
      <c r="BE42" s="41" t="n">
        <f aca="false">IF(AND(BD42=1,BD41=0),N42,IF(BD42=1,MIN(BE41,N42),BE41))</f>
        <v>-0.0234128043712021</v>
      </c>
      <c r="BF42" s="40" t="n">
        <f aca="false">IF(AND(BD42=1,BD41=0),D42,IF(BD42=1,MIN(BF41,D42),BF41))</f>
        <v>19.42</v>
      </c>
      <c r="BG42" s="42" t="n">
        <f aca="false">IF(AND(BD42=1,BD41=0),ROW(),IF(BD42=1,IF(N42&lt;BE41,ROW(),BG41),BG41))</f>
        <v>10</v>
      </c>
      <c r="BH42" s="41" t="str">
        <f aca="false">IF(AND(BD42=1,BD41=0),BE41,BH41)</f>
        <v/>
      </c>
      <c r="BI42" s="40" t="str">
        <f aca="false">IF(AND(BD42=1,BD41=0),BF41,BI41)</f>
        <v/>
      </c>
      <c r="BJ42" s="42" t="str">
        <f aca="false">IF(AND(BD42=1,BD41=0),BG41,BJ41)</f>
        <v/>
      </c>
      <c r="BK42" s="42" t="str">
        <f aca="false">IF(AND(ISNUMBER(BG42),ISNUMBER(BJ42)),BG42-BJ42,"")</f>
        <v/>
      </c>
      <c r="BL42" s="42" t="n">
        <f aca="false">IF(AND(BD42=1,N42&gt;N41,ISNUMBER(BH42),ISNUMBER(BK42)),IF(AND(BE42&gt;BH42,BF42&lt;BI42,BK42&gt;=p_GapMin,BK42&lt;=p_GapMax),1,0),0)</f>
        <v>0</v>
      </c>
      <c r="BM42" s="42" t="n">
        <f aca="false">IF(AND(BL42=1,E42&gt;BI42),1,0)</f>
        <v>0</v>
      </c>
      <c r="BN42" s="42" t="n">
        <f aca="false">IF(BL42=1,IF(BE42&gt;=BH42*0.5,1,0),0)</f>
        <v>0</v>
      </c>
      <c r="BO42" s="42" t="n">
        <f aca="true">IF(V42&gt;MIN(OFFSET(V42,-MIN(p_FiLb-1,ROW()-5),0,MIN(p_FiLb-1,ROW()-5),1)),1,0)</f>
        <v>0</v>
      </c>
      <c r="BP42" s="44" t="n">
        <f aca="true">IF(COUNTIF(OFFSET(V42,1-MIN(100,ROW()-4),0,MIN(100,ROW()-4),1),"&lt;0")&gt;=5,AVERAGEIF(OFFSET(V42,1-MIN(100,ROW()-4),0,MIN(100,ROW()-4),1),"&lt;0"),"")</f>
        <v>-486268.560376891</v>
      </c>
      <c r="BQ42" s="42" t="n">
        <f aca="false">IF(ISNUMBER(BP42),IF(AND(V42&lt;5*BP42,V42&gt;V41,E42&lt;AJ42),1,0),0)</f>
        <v>0</v>
      </c>
      <c r="BR42" s="44" t="n">
        <f aca="true">AVERAGE(OFFSET(F42,1-MIN(5,ROW()-4),0,MIN(5,ROW()-4),1))</f>
        <v>4239780</v>
      </c>
      <c r="BS42" s="42" t="n">
        <f aca="false">IFERROR(IF(MATCH(G42,周线!$A$5:$A$84,0)&lt;=1,"",INDEX(周线!$R$5:$R$84,MATCH(G42,周线!$A$5:$A$84,0)-1)),"")</f>
        <v>1</v>
      </c>
      <c r="BT42" s="42" t="n">
        <f aca="false">IFERROR(IF(MATCH(G42,周线!$A$5:$A$84,0)&lt;=1,"",INDEX(周线!$S$5:$S$84,MATCH(G42,周线!$A$5:$A$84,0)-1)),"")</f>
        <v>1</v>
      </c>
      <c r="BU42" s="42" t="n">
        <f aca="false">IFERROR(IF(MATCH(G42,周线!$A$5:$A$84,0)&lt;=1,"",INDEX(周线!$U$5:$U$84,MATCH(G42,周线!$A$5:$A$84,0)-1)),"")</f>
        <v>1</v>
      </c>
      <c r="BV42" s="42" t="n">
        <f aca="false">IF(AND(BS42=1,S42&lt;&gt;-1,V42&lt;0,BO42=1,E42&lt;=H42,E42&gt;=AJ42),1,0)</f>
        <v>0</v>
      </c>
      <c r="BW42" s="42" t="n">
        <f aca="false">BL42</f>
        <v>0</v>
      </c>
      <c r="BX42" s="42" t="n">
        <f aca="false">BQ42</f>
        <v>0</v>
      </c>
      <c r="BY42" s="42" t="n">
        <f aca="false">IF(BS42=1,10,0)+IF(BU42=1,5,IF(BU42=-1,0,3))+IF(BT42=1,5,0)+IF(AND(AE42&gt;AF42,AH42&gt;AH41),5,0)</f>
        <v>20</v>
      </c>
      <c r="BZ42" s="42" t="n">
        <f aca="false">IF(AND(E42&lt;=H42,E42&gt;=I42),10,IF(AND(E42&gt;=AJ42,E42&lt;I42),6,0))+IF(AND(V42&lt;0,BO42=1),8,0)+IF(AT42&lt;30,7,IF(AT42&lt;50,3,0))</f>
        <v>0</v>
      </c>
      <c r="CA42" s="42" t="n">
        <f aca="false">IF(AND(BV42=1,BW42=1),25,IF(BW42=1,22,IF(BV42=1,15,IF(BX42=1,12,0))))</f>
        <v>0</v>
      </c>
      <c r="CB42" s="42" t="n">
        <f aca="false">IF(W42&gt;0,6,0)+IF(F42&lt;BR42,4,0)</f>
        <v>6</v>
      </c>
      <c r="CC42" s="42" t="n">
        <f aca="false">IF(BC42&gt;=3,15,IF(BC42&gt;=p_RRmin,10,IF(BC42&gt;=1.5,4,0)))</f>
        <v>0</v>
      </c>
      <c r="CD42" s="42" t="n">
        <f aca="false">BY42+BZ42+CA42+CB42+CC42</f>
        <v>26</v>
      </c>
      <c r="CE42" s="42" t="n">
        <f aca="false">IF(AND(BS42&lt;&gt;1,BW42+BX42=0),1,0)</f>
        <v>0</v>
      </c>
      <c r="CF42" s="42" t="n">
        <f aca="false">IF(BU42=-1,1,0)</f>
        <v>0</v>
      </c>
      <c r="CG42" s="42" t="n">
        <f aca="false">IF(S42=-1,1,0)</f>
        <v>0</v>
      </c>
      <c r="CH42" s="42" t="n">
        <f aca="false">IF(BV42+BW42+BX42=0,1,0)</f>
        <v>1</v>
      </c>
      <c r="CI42" s="42" t="n">
        <f aca="false">IF(BC42&lt;p_RRmin,1,0)</f>
        <v>1</v>
      </c>
      <c r="CJ42" s="46" t="str">
        <f aca="false">IF(SUM(CE42:CI42)=0,IF(CD42&gt;=p_GradeA,"A",IF(CD42&gt;=p_GradeB,"B","C")),IF(AND(CI42=1,SUM(CE42:CH42)=0,CD42&gt;=p_GradeB),"B","C"))</f>
        <v>C</v>
      </c>
    </row>
    <row r="43" customFormat="false" ht="15" hidden="false" customHeight="false" outlineLevel="0" collapsed="false">
      <c r="A43" s="36" t="n">
        <v>45713</v>
      </c>
      <c r="B43" s="37" t="n">
        <v>24.42</v>
      </c>
      <c r="C43" s="37" t="n">
        <v>24.68</v>
      </c>
      <c r="D43" s="37" t="n">
        <v>24.25</v>
      </c>
      <c r="E43" s="37" t="n">
        <v>24.41</v>
      </c>
      <c r="F43" s="38" t="n">
        <v>3595300</v>
      </c>
      <c r="G43" s="39" t="n">
        <f aca="false">A43-WEEKDAY(A43,3)</f>
        <v>45712</v>
      </c>
      <c r="H43" s="40" t="n">
        <f aca="false">2/(p_EmaF+1)*E43+(1-2/(p_EmaF+1))*H42</f>
        <v>24.0263708754915</v>
      </c>
      <c r="I43" s="40" t="n">
        <f aca="false">2/(p_EmaS+1)*E43+(1-2/(p_EmaS+1))*I42</f>
        <v>23.1694845990629</v>
      </c>
      <c r="J43" s="41" t="n">
        <f aca="false">2/(p_MacdF+1)*E43+(1-2/(p_MacdF+1))*J42</f>
        <v>24.0934790297403</v>
      </c>
      <c r="K43" s="41" t="n">
        <f aca="false">2/(p_MacdS+1)*E43+(1-2/(p_MacdS+1))*K42</f>
        <v>23.1694845990629</v>
      </c>
      <c r="L43" s="41" t="n">
        <f aca="false">J43-K43</f>
        <v>0.923994430677407</v>
      </c>
      <c r="M43" s="41" t="n">
        <f aca="false">2/(p_MacdSig+1)*L43+(1-2/(p_MacdSig+1))*M42</f>
        <v>0.952296171713128</v>
      </c>
      <c r="N43" s="41" t="n">
        <f aca="false">L43-M43</f>
        <v>-0.0283017410357211</v>
      </c>
      <c r="O43" s="42" t="n">
        <f aca="false">IF(H43&gt;H42,1,0)</f>
        <v>1</v>
      </c>
      <c r="P43" s="42" t="n">
        <f aca="false">IF(H43&lt;H42,1,0)</f>
        <v>0</v>
      </c>
      <c r="Q43" s="42" t="n">
        <f aca="false">IF(N43&gt;N42,1,0)</f>
        <v>0</v>
      </c>
      <c r="R43" s="42" t="n">
        <f aca="false">IF(N43&lt;N42,1,0)</f>
        <v>1</v>
      </c>
      <c r="S43" s="42" t="n">
        <f aca="false">IF(AND(O43=1,Q43=1),1,IF(AND(P43=1,R43=1),-1,0))</f>
        <v>0</v>
      </c>
      <c r="T43" s="43" t="str">
        <f aca="false">IF(S43=1,"绿",IF(S43=-1,"红","蓝"))</f>
        <v>蓝</v>
      </c>
      <c r="U43" s="44" t="n">
        <f aca="false">F43*(E43-E42)</f>
        <v>-143811.999999997</v>
      </c>
      <c r="V43" s="44" t="n">
        <f aca="false">2/(p_FiS+1)*U43+(1-2/(p_FiS+1))*V42</f>
        <v>-379225.08308914</v>
      </c>
      <c r="W43" s="44" t="n">
        <f aca="false">2/(p_FiL+1)*U43+(1-2/(p_FiL+1))*W42</f>
        <v>328328.514111453</v>
      </c>
      <c r="X43" s="41" t="n">
        <f aca="false">MAX(C43-D43,ABS(C43-E42),ABS(D43-E42))</f>
        <v>0.43</v>
      </c>
      <c r="Y43" s="41" t="n">
        <f aca="true">AVERAGE(OFFSET(X43,1-MIN(p_AtrN,ROW()-4),0,MIN(p_AtrN,ROW()-4),1))</f>
        <v>0.539230769230769</v>
      </c>
      <c r="Z43" s="41" t="n">
        <f aca="false">IF(AND(C43-C42&gt;D42-D43,C43-C42&gt;0),C43-C42,0)</f>
        <v>0</v>
      </c>
      <c r="AA43" s="41" t="n">
        <f aca="false">IF(AND(D42-D43&gt;C43-C42,D42-D43&gt;0),D42-D43,0)</f>
        <v>0.0799999999999983</v>
      </c>
      <c r="AB43" s="41" t="n">
        <f aca="false">2/(p_AdxN+1)*X43+(1-2/(p_AdxN+1))*AB42</f>
        <v>0.528363179985058</v>
      </c>
      <c r="AC43" s="41" t="n">
        <f aca="false">2/(p_AdxN+1)*Z43+(1-2/(p_AdxN+1))*AC42</f>
        <v>0.139864980233433</v>
      </c>
      <c r="AD43" s="41" t="n">
        <f aca="false">2/(p_AdxN+1)*AA43+(1-2/(p_AdxN+1))*AD42</f>
        <v>0.0713029304770163</v>
      </c>
      <c r="AE43" s="45" t="n">
        <f aca="false">100*AC43/AB43</f>
        <v>26.4713714981782</v>
      </c>
      <c r="AF43" s="45" t="n">
        <f aca="false">100*AD43/AB43</f>
        <v>13.4950604391155</v>
      </c>
      <c r="AG43" s="45" t="n">
        <f aca="false">IFERROR(100*ABS(AE43-AF43)/(AE43+AF43),0)</f>
        <v>32.4680248650223</v>
      </c>
      <c r="AH43" s="45" t="n">
        <f aca="false">2/(p_AdxN+1)*AG43+(1-2/(p_AdxN+1))*AH42</f>
        <v>57.3564106257959</v>
      </c>
      <c r="AI43" s="40" t="n">
        <f aca="false">I43*(1+p_ChPct)</f>
        <v>24.5596536750067</v>
      </c>
      <c r="AJ43" s="40" t="n">
        <f aca="false">I43*(1-p_ChPct)</f>
        <v>21.7793155231191</v>
      </c>
      <c r="AK43" s="40" t="n">
        <f aca="false">I43+1*Y43</f>
        <v>23.7087153682937</v>
      </c>
      <c r="AL43" s="40" t="n">
        <f aca="false">I43+2*Y43</f>
        <v>24.2479461375244</v>
      </c>
      <c r="AM43" s="40" t="n">
        <f aca="false">I43+3*Y43</f>
        <v>24.7871769067552</v>
      </c>
      <c r="AN43" s="40" t="n">
        <f aca="false">I43-1*Y43</f>
        <v>22.6302538298321</v>
      </c>
      <c r="AO43" s="40" t="n">
        <f aca="false">I43-2*Y43</f>
        <v>22.0910230606013</v>
      </c>
      <c r="AP43" s="40" t="n">
        <f aca="false">I43-3*Y43</f>
        <v>21.5517922913706</v>
      </c>
      <c r="AQ43" s="40" t="n">
        <f aca="true">MAX(OFFSET(C43,1-MIN(p_StochN,ROW()-4),0,MIN(p_StochN,ROW()-4),1))</f>
        <v>25.04</v>
      </c>
      <c r="AR43" s="40" t="n">
        <f aca="true">MIN(OFFSET(D43,1-MIN(p_StochN,ROW()-4),0,MIN(p_StochN,ROW()-4),1))</f>
        <v>23.91</v>
      </c>
      <c r="AS43" s="45" t="n">
        <f aca="false">IF(AQ43=AR43,50,100*(E43-AR43)/(AQ43-AR43))</f>
        <v>44.2477876106195</v>
      </c>
      <c r="AT43" s="45" t="n">
        <f aca="true">AVERAGE(OFFSET(AS43,1-MIN(p_StochSm,ROW()-4),0,MIN(p_StochSm,ROW()-4),1))</f>
        <v>58.0927962947647</v>
      </c>
      <c r="AU43" s="45" t="n">
        <f aca="true">AVERAGE(OFFSET(AT43,1-MIN(p_StochSm,ROW()-4),0,MIN(p_StochSm,ROW()-4),1))</f>
        <v>66.98861064026</v>
      </c>
      <c r="AV43" s="41" t="n">
        <f aca="false">MAX(0,H43-D43)</f>
        <v>0</v>
      </c>
      <c r="AW43" s="41" t="n">
        <f aca="true">IF(COUNTIF(OFFSET(AV43,1-MIN(p_PenLb,ROW()-4),0,MIN(p_PenLb,ROW()-4),1),"&gt;0")&gt;0,SUM(OFFSET(AV43,1-MIN(p_PenLb,ROW()-4),0,MIN(p_PenLb,ROW()-4),1))/COUNTIF(OFFSET(AV43,1-MIN(p_PenLb,ROW()-4),0,MIN(p_PenLb,ROW()-4),1),"&gt;0"),0.5*Y43)</f>
        <v>0.154214041680015</v>
      </c>
      <c r="AX43" s="41" t="n">
        <f aca="false">2*H43-H42</f>
        <v>24.0903090629095</v>
      </c>
      <c r="AY43" s="40" t="n">
        <f aca="false">ROUND(MAX(AX43-AW43,0.01),2)</f>
        <v>23.94</v>
      </c>
      <c r="AZ43" s="40" t="n">
        <f aca="true">IF(MIN(p_StopLb,ROW()-4)&lt;2,D43,SMALL(OFFSET(D43,1-MIN(p_StopLb,ROW()-4),0,MIN(p_StopLb,ROW()-4),1),2))</f>
        <v>23.37</v>
      </c>
      <c r="BA43" s="40" t="n">
        <f aca="false">IF(MOD(ROUND(ROUNDDOWN(MIN(AZ43-0.01,AY43-p_StopAtr*Y43),2)*100,0),50)=0,ROUNDDOWN(MIN(AZ43-0.01,AY43-p_StopAtr*Y43),2)-0.01,ROUNDDOWN(MIN(AZ43-0.01,AY43-p_StopAtr*Y43),2))</f>
        <v>23.36</v>
      </c>
      <c r="BB43" s="40" t="n">
        <f aca="false">ROUND(AI43,2)</f>
        <v>24.56</v>
      </c>
      <c r="BC43" s="40" t="n">
        <f aca="false">IF(AY43-BA43&gt;0,(BB43-AY43)/(AY43-BA43),0)</f>
        <v>1.06896551724137</v>
      </c>
      <c r="BD43" s="42" t="n">
        <f aca="false">IF(N43&lt;0,1,0)</f>
        <v>1</v>
      </c>
      <c r="BE43" s="41" t="n">
        <f aca="false">IF(AND(BD43=1,BD42=0),N43,IF(BD43=1,MIN(BE42,N43),BE42))</f>
        <v>-0.0283017410357211</v>
      </c>
      <c r="BF43" s="40" t="n">
        <f aca="false">IF(AND(BD43=1,BD42=0),D43,IF(BD43=1,MIN(BF42,D43),BF42))</f>
        <v>24.25</v>
      </c>
      <c r="BG43" s="42" t="n">
        <f aca="false">IF(AND(BD43=1,BD42=0),ROW(),IF(BD43=1,IF(N43&lt;BE42,ROW(),BG42),BG42))</f>
        <v>43</v>
      </c>
      <c r="BH43" s="41" t="n">
        <f aca="false">IF(AND(BD43=1,BD42=0),BE42,BH42)</f>
        <v>-0.0234128043712021</v>
      </c>
      <c r="BI43" s="40" t="n">
        <f aca="false">IF(AND(BD43=1,BD42=0),BF42,BI42)</f>
        <v>19.42</v>
      </c>
      <c r="BJ43" s="42" t="n">
        <f aca="false">IF(AND(BD43=1,BD42=0),BG42,BJ42)</f>
        <v>10</v>
      </c>
      <c r="BK43" s="42" t="n">
        <f aca="false">IF(AND(ISNUMBER(BG43),ISNUMBER(BJ43)),BG43-BJ43,"")</f>
        <v>33</v>
      </c>
      <c r="BL43" s="42" t="n">
        <f aca="false">IF(AND(BD43=1,N43&gt;N42,ISNUMBER(BH43),ISNUMBER(BK43)),IF(AND(BE43&gt;BH43,BF43&lt;BI43,BK43&gt;=p_GapMin,BK43&lt;=p_GapMax),1,0),0)</f>
        <v>0</v>
      </c>
      <c r="BM43" s="42" t="n">
        <f aca="false">IF(AND(BL43=1,E43&gt;BI43),1,0)</f>
        <v>0</v>
      </c>
      <c r="BN43" s="42" t="n">
        <f aca="false">IF(BL43=1,IF(BE43&gt;=BH43*0.5,1,0),0)</f>
        <v>0</v>
      </c>
      <c r="BO43" s="42" t="n">
        <f aca="true">IF(V43&gt;MIN(OFFSET(V43,-MIN(p_FiLb-1,ROW()-5),0,MIN(p_FiLb-1,ROW()-5),1)),1,0)</f>
        <v>1</v>
      </c>
      <c r="BP43" s="44" t="n">
        <f aca="true">IF(COUNTIF(OFFSET(V43,1-MIN(100,ROW()-4),0,MIN(100,ROW()-4),1),"&lt;0")&gt;=5,AVERAGEIF(OFFSET(V43,1-MIN(100,ROW()-4),0,MIN(100,ROW()-4),1),"&lt;0"),"")</f>
        <v>-478034.446739371</v>
      </c>
      <c r="BQ43" s="42" t="n">
        <f aca="false">IF(ISNUMBER(BP43),IF(AND(V43&lt;5*BP43,V43&gt;V42,E43&lt;AJ43),1,0),0)</f>
        <v>0</v>
      </c>
      <c r="BR43" s="44" t="n">
        <f aca="true">AVERAGE(OFFSET(F43,1-MIN(5,ROW()-4),0,MIN(5,ROW()-4),1))</f>
        <v>3995360</v>
      </c>
      <c r="BS43" s="42" t="n">
        <f aca="false">IFERROR(IF(MATCH(G43,周线!$A$5:$A$84,0)&lt;=1,"",INDEX(周线!$R$5:$R$84,MATCH(G43,周线!$A$5:$A$84,0)-1)),"")</f>
        <v>1</v>
      </c>
      <c r="BT43" s="42" t="n">
        <f aca="false">IFERROR(IF(MATCH(G43,周线!$A$5:$A$84,0)&lt;=1,"",INDEX(周线!$S$5:$S$84,MATCH(G43,周线!$A$5:$A$84,0)-1)),"")</f>
        <v>1</v>
      </c>
      <c r="BU43" s="42" t="n">
        <f aca="false">IFERROR(IF(MATCH(G43,周线!$A$5:$A$84,0)&lt;=1,"",INDEX(周线!$U$5:$U$84,MATCH(G43,周线!$A$5:$A$84,0)-1)),"")</f>
        <v>1</v>
      </c>
      <c r="BV43" s="42" t="n">
        <f aca="false">IF(AND(BS43=1,S43&lt;&gt;-1,V43&lt;0,BO43=1,E43&lt;=H43,E43&gt;=AJ43),1,0)</f>
        <v>0</v>
      </c>
      <c r="BW43" s="42" t="n">
        <f aca="false">BL43</f>
        <v>0</v>
      </c>
      <c r="BX43" s="42" t="n">
        <f aca="false">BQ43</f>
        <v>0</v>
      </c>
      <c r="BY43" s="42" t="n">
        <f aca="false">IF(BS43=1,10,0)+IF(BU43=1,5,IF(BU43=-1,0,3))+IF(BT43=1,5,0)+IF(AND(AE43&gt;AF43,AH43&gt;AH42),5,0)</f>
        <v>20</v>
      </c>
      <c r="BZ43" s="42" t="n">
        <f aca="false">IF(AND(E43&lt;=H43,E43&gt;=I43),10,IF(AND(E43&gt;=AJ43,E43&lt;I43),6,0))+IF(AND(V43&lt;0,BO43=1),8,0)+IF(AT43&lt;30,7,IF(AT43&lt;50,3,0))</f>
        <v>8</v>
      </c>
      <c r="CA43" s="42" t="n">
        <f aca="false">IF(AND(BV43=1,BW43=1),25,IF(BW43=1,22,IF(BV43=1,15,IF(BX43=1,12,0))))</f>
        <v>0</v>
      </c>
      <c r="CB43" s="42" t="n">
        <f aca="false">IF(W43&gt;0,6,0)+IF(F43&lt;BR43,4,0)</f>
        <v>10</v>
      </c>
      <c r="CC43" s="42" t="n">
        <f aca="false">IF(BC43&gt;=3,15,IF(BC43&gt;=p_RRmin,10,IF(BC43&gt;=1.5,4,0)))</f>
        <v>0</v>
      </c>
      <c r="CD43" s="42" t="n">
        <f aca="false">BY43+BZ43+CA43+CB43+CC43</f>
        <v>38</v>
      </c>
      <c r="CE43" s="42" t="n">
        <f aca="false">IF(AND(BS43&lt;&gt;1,BW43+BX43=0),1,0)</f>
        <v>0</v>
      </c>
      <c r="CF43" s="42" t="n">
        <f aca="false">IF(BU43=-1,1,0)</f>
        <v>0</v>
      </c>
      <c r="CG43" s="42" t="n">
        <f aca="false">IF(S43=-1,1,0)</f>
        <v>0</v>
      </c>
      <c r="CH43" s="42" t="n">
        <f aca="false">IF(BV43+BW43+BX43=0,1,0)</f>
        <v>1</v>
      </c>
      <c r="CI43" s="42" t="n">
        <f aca="false">IF(BC43&lt;p_RRmin,1,0)</f>
        <v>1</v>
      </c>
      <c r="CJ43" s="46" t="str">
        <f aca="false">IF(SUM(CE43:CI43)=0,IF(CD43&gt;=p_GradeA,"A",IF(CD43&gt;=p_GradeB,"B","C")),IF(AND(CI43=1,SUM(CE43:CH43)=0,CD43&gt;=p_GradeB),"B","C"))</f>
        <v>C</v>
      </c>
    </row>
    <row r="44" customFormat="false" ht="15" hidden="false" customHeight="false" outlineLevel="0" collapsed="false">
      <c r="A44" s="36" t="n">
        <v>45714</v>
      </c>
      <c r="B44" s="37" t="n">
        <v>24.54</v>
      </c>
      <c r="C44" s="37" t="n">
        <v>24.86</v>
      </c>
      <c r="D44" s="37" t="n">
        <v>24.42</v>
      </c>
      <c r="E44" s="37" t="n">
        <v>24.69</v>
      </c>
      <c r="F44" s="38" t="n">
        <v>4696600</v>
      </c>
      <c r="G44" s="39" t="n">
        <f aca="false">A44-WEEKDAY(A44,3)</f>
        <v>45712</v>
      </c>
      <c r="H44" s="40" t="n">
        <f aca="false">2/(p_EmaF+1)*E44+(1-2/(p_EmaF+1))*H43</f>
        <v>24.1211750361355</v>
      </c>
      <c r="I44" s="40" t="n">
        <f aca="false">2/(p_EmaS+1)*E44+(1-2/(p_EmaS+1))*I43</f>
        <v>23.2821153695027</v>
      </c>
      <c r="J44" s="41" t="n">
        <f aca="false">2/(p_MacdF+1)*E44+(1-2/(p_MacdF+1))*J43</f>
        <v>24.1852514867033</v>
      </c>
      <c r="K44" s="41" t="n">
        <f aca="false">2/(p_MacdS+1)*E44+(1-2/(p_MacdS+1))*K43</f>
        <v>23.2821153695027</v>
      </c>
      <c r="L44" s="41" t="n">
        <f aca="false">J44-K44</f>
        <v>0.903136117200649</v>
      </c>
      <c r="M44" s="41" t="n">
        <f aca="false">2/(p_MacdSig+1)*L44+(1-2/(p_MacdSig+1))*M43</f>
        <v>0.942464160810632</v>
      </c>
      <c r="N44" s="41" t="n">
        <f aca="false">L44-M44</f>
        <v>-0.0393280436099833</v>
      </c>
      <c r="O44" s="42" t="n">
        <f aca="false">IF(H44&gt;H43,1,0)</f>
        <v>1</v>
      </c>
      <c r="P44" s="42" t="n">
        <f aca="false">IF(H44&lt;H43,1,0)</f>
        <v>0</v>
      </c>
      <c r="Q44" s="42" t="n">
        <f aca="false">IF(N44&gt;N43,1,0)</f>
        <v>0</v>
      </c>
      <c r="R44" s="42" t="n">
        <f aca="false">IF(N44&lt;N43,1,0)</f>
        <v>1</v>
      </c>
      <c r="S44" s="42" t="n">
        <f aca="false">IF(AND(O44=1,Q44=1),1,IF(AND(P44=1,R44=1),-1,0))</f>
        <v>0</v>
      </c>
      <c r="T44" s="43" t="str">
        <f aca="false">IF(S44=1,"绿",IF(S44=-1,"红","蓝"))</f>
        <v>蓝</v>
      </c>
      <c r="U44" s="44" t="n">
        <f aca="false">F44*(E44-E43)</f>
        <v>1315048.00000001</v>
      </c>
      <c r="V44" s="44" t="n">
        <f aca="false">2/(p_FiS+1)*U44+(1-2/(p_FiS+1))*V43</f>
        <v>750290.305636957</v>
      </c>
      <c r="W44" s="44" t="n">
        <f aca="false">2/(p_FiL+1)*U44+(1-2/(p_FiL+1))*W43</f>
        <v>469288.440666961</v>
      </c>
      <c r="X44" s="41" t="n">
        <f aca="false">MAX(C44-D44,ABS(C44-E43),ABS(D44-E43))</f>
        <v>0.449999999999999</v>
      </c>
      <c r="Y44" s="41" t="n">
        <f aca="true">AVERAGE(OFFSET(X44,1-MIN(p_AtrN,ROW()-4),0,MIN(p_AtrN,ROW()-4),1))</f>
        <v>0.534615384615385</v>
      </c>
      <c r="Z44" s="41" t="n">
        <f aca="false">IF(AND(C44-C43&gt;D43-D44,C44-C43&gt;0),C44-C43,0)</f>
        <v>0.18</v>
      </c>
      <c r="AA44" s="41" t="n">
        <f aca="false">IF(AND(D43-D44&gt;C44-C43,D43-D44&gt;0),D43-D44,0)</f>
        <v>0</v>
      </c>
      <c r="AB44" s="41" t="n">
        <f aca="false">2/(p_AdxN+1)*X44+(1-2/(p_AdxN+1))*AB43</f>
        <v>0.517168439987193</v>
      </c>
      <c r="AC44" s="41" t="n">
        <f aca="false">2/(p_AdxN+1)*Z44+(1-2/(p_AdxN+1))*AC43</f>
        <v>0.1455985544858</v>
      </c>
      <c r="AD44" s="41" t="n">
        <f aca="false">2/(p_AdxN+1)*AA44+(1-2/(p_AdxN+1))*AD43</f>
        <v>0.0611167975517282</v>
      </c>
      <c r="AE44" s="45" t="n">
        <f aca="false">100*AC44/AB44</f>
        <v>28.1530238947692</v>
      </c>
      <c r="AF44" s="45" t="n">
        <f aca="false">100*AD44/AB44</f>
        <v>11.8175806615813</v>
      </c>
      <c r="AG44" s="45" t="n">
        <f aca="false">IFERROR(100*ABS(AE44-AF44)/(AE44+AF44),0)</f>
        <v>40.8686418794547</v>
      </c>
      <c r="AH44" s="45" t="n">
        <f aca="false">2/(p_AdxN+1)*AG44+(1-2/(p_AdxN+1))*AH43</f>
        <v>55.0010150906043</v>
      </c>
      <c r="AI44" s="40" t="n">
        <f aca="false">I44*(1+p_ChPct)</f>
        <v>24.6790422916728</v>
      </c>
      <c r="AJ44" s="40" t="n">
        <f aca="false">I44*(1-p_ChPct)</f>
        <v>21.8851884473325</v>
      </c>
      <c r="AK44" s="40" t="n">
        <f aca="false">I44+1*Y44</f>
        <v>23.8167307541181</v>
      </c>
      <c r="AL44" s="40" t="n">
        <f aca="false">I44+2*Y44</f>
        <v>24.3513461387334</v>
      </c>
      <c r="AM44" s="40" t="n">
        <f aca="false">I44+3*Y44</f>
        <v>24.8859615233488</v>
      </c>
      <c r="AN44" s="40" t="n">
        <f aca="false">I44-1*Y44</f>
        <v>22.7474999848873</v>
      </c>
      <c r="AO44" s="40" t="n">
        <f aca="false">I44-2*Y44</f>
        <v>22.2128846002719</v>
      </c>
      <c r="AP44" s="40" t="n">
        <f aca="false">I44-3*Y44</f>
        <v>21.6782692156565</v>
      </c>
      <c r="AQ44" s="40" t="n">
        <f aca="true">MAX(OFFSET(C44,1-MIN(p_StochN,ROW()-4),0,MIN(p_StochN,ROW()-4),1))</f>
        <v>25.04</v>
      </c>
      <c r="AR44" s="40" t="n">
        <f aca="true">MIN(OFFSET(D44,1-MIN(p_StochN,ROW()-4),0,MIN(p_StochN,ROW()-4),1))</f>
        <v>24.25</v>
      </c>
      <c r="AS44" s="45" t="n">
        <f aca="false">IF(AQ44=AR44,50,100*(E44-AR44)/(AQ44-AR44))</f>
        <v>55.6962025316458</v>
      </c>
      <c r="AT44" s="45" t="n">
        <f aca="true">AVERAGE(OFFSET(AS44,1-MIN(p_StochSm,ROW()-4),0,MIN(p_StochSm,ROW()-4),1))</f>
        <v>49.2438669205781</v>
      </c>
      <c r="AU44" s="45" t="n">
        <f aca="true">AVERAGE(OFFSET(AT44,1-MIN(p_StochSm,ROW()-4),0,MIN(p_StochSm,ROW()-4),1))</f>
        <v>58.7538641073572</v>
      </c>
      <c r="AV44" s="41" t="n">
        <f aca="false">MAX(0,H44-D44)</f>
        <v>0</v>
      </c>
      <c r="AW44" s="41" t="n">
        <f aca="true">IF(COUNTIF(OFFSET(AV44,1-MIN(p_PenLb,ROW()-4),0,MIN(p_PenLb,ROW()-4),1),"&gt;0")&gt;0,SUM(OFFSET(AV44,1-MIN(p_PenLb,ROW()-4),0,MIN(p_PenLb,ROW()-4),1))/COUNTIF(OFFSET(AV44,1-MIN(p_PenLb,ROW()-4),0,MIN(p_PenLb,ROW()-4),1),"&gt;0"),0.5*Y44)</f>
        <v>0.193882227374502</v>
      </c>
      <c r="AX44" s="41" t="n">
        <f aca="false">2*H44-H43</f>
        <v>24.2159791967796</v>
      </c>
      <c r="AY44" s="40" t="n">
        <f aca="false">ROUND(MAX(AX44-AW44,0.01),2)</f>
        <v>24.02</v>
      </c>
      <c r="AZ44" s="40" t="n">
        <f aca="true">IF(MIN(p_StopLb,ROW()-4)&lt;2,D44,SMALL(OFFSET(D44,1-MIN(p_StopLb,ROW()-4),0,MIN(p_StopLb,ROW()-4),1),2))</f>
        <v>23.91</v>
      </c>
      <c r="BA44" s="40" t="n">
        <f aca="false">IF(MOD(ROUND(ROUNDDOWN(MIN(AZ44-0.01,AY44-p_StopAtr*Y44),2)*100,0),50)=0,ROUNDDOWN(MIN(AZ44-0.01,AY44-p_StopAtr*Y44),2)-0.01,ROUNDDOWN(MIN(AZ44-0.01,AY44-p_StopAtr*Y44),2))</f>
        <v>23.48</v>
      </c>
      <c r="BB44" s="40" t="n">
        <f aca="false">ROUND(AI44,2)</f>
        <v>24.68</v>
      </c>
      <c r="BC44" s="40" t="n">
        <f aca="false">IF(AY44-BA44&gt;0,(BB44-AY44)/(AY44-BA44),0)</f>
        <v>1.22222222222222</v>
      </c>
      <c r="BD44" s="42" t="n">
        <f aca="false">IF(N44&lt;0,1,0)</f>
        <v>1</v>
      </c>
      <c r="BE44" s="41" t="n">
        <f aca="false">IF(AND(BD44=1,BD43=0),N44,IF(BD44=1,MIN(BE43,N44),BE43))</f>
        <v>-0.0393280436099833</v>
      </c>
      <c r="BF44" s="40" t="n">
        <f aca="false">IF(AND(BD44=1,BD43=0),D44,IF(BD44=1,MIN(BF43,D44),BF43))</f>
        <v>24.25</v>
      </c>
      <c r="BG44" s="42" t="n">
        <f aca="false">IF(AND(BD44=1,BD43=0),ROW(),IF(BD44=1,IF(N44&lt;BE43,ROW(),BG43),BG43))</f>
        <v>44</v>
      </c>
      <c r="BH44" s="41" t="n">
        <f aca="false">IF(AND(BD44=1,BD43=0),BE43,BH43)</f>
        <v>-0.0234128043712021</v>
      </c>
      <c r="BI44" s="40" t="n">
        <f aca="false">IF(AND(BD44=1,BD43=0),BF43,BI43)</f>
        <v>19.42</v>
      </c>
      <c r="BJ44" s="42" t="n">
        <f aca="false">IF(AND(BD44=1,BD43=0),BG43,BJ43)</f>
        <v>10</v>
      </c>
      <c r="BK44" s="42" t="n">
        <f aca="false">IF(AND(ISNUMBER(BG44),ISNUMBER(BJ44)),BG44-BJ44,"")</f>
        <v>34</v>
      </c>
      <c r="BL44" s="42" t="n">
        <f aca="false">IF(AND(BD44=1,N44&gt;N43,ISNUMBER(BH44),ISNUMBER(BK44)),IF(AND(BE44&gt;BH44,BF44&lt;BI44,BK44&gt;=p_GapMin,BK44&lt;=p_GapMax),1,0),0)</f>
        <v>0</v>
      </c>
      <c r="BM44" s="42" t="n">
        <f aca="false">IF(AND(BL44=1,E44&gt;BI44),1,0)</f>
        <v>0</v>
      </c>
      <c r="BN44" s="42" t="n">
        <f aca="false">IF(BL44=1,IF(BE44&gt;=BH44*0.5,1,0),0)</f>
        <v>0</v>
      </c>
      <c r="BO44" s="42" t="n">
        <f aca="true">IF(V44&gt;MIN(OFFSET(V44,-MIN(p_FiLb-1,ROW()-5),0,MIN(p_FiLb-1,ROW()-5),1)),1,0)</f>
        <v>1</v>
      </c>
      <c r="BP44" s="44" t="n">
        <f aca="true">IF(COUNTIF(OFFSET(V44,1-MIN(100,ROW()-4),0,MIN(100,ROW()-4),1),"&lt;0")&gt;=5,AVERAGEIF(OFFSET(V44,1-MIN(100,ROW()-4),0,MIN(100,ROW()-4),1),"&lt;0"),"")</f>
        <v>-478034.446739371</v>
      </c>
      <c r="BQ44" s="42" t="n">
        <f aca="false">IF(ISNUMBER(BP44),IF(AND(V44&lt;5*BP44,V44&gt;V43,E44&lt;AJ44),1,0),0)</f>
        <v>0</v>
      </c>
      <c r="BR44" s="44" t="n">
        <f aca="true">AVERAGE(OFFSET(F44,1-MIN(5,ROW()-4),0,MIN(5,ROW()-4),1))</f>
        <v>4256700</v>
      </c>
      <c r="BS44" s="42" t="n">
        <f aca="false">IFERROR(IF(MATCH(G44,周线!$A$5:$A$84,0)&lt;=1,"",INDEX(周线!$R$5:$R$84,MATCH(G44,周线!$A$5:$A$84,0)-1)),"")</f>
        <v>1</v>
      </c>
      <c r="BT44" s="42" t="n">
        <f aca="false">IFERROR(IF(MATCH(G44,周线!$A$5:$A$84,0)&lt;=1,"",INDEX(周线!$S$5:$S$84,MATCH(G44,周线!$A$5:$A$84,0)-1)),"")</f>
        <v>1</v>
      </c>
      <c r="BU44" s="42" t="n">
        <f aca="false">IFERROR(IF(MATCH(G44,周线!$A$5:$A$84,0)&lt;=1,"",INDEX(周线!$U$5:$U$84,MATCH(G44,周线!$A$5:$A$84,0)-1)),"")</f>
        <v>1</v>
      </c>
      <c r="BV44" s="42" t="n">
        <f aca="false">IF(AND(BS44=1,S44&lt;&gt;-1,V44&lt;0,BO44=1,E44&lt;=H44,E44&gt;=AJ44),1,0)</f>
        <v>0</v>
      </c>
      <c r="BW44" s="42" t="n">
        <f aca="false">BL44</f>
        <v>0</v>
      </c>
      <c r="BX44" s="42" t="n">
        <f aca="false">BQ44</f>
        <v>0</v>
      </c>
      <c r="BY44" s="42" t="n">
        <f aca="false">IF(BS44=1,10,0)+IF(BU44=1,5,IF(BU44=-1,0,3))+IF(BT44=1,5,0)+IF(AND(AE44&gt;AF44,AH44&gt;AH43),5,0)</f>
        <v>20</v>
      </c>
      <c r="BZ44" s="42" t="n">
        <f aca="false">IF(AND(E44&lt;=H44,E44&gt;=I44),10,IF(AND(E44&gt;=AJ44,E44&lt;I44),6,0))+IF(AND(V44&lt;0,BO44=1),8,0)+IF(AT44&lt;30,7,IF(AT44&lt;50,3,0))</f>
        <v>3</v>
      </c>
      <c r="CA44" s="42" t="n">
        <f aca="false">IF(AND(BV44=1,BW44=1),25,IF(BW44=1,22,IF(BV44=1,15,IF(BX44=1,12,0))))</f>
        <v>0</v>
      </c>
      <c r="CB44" s="42" t="n">
        <f aca="false">IF(W44&gt;0,6,0)+IF(F44&lt;BR44,4,0)</f>
        <v>6</v>
      </c>
      <c r="CC44" s="42" t="n">
        <f aca="false">IF(BC44&gt;=3,15,IF(BC44&gt;=p_RRmin,10,IF(BC44&gt;=1.5,4,0)))</f>
        <v>0</v>
      </c>
      <c r="CD44" s="42" t="n">
        <f aca="false">BY44+BZ44+CA44+CB44+CC44</f>
        <v>29</v>
      </c>
      <c r="CE44" s="42" t="n">
        <f aca="false">IF(AND(BS44&lt;&gt;1,BW44+BX44=0),1,0)</f>
        <v>0</v>
      </c>
      <c r="CF44" s="42" t="n">
        <f aca="false">IF(BU44=-1,1,0)</f>
        <v>0</v>
      </c>
      <c r="CG44" s="42" t="n">
        <f aca="false">IF(S44=-1,1,0)</f>
        <v>0</v>
      </c>
      <c r="CH44" s="42" t="n">
        <f aca="false">IF(BV44+BW44+BX44=0,1,0)</f>
        <v>1</v>
      </c>
      <c r="CI44" s="42" t="n">
        <f aca="false">IF(BC44&lt;p_RRmin,1,0)</f>
        <v>1</v>
      </c>
      <c r="CJ44" s="46" t="str">
        <f aca="false">IF(SUM(CE44:CI44)=0,IF(CD44&gt;=p_GradeA,"A",IF(CD44&gt;=p_GradeB,"B","C")),IF(AND(CI44=1,SUM(CE44:CH44)=0,CD44&gt;=p_GradeB),"B","C"))</f>
        <v>C</v>
      </c>
    </row>
    <row r="45" customFormat="false" ht="15" hidden="false" customHeight="false" outlineLevel="0" collapsed="false">
      <c r="A45" s="36" t="n">
        <v>45715</v>
      </c>
      <c r="B45" s="37" t="n">
        <v>24.69</v>
      </c>
      <c r="C45" s="37" t="n">
        <v>24.83</v>
      </c>
      <c r="D45" s="37" t="n">
        <v>24.36</v>
      </c>
      <c r="E45" s="37" t="n">
        <v>24.53</v>
      </c>
      <c r="F45" s="38" t="n">
        <v>4196400</v>
      </c>
      <c r="G45" s="39" t="n">
        <f aca="false">A45-WEEKDAY(A45,3)</f>
        <v>45712</v>
      </c>
      <c r="H45" s="40" t="n">
        <f aca="false">2/(p_EmaF+1)*E45+(1-2/(p_EmaF+1))*H44</f>
        <v>24.1795786024019</v>
      </c>
      <c r="I45" s="40" t="n">
        <f aca="false">2/(p_EmaS+1)*E45+(1-2/(p_EmaS+1))*I44</f>
        <v>23.374551268058</v>
      </c>
      <c r="J45" s="41" t="n">
        <f aca="false">2/(p_MacdF+1)*E45+(1-2/(p_MacdF+1))*J44</f>
        <v>24.2382897195182</v>
      </c>
      <c r="K45" s="41" t="n">
        <f aca="false">2/(p_MacdS+1)*E45+(1-2/(p_MacdS+1))*K44</f>
        <v>23.374551268058</v>
      </c>
      <c r="L45" s="41" t="n">
        <f aca="false">J45-K45</f>
        <v>0.863738451460165</v>
      </c>
      <c r="M45" s="41" t="n">
        <f aca="false">2/(p_MacdSig+1)*L45+(1-2/(p_MacdSig+1))*M44</f>
        <v>0.926719018940539</v>
      </c>
      <c r="N45" s="41" t="n">
        <f aca="false">L45-M45</f>
        <v>-0.0629805674803741</v>
      </c>
      <c r="O45" s="42" t="n">
        <f aca="false">IF(H45&gt;H44,1,0)</f>
        <v>1</v>
      </c>
      <c r="P45" s="42" t="n">
        <f aca="false">IF(H45&lt;H44,1,0)</f>
        <v>0</v>
      </c>
      <c r="Q45" s="42" t="n">
        <f aca="false">IF(N45&gt;N44,1,0)</f>
        <v>0</v>
      </c>
      <c r="R45" s="42" t="n">
        <f aca="false">IF(N45&lt;N44,1,0)</f>
        <v>1</v>
      </c>
      <c r="S45" s="42" t="n">
        <f aca="false">IF(AND(O45=1,Q45=1),1,IF(AND(P45=1,R45=1),-1,0))</f>
        <v>0</v>
      </c>
      <c r="T45" s="43" t="str">
        <f aca="false">IF(S45=1,"绿",IF(S45=-1,"红","蓝"))</f>
        <v>蓝</v>
      </c>
      <c r="U45" s="44" t="n">
        <f aca="false">F45*(E45-E44)</f>
        <v>-671424.000000001</v>
      </c>
      <c r="V45" s="44" t="n">
        <f aca="false">2/(p_FiS+1)*U45+(1-2/(p_FiS+1))*V44</f>
        <v>-197519.231454348</v>
      </c>
      <c r="W45" s="44" t="n">
        <f aca="false">2/(p_FiL+1)*U45+(1-2/(p_FiL+1))*W44</f>
        <v>306329.52057168</v>
      </c>
      <c r="X45" s="41" t="n">
        <f aca="false">MAX(C45-D45,ABS(C45-E44),ABS(D45-E44))</f>
        <v>0.469999999999999</v>
      </c>
      <c r="Y45" s="41" t="n">
        <f aca="true">AVERAGE(OFFSET(X45,1-MIN(p_AtrN,ROW()-4),0,MIN(p_AtrN,ROW()-4),1))</f>
        <v>0.526153846153846</v>
      </c>
      <c r="Z45" s="41" t="n">
        <f aca="false">IF(AND(C45-C44&gt;D44-D45,C45-C44&gt;0),C45-C44,0)</f>
        <v>0</v>
      </c>
      <c r="AA45" s="41" t="n">
        <f aca="false">IF(AND(D44-D45&gt;C45-C44,D44-D45&gt;0),D44-D45,0)</f>
        <v>0.0600000000000023</v>
      </c>
      <c r="AB45" s="41" t="n">
        <f aca="false">2/(p_AdxN+1)*X45+(1-2/(p_AdxN+1))*AB44</f>
        <v>0.510430091417594</v>
      </c>
      <c r="AC45" s="41" t="n">
        <f aca="false">2/(p_AdxN+1)*Z45+(1-2/(p_AdxN+1))*AC44</f>
        <v>0.124798760987828</v>
      </c>
      <c r="AD45" s="41" t="n">
        <f aca="false">2/(p_AdxN+1)*AA45+(1-2/(p_AdxN+1))*AD44</f>
        <v>0.0609572550443388</v>
      </c>
      <c r="AE45" s="45" t="n">
        <f aca="false">100*AC45/AB45</f>
        <v>24.4497264338845</v>
      </c>
      <c r="AF45" s="45" t="n">
        <f aca="false">100*AD45/AB45</f>
        <v>11.9423317843674</v>
      </c>
      <c r="AG45" s="45" t="n">
        <f aca="false">IFERROR(100*ABS(AE45-AF45)/(AE45+AF45),0)</f>
        <v>34.3684728533552</v>
      </c>
      <c r="AH45" s="45" t="n">
        <f aca="false">2/(p_AdxN+1)*AG45+(1-2/(p_AdxN+1))*AH44</f>
        <v>52.0535090567115</v>
      </c>
      <c r="AI45" s="40" t="n">
        <f aca="false">I45*(1+p_ChPct)</f>
        <v>24.7770243441415</v>
      </c>
      <c r="AJ45" s="40" t="n">
        <f aca="false">I45*(1-p_ChPct)</f>
        <v>21.9720781919745</v>
      </c>
      <c r="AK45" s="40" t="n">
        <f aca="false">I45+1*Y45</f>
        <v>23.9007051142119</v>
      </c>
      <c r="AL45" s="40" t="n">
        <f aca="false">I45+2*Y45</f>
        <v>24.4268589603657</v>
      </c>
      <c r="AM45" s="40" t="n">
        <f aca="false">I45+3*Y45</f>
        <v>24.9530128065196</v>
      </c>
      <c r="AN45" s="40" t="n">
        <f aca="false">I45-1*Y45</f>
        <v>22.8483974219042</v>
      </c>
      <c r="AO45" s="40" t="n">
        <f aca="false">I45-2*Y45</f>
        <v>22.3222435757503</v>
      </c>
      <c r="AP45" s="40" t="n">
        <f aca="false">I45-3*Y45</f>
        <v>21.7960897295965</v>
      </c>
      <c r="AQ45" s="40" t="n">
        <f aca="true">MAX(OFFSET(C45,1-MIN(p_StochN,ROW()-4),0,MIN(p_StochN,ROW()-4),1))</f>
        <v>25.04</v>
      </c>
      <c r="AR45" s="40" t="n">
        <f aca="true">MIN(OFFSET(D45,1-MIN(p_StochN,ROW()-4),0,MIN(p_StochN,ROW()-4),1))</f>
        <v>24.25</v>
      </c>
      <c r="AS45" s="45" t="n">
        <f aca="false">IF(AQ45=AR45,50,100*(E45-AR45)/(AQ45-AR45))</f>
        <v>35.4430379746837</v>
      </c>
      <c r="AT45" s="45" t="n">
        <f aca="true">AVERAGE(OFFSET(AS45,1-MIN(p_StochSm,ROW()-4),0,MIN(p_StochSm,ROW()-4),1))</f>
        <v>45.1290093723163</v>
      </c>
      <c r="AU45" s="45" t="n">
        <f aca="true">AVERAGE(OFFSET(AT45,1-MIN(p_StochSm,ROW()-4),0,MIN(p_StochSm,ROW()-4),1))</f>
        <v>50.821890862553</v>
      </c>
      <c r="AV45" s="41" t="n">
        <f aca="false">MAX(0,H45-D45)</f>
        <v>0</v>
      </c>
      <c r="AW45" s="41" t="n">
        <f aca="true">IF(COUNTIF(OFFSET(AV45,1-MIN(p_PenLb,ROW()-4),0,MIN(p_PenLb,ROW()-4),1),"&gt;0")&gt;0,SUM(OFFSET(AV45,1-MIN(p_PenLb,ROW()-4),0,MIN(p_PenLb,ROW()-4),1))/COUNTIF(OFFSET(AV45,1-MIN(p_PenLb,ROW()-4),0,MIN(p_PenLb,ROW()-4),1),"&gt;0"),0.5*Y45)</f>
        <v>0.203583594499541</v>
      </c>
      <c r="AX45" s="41" t="n">
        <f aca="false">2*H45-H44</f>
        <v>24.2379821686682</v>
      </c>
      <c r="AY45" s="40" t="n">
        <f aca="false">ROUND(MAX(AX45-AW45,0.01),2)</f>
        <v>24.03</v>
      </c>
      <c r="AZ45" s="40" t="n">
        <f aca="true">IF(MIN(p_StopLb,ROW()-4)&lt;2,D45,SMALL(OFFSET(D45,1-MIN(p_StopLb,ROW()-4),0,MIN(p_StopLb,ROW()-4),1),2))</f>
        <v>24.02</v>
      </c>
      <c r="BA45" s="40" t="n">
        <f aca="false">IF(MOD(ROUND(ROUNDDOWN(MIN(AZ45-0.01,AY45-p_StopAtr*Y45),2)*100,0),50)=0,ROUNDDOWN(MIN(AZ45-0.01,AY45-p_StopAtr*Y45),2)-0.01,ROUNDDOWN(MIN(AZ45-0.01,AY45-p_StopAtr*Y45),2))</f>
        <v>23.49</v>
      </c>
      <c r="BB45" s="40" t="n">
        <f aca="false">ROUND(AI45,2)</f>
        <v>24.78</v>
      </c>
      <c r="BC45" s="40" t="n">
        <f aca="false">IF(AY45-BA45&gt;0,(BB45-AY45)/(AY45-BA45),0)</f>
        <v>1.38888888888888</v>
      </c>
      <c r="BD45" s="42" t="n">
        <f aca="false">IF(N45&lt;0,1,0)</f>
        <v>1</v>
      </c>
      <c r="BE45" s="41" t="n">
        <f aca="false">IF(AND(BD45=1,BD44=0),N45,IF(BD45=1,MIN(BE44,N45),BE44))</f>
        <v>-0.0629805674803741</v>
      </c>
      <c r="BF45" s="40" t="n">
        <f aca="false">IF(AND(BD45=1,BD44=0),D45,IF(BD45=1,MIN(BF44,D45),BF44))</f>
        <v>24.25</v>
      </c>
      <c r="BG45" s="42" t="n">
        <f aca="false">IF(AND(BD45=1,BD44=0),ROW(),IF(BD45=1,IF(N45&lt;BE44,ROW(),BG44),BG44))</f>
        <v>45</v>
      </c>
      <c r="BH45" s="41" t="n">
        <f aca="false">IF(AND(BD45=1,BD44=0),BE44,BH44)</f>
        <v>-0.0234128043712021</v>
      </c>
      <c r="BI45" s="40" t="n">
        <f aca="false">IF(AND(BD45=1,BD44=0),BF44,BI44)</f>
        <v>19.42</v>
      </c>
      <c r="BJ45" s="42" t="n">
        <f aca="false">IF(AND(BD45=1,BD44=0),BG44,BJ44)</f>
        <v>10</v>
      </c>
      <c r="BK45" s="42" t="n">
        <f aca="false">IF(AND(ISNUMBER(BG45),ISNUMBER(BJ45)),BG45-BJ45,"")</f>
        <v>35</v>
      </c>
      <c r="BL45" s="42" t="n">
        <f aca="false">IF(AND(BD45=1,N45&gt;N44,ISNUMBER(BH45),ISNUMBER(BK45)),IF(AND(BE45&gt;BH45,BF45&lt;BI45,BK45&gt;=p_GapMin,BK45&lt;=p_GapMax),1,0),0)</f>
        <v>0</v>
      </c>
      <c r="BM45" s="42" t="n">
        <f aca="false">IF(AND(BL45=1,E45&gt;BI45),1,0)</f>
        <v>0</v>
      </c>
      <c r="BN45" s="42" t="n">
        <f aca="false">IF(BL45=1,IF(BE45&gt;=BH45*0.5,1,0),0)</f>
        <v>0</v>
      </c>
      <c r="BO45" s="42" t="n">
        <f aca="true">IF(V45&gt;MIN(OFFSET(V45,-MIN(p_FiLb-1,ROW()-5),0,MIN(p_FiLb-1,ROW()-5),1)),1,0)</f>
        <v>1</v>
      </c>
      <c r="BP45" s="44" t="n">
        <f aca="true">IF(COUNTIF(OFFSET(V45,1-MIN(100,ROW()-4),0,MIN(100,ROW()-4),1),"&lt;0")&gt;=5,AVERAGEIF(OFFSET(V45,1-MIN(100,ROW()-4),0,MIN(100,ROW()-4),1),"&lt;0"),"")</f>
        <v>-457997.645647584</v>
      </c>
      <c r="BQ45" s="42" t="n">
        <f aca="false">IF(ISNUMBER(BP45),IF(AND(V45&lt;5*BP45,V45&gt;V44,E45&lt;AJ45),1,0),0)</f>
        <v>0</v>
      </c>
      <c r="BR45" s="44" t="n">
        <f aca="true">AVERAGE(OFFSET(F45,1-MIN(5,ROW()-4),0,MIN(5,ROW()-4),1))</f>
        <v>4073460</v>
      </c>
      <c r="BS45" s="42" t="n">
        <f aca="false">IFERROR(IF(MATCH(G45,周线!$A$5:$A$84,0)&lt;=1,"",INDEX(周线!$R$5:$R$84,MATCH(G45,周线!$A$5:$A$84,0)-1)),"")</f>
        <v>1</v>
      </c>
      <c r="BT45" s="42" t="n">
        <f aca="false">IFERROR(IF(MATCH(G45,周线!$A$5:$A$84,0)&lt;=1,"",INDEX(周线!$S$5:$S$84,MATCH(G45,周线!$A$5:$A$84,0)-1)),"")</f>
        <v>1</v>
      </c>
      <c r="BU45" s="42" t="n">
        <f aca="false">IFERROR(IF(MATCH(G45,周线!$A$5:$A$84,0)&lt;=1,"",INDEX(周线!$U$5:$U$84,MATCH(G45,周线!$A$5:$A$84,0)-1)),"")</f>
        <v>1</v>
      </c>
      <c r="BV45" s="42" t="n">
        <f aca="false">IF(AND(BS45=1,S45&lt;&gt;-1,V45&lt;0,BO45=1,E45&lt;=H45,E45&gt;=AJ45),1,0)</f>
        <v>0</v>
      </c>
      <c r="BW45" s="42" t="n">
        <f aca="false">BL45</f>
        <v>0</v>
      </c>
      <c r="BX45" s="42" t="n">
        <f aca="false">BQ45</f>
        <v>0</v>
      </c>
      <c r="BY45" s="42" t="n">
        <f aca="false">IF(BS45=1,10,0)+IF(BU45=1,5,IF(BU45=-1,0,3))+IF(BT45=1,5,0)+IF(AND(AE45&gt;AF45,AH45&gt;AH44),5,0)</f>
        <v>20</v>
      </c>
      <c r="BZ45" s="42" t="n">
        <f aca="false">IF(AND(E45&lt;=H45,E45&gt;=I45),10,IF(AND(E45&gt;=AJ45,E45&lt;I45),6,0))+IF(AND(V45&lt;0,BO45=1),8,0)+IF(AT45&lt;30,7,IF(AT45&lt;50,3,0))</f>
        <v>11</v>
      </c>
      <c r="CA45" s="42" t="n">
        <f aca="false">IF(AND(BV45=1,BW45=1),25,IF(BW45=1,22,IF(BV45=1,15,IF(BX45=1,12,0))))</f>
        <v>0</v>
      </c>
      <c r="CB45" s="42" t="n">
        <f aca="false">IF(W45&gt;0,6,0)+IF(F45&lt;BR45,4,0)</f>
        <v>6</v>
      </c>
      <c r="CC45" s="42" t="n">
        <f aca="false">IF(BC45&gt;=3,15,IF(BC45&gt;=p_RRmin,10,IF(BC45&gt;=1.5,4,0)))</f>
        <v>0</v>
      </c>
      <c r="CD45" s="42" t="n">
        <f aca="false">BY45+BZ45+CA45+CB45+CC45</f>
        <v>37</v>
      </c>
      <c r="CE45" s="42" t="n">
        <f aca="false">IF(AND(BS45&lt;&gt;1,BW45+BX45=0),1,0)</f>
        <v>0</v>
      </c>
      <c r="CF45" s="42" t="n">
        <f aca="false">IF(BU45=-1,1,0)</f>
        <v>0</v>
      </c>
      <c r="CG45" s="42" t="n">
        <f aca="false">IF(S45=-1,1,0)</f>
        <v>0</v>
      </c>
      <c r="CH45" s="42" t="n">
        <f aca="false">IF(BV45+BW45+BX45=0,1,0)</f>
        <v>1</v>
      </c>
      <c r="CI45" s="42" t="n">
        <f aca="false">IF(BC45&lt;p_RRmin,1,0)</f>
        <v>1</v>
      </c>
      <c r="CJ45" s="46" t="str">
        <f aca="false">IF(SUM(CE45:CI45)=0,IF(CD45&gt;=p_GradeA,"A",IF(CD45&gt;=p_GradeB,"B","C")),IF(AND(CI45=1,SUM(CE45:CH45)=0,CD45&gt;=p_GradeB),"B","C"))</f>
        <v>C</v>
      </c>
    </row>
    <row r="46" customFormat="false" ht="15" hidden="false" customHeight="false" outlineLevel="0" collapsed="false">
      <c r="A46" s="36" t="n">
        <v>45716</v>
      </c>
      <c r="B46" s="37" t="n">
        <v>24.5</v>
      </c>
      <c r="C46" s="37" t="n">
        <v>24.75</v>
      </c>
      <c r="D46" s="37" t="n">
        <v>24.29</v>
      </c>
      <c r="E46" s="37" t="n">
        <v>24.64</v>
      </c>
      <c r="F46" s="38" t="n">
        <v>2661400</v>
      </c>
      <c r="G46" s="39" t="n">
        <f aca="false">A46-WEEKDAY(A46,3)</f>
        <v>45712</v>
      </c>
      <c r="H46" s="40" t="n">
        <f aca="false">2/(p_EmaF+1)*E46+(1-2/(p_EmaF+1))*H45</f>
        <v>24.245353087773</v>
      </c>
      <c r="I46" s="40" t="n">
        <f aca="false">2/(p_EmaS+1)*E46+(1-2/(p_EmaS+1))*I45</f>
        <v>23.4682882111648</v>
      </c>
      <c r="J46" s="41" t="n">
        <f aca="false">2/(p_MacdF+1)*E46+(1-2/(p_MacdF+1))*J45</f>
        <v>24.3000913011308</v>
      </c>
      <c r="K46" s="41" t="n">
        <f aca="false">2/(p_MacdS+1)*E46+(1-2/(p_MacdS+1))*K45</f>
        <v>23.4682882111648</v>
      </c>
      <c r="L46" s="41" t="n">
        <f aca="false">J46-K46</f>
        <v>0.831803089965941</v>
      </c>
      <c r="M46" s="41" t="n">
        <f aca="false">2/(p_MacdSig+1)*L46+(1-2/(p_MacdSig+1))*M45</f>
        <v>0.90773583314562</v>
      </c>
      <c r="N46" s="41" t="n">
        <f aca="false">L46-M46</f>
        <v>-0.0759327431796782</v>
      </c>
      <c r="O46" s="42" t="n">
        <f aca="false">IF(H46&gt;H45,1,0)</f>
        <v>1</v>
      </c>
      <c r="P46" s="42" t="n">
        <f aca="false">IF(H46&lt;H45,1,0)</f>
        <v>0</v>
      </c>
      <c r="Q46" s="42" t="n">
        <f aca="false">IF(N46&gt;N45,1,0)</f>
        <v>0</v>
      </c>
      <c r="R46" s="42" t="n">
        <f aca="false">IF(N46&lt;N45,1,0)</f>
        <v>1</v>
      </c>
      <c r="S46" s="42" t="n">
        <f aca="false">IF(AND(O46=1,Q46=1),1,IF(AND(P46=1,R46=1),-1,0))</f>
        <v>0</v>
      </c>
      <c r="T46" s="43" t="str">
        <f aca="false">IF(S46=1,"绿",IF(S46=-1,"红","蓝"))</f>
        <v>蓝</v>
      </c>
      <c r="U46" s="44" t="n">
        <f aca="false">F46*(E46-E45)</f>
        <v>292753.999999999</v>
      </c>
      <c r="V46" s="44" t="n">
        <f aca="false">2/(p_FiS+1)*U46+(1-2/(p_FiS+1))*V45</f>
        <v>129329.589515216</v>
      </c>
      <c r="W46" s="44" t="n">
        <f aca="false">2/(p_FiL+1)*U46+(1-2/(p_FiL+1))*W45</f>
        <v>304390.160490012</v>
      </c>
      <c r="X46" s="41" t="n">
        <f aca="false">MAX(C46-D46,ABS(C46-E45),ABS(D46-E45))</f>
        <v>0.460000000000001</v>
      </c>
      <c r="Y46" s="41" t="n">
        <f aca="true">AVERAGE(OFFSET(X46,1-MIN(p_AtrN,ROW()-4),0,MIN(p_AtrN,ROW()-4),1))</f>
        <v>0.523076923076923</v>
      </c>
      <c r="Z46" s="41" t="n">
        <f aca="false">IF(AND(C46-C45&gt;D45-D46,C46-C45&gt;0),C46-C45,0)</f>
        <v>0</v>
      </c>
      <c r="AA46" s="41" t="n">
        <f aca="false">IF(AND(D45-D46&gt;C46-C45,D45-D46&gt;0),D45-D46,0)</f>
        <v>0.0700000000000003</v>
      </c>
      <c r="AB46" s="41" t="n">
        <f aca="false">2/(p_AdxN+1)*X46+(1-2/(p_AdxN+1))*AB45</f>
        <v>0.503225792643652</v>
      </c>
      <c r="AC46" s="41" t="n">
        <f aca="false">2/(p_AdxN+1)*Z46+(1-2/(p_AdxN+1))*AC45</f>
        <v>0.106970366560996</v>
      </c>
      <c r="AD46" s="41" t="n">
        <f aca="false">2/(p_AdxN+1)*AA46+(1-2/(p_AdxN+1))*AD45</f>
        <v>0.0622490757522905</v>
      </c>
      <c r="AE46" s="45" t="n">
        <f aca="false">100*AC46/AB46</f>
        <v>21.2569323998749</v>
      </c>
      <c r="AF46" s="45" t="n">
        <f aca="false">100*AD46/AB46</f>
        <v>12.3700089825028</v>
      </c>
      <c r="AG46" s="45" t="n">
        <f aca="false">IFERROR(100*ABS(AE46-AF46)/(AE46+AF46),0)</f>
        <v>26.4279861683446</v>
      </c>
      <c r="AH46" s="45" t="n">
        <f aca="false">2/(p_AdxN+1)*AG46+(1-2/(p_AdxN+1))*AH45</f>
        <v>48.3927200726591</v>
      </c>
      <c r="AI46" s="40" t="n">
        <f aca="false">I46*(1+p_ChPct)</f>
        <v>24.8763855038347</v>
      </c>
      <c r="AJ46" s="40" t="n">
        <f aca="false">I46*(1-p_ChPct)</f>
        <v>22.0601909184949</v>
      </c>
      <c r="AK46" s="40" t="n">
        <f aca="false">I46+1*Y46</f>
        <v>23.9913651342418</v>
      </c>
      <c r="AL46" s="40" t="n">
        <f aca="false">I46+2*Y46</f>
        <v>24.5144420573187</v>
      </c>
      <c r="AM46" s="40" t="n">
        <f aca="false">I46+3*Y46</f>
        <v>25.0375189803956</v>
      </c>
      <c r="AN46" s="40" t="n">
        <f aca="false">I46-1*Y46</f>
        <v>22.9452112880879</v>
      </c>
      <c r="AO46" s="40" t="n">
        <f aca="false">I46-2*Y46</f>
        <v>22.422134365011</v>
      </c>
      <c r="AP46" s="40" t="n">
        <f aca="false">I46-3*Y46</f>
        <v>21.8990574419341</v>
      </c>
      <c r="AQ46" s="40" t="n">
        <f aca="true">MAX(OFFSET(C46,1-MIN(p_StochN,ROW()-4),0,MIN(p_StochN,ROW()-4),1))</f>
        <v>25.04</v>
      </c>
      <c r="AR46" s="40" t="n">
        <f aca="true">MIN(OFFSET(D46,1-MIN(p_StochN,ROW()-4),0,MIN(p_StochN,ROW()-4),1))</f>
        <v>24.25</v>
      </c>
      <c r="AS46" s="45" t="n">
        <f aca="false">IF(AQ46=AR46,50,100*(E46-AR46)/(AQ46-AR46))</f>
        <v>49.3670886075951</v>
      </c>
      <c r="AT46" s="45" t="n">
        <f aca="true">AVERAGE(OFFSET(AS46,1-MIN(p_StochSm,ROW()-4),0,MIN(p_StochSm,ROW()-4),1))</f>
        <v>46.8354430379749</v>
      </c>
      <c r="AU46" s="45" t="n">
        <f aca="true">AVERAGE(OFFSET(AT46,1-MIN(p_StochSm,ROW()-4),0,MIN(p_StochSm,ROW()-4),1))</f>
        <v>47.0694397769564</v>
      </c>
      <c r="AV46" s="41" t="n">
        <f aca="false">MAX(0,H46-D46)</f>
        <v>0</v>
      </c>
      <c r="AW46" s="41" t="n">
        <f aca="true">IF(COUNTIF(OFFSET(AV46,1-MIN(p_PenLb,ROW()-4),0,MIN(p_PenLb,ROW()-4),1),"&gt;0")&gt;0,SUM(OFFSET(AV46,1-MIN(p_PenLb,ROW()-4),0,MIN(p_PenLb,ROW()-4),1))/COUNTIF(OFFSET(AV46,1-MIN(p_PenLb,ROW()-4),0,MIN(p_PenLb,ROW()-4),1),"&gt;0"),0.5*Y46)</f>
        <v>0.261538461538462</v>
      </c>
      <c r="AX46" s="41" t="n">
        <f aca="false">2*H46-H45</f>
        <v>24.3111275731442</v>
      </c>
      <c r="AY46" s="40" t="n">
        <f aca="false">ROUND(MAX(AX46-AW46,0.01),2)</f>
        <v>24.05</v>
      </c>
      <c r="AZ46" s="40" t="n">
        <f aca="true">IF(MIN(p_StopLb,ROW()-4)&lt;2,D46,SMALL(OFFSET(D46,1-MIN(p_StopLb,ROW()-4),0,MIN(p_StopLb,ROW()-4),1),2))</f>
        <v>24.02</v>
      </c>
      <c r="BA46" s="40" t="n">
        <f aca="false">IF(MOD(ROUND(ROUNDDOWN(MIN(AZ46-0.01,AY46-p_StopAtr*Y46),2)*100,0),50)=0,ROUNDDOWN(MIN(AZ46-0.01,AY46-p_StopAtr*Y46),2)-0.01,ROUNDDOWN(MIN(AZ46-0.01,AY46-p_StopAtr*Y46),2))</f>
        <v>23.52</v>
      </c>
      <c r="BB46" s="40" t="n">
        <f aca="false">ROUND(AI46,2)</f>
        <v>24.88</v>
      </c>
      <c r="BC46" s="40" t="n">
        <f aca="false">IF(AY46-BA46&gt;0,(BB46-AY46)/(AY46-BA46),0)</f>
        <v>1.56603773584905</v>
      </c>
      <c r="BD46" s="42" t="n">
        <f aca="false">IF(N46&lt;0,1,0)</f>
        <v>1</v>
      </c>
      <c r="BE46" s="41" t="n">
        <f aca="false">IF(AND(BD46=1,BD45=0),N46,IF(BD46=1,MIN(BE45,N46),BE45))</f>
        <v>-0.0759327431796782</v>
      </c>
      <c r="BF46" s="40" t="n">
        <f aca="false">IF(AND(BD46=1,BD45=0),D46,IF(BD46=1,MIN(BF45,D46),BF45))</f>
        <v>24.25</v>
      </c>
      <c r="BG46" s="42" t="n">
        <f aca="false">IF(AND(BD46=1,BD45=0),ROW(),IF(BD46=1,IF(N46&lt;BE45,ROW(),BG45),BG45))</f>
        <v>46</v>
      </c>
      <c r="BH46" s="41" t="n">
        <f aca="false">IF(AND(BD46=1,BD45=0),BE45,BH45)</f>
        <v>-0.0234128043712021</v>
      </c>
      <c r="BI46" s="40" t="n">
        <f aca="false">IF(AND(BD46=1,BD45=0),BF45,BI45)</f>
        <v>19.42</v>
      </c>
      <c r="BJ46" s="42" t="n">
        <f aca="false">IF(AND(BD46=1,BD45=0),BG45,BJ45)</f>
        <v>10</v>
      </c>
      <c r="BK46" s="42" t="n">
        <f aca="false">IF(AND(ISNUMBER(BG46),ISNUMBER(BJ46)),BG46-BJ46,"")</f>
        <v>36</v>
      </c>
      <c r="BL46" s="42" t="n">
        <f aca="false">IF(AND(BD46=1,N46&gt;N45,ISNUMBER(BH46),ISNUMBER(BK46)),IF(AND(BE46&gt;BH46,BF46&lt;BI46,BK46&gt;=p_GapMin,BK46&lt;=p_GapMax),1,0),0)</f>
        <v>0</v>
      </c>
      <c r="BM46" s="42" t="n">
        <f aca="false">IF(AND(BL46=1,E46&gt;BI46),1,0)</f>
        <v>0</v>
      </c>
      <c r="BN46" s="42" t="n">
        <f aca="false">IF(BL46=1,IF(BE46&gt;=BH46*0.5,1,0),0)</f>
        <v>0</v>
      </c>
      <c r="BO46" s="42" t="n">
        <f aca="true">IF(V46&gt;MIN(OFFSET(V46,-MIN(p_FiLb-1,ROW()-5),0,MIN(p_FiLb-1,ROW()-5),1)),1,0)</f>
        <v>1</v>
      </c>
      <c r="BP46" s="44" t="n">
        <f aca="true">IF(COUNTIF(OFFSET(V46,1-MIN(100,ROW()-4),0,MIN(100,ROW()-4),1),"&lt;0")&gt;=5,AVERAGEIF(OFFSET(V46,1-MIN(100,ROW()-4),0,MIN(100,ROW()-4),1),"&lt;0"),"")</f>
        <v>-457997.645647584</v>
      </c>
      <c r="BQ46" s="42" t="n">
        <f aca="false">IF(ISNUMBER(BP46),IF(AND(V46&lt;5*BP46,V46&gt;V45,E46&lt;AJ46),1,0),0)</f>
        <v>0</v>
      </c>
      <c r="BR46" s="44" t="n">
        <f aca="true">AVERAGE(OFFSET(F46,1-MIN(5,ROW()-4),0,MIN(5,ROW()-4),1))</f>
        <v>4011180</v>
      </c>
      <c r="BS46" s="42" t="n">
        <f aca="false">IFERROR(IF(MATCH(G46,周线!$A$5:$A$84,0)&lt;=1,"",INDEX(周线!$R$5:$R$84,MATCH(G46,周线!$A$5:$A$84,0)-1)),"")</f>
        <v>1</v>
      </c>
      <c r="BT46" s="42" t="n">
        <f aca="false">IFERROR(IF(MATCH(G46,周线!$A$5:$A$84,0)&lt;=1,"",INDEX(周线!$S$5:$S$84,MATCH(G46,周线!$A$5:$A$84,0)-1)),"")</f>
        <v>1</v>
      </c>
      <c r="BU46" s="42" t="n">
        <f aca="false">IFERROR(IF(MATCH(G46,周线!$A$5:$A$84,0)&lt;=1,"",INDEX(周线!$U$5:$U$84,MATCH(G46,周线!$A$5:$A$84,0)-1)),"")</f>
        <v>1</v>
      </c>
      <c r="BV46" s="42" t="n">
        <f aca="false">IF(AND(BS46=1,S46&lt;&gt;-1,V46&lt;0,BO46=1,E46&lt;=H46,E46&gt;=AJ46),1,0)</f>
        <v>0</v>
      </c>
      <c r="BW46" s="42" t="n">
        <f aca="false">BL46</f>
        <v>0</v>
      </c>
      <c r="BX46" s="42" t="n">
        <f aca="false">BQ46</f>
        <v>0</v>
      </c>
      <c r="BY46" s="42" t="n">
        <f aca="false">IF(BS46=1,10,0)+IF(BU46=1,5,IF(BU46=-1,0,3))+IF(BT46=1,5,0)+IF(AND(AE46&gt;AF46,AH46&gt;AH45),5,0)</f>
        <v>20</v>
      </c>
      <c r="BZ46" s="42" t="n">
        <f aca="false">IF(AND(E46&lt;=H46,E46&gt;=I46),10,IF(AND(E46&gt;=AJ46,E46&lt;I46),6,0))+IF(AND(V46&lt;0,BO46=1),8,0)+IF(AT46&lt;30,7,IF(AT46&lt;50,3,0))</f>
        <v>3</v>
      </c>
      <c r="CA46" s="42" t="n">
        <f aca="false">IF(AND(BV46=1,BW46=1),25,IF(BW46=1,22,IF(BV46=1,15,IF(BX46=1,12,0))))</f>
        <v>0</v>
      </c>
      <c r="CB46" s="42" t="n">
        <f aca="false">IF(W46&gt;0,6,0)+IF(F46&lt;BR46,4,0)</f>
        <v>10</v>
      </c>
      <c r="CC46" s="42" t="n">
        <f aca="false">IF(BC46&gt;=3,15,IF(BC46&gt;=p_RRmin,10,IF(BC46&gt;=1.5,4,0)))</f>
        <v>4</v>
      </c>
      <c r="CD46" s="42" t="n">
        <f aca="false">BY46+BZ46+CA46+CB46+CC46</f>
        <v>37</v>
      </c>
      <c r="CE46" s="42" t="n">
        <f aca="false">IF(AND(BS46&lt;&gt;1,BW46+BX46=0),1,0)</f>
        <v>0</v>
      </c>
      <c r="CF46" s="42" t="n">
        <f aca="false">IF(BU46=-1,1,0)</f>
        <v>0</v>
      </c>
      <c r="CG46" s="42" t="n">
        <f aca="false">IF(S46=-1,1,0)</f>
        <v>0</v>
      </c>
      <c r="CH46" s="42" t="n">
        <f aca="false">IF(BV46+BW46+BX46=0,1,0)</f>
        <v>1</v>
      </c>
      <c r="CI46" s="42" t="n">
        <f aca="false">IF(BC46&lt;p_RRmin,1,0)</f>
        <v>1</v>
      </c>
      <c r="CJ46" s="46" t="str">
        <f aca="false">IF(SUM(CE46:CI46)=0,IF(CD46&gt;=p_GradeA,"A",IF(CD46&gt;=p_GradeB,"B","C")),IF(AND(CI46=1,SUM(CE46:CH46)=0,CD46&gt;=p_GradeB),"B","C"))</f>
        <v>C</v>
      </c>
    </row>
    <row r="47" customFormat="false" ht="15" hidden="false" customHeight="false" outlineLevel="0" collapsed="false">
      <c r="A47" s="36" t="n">
        <v>45719</v>
      </c>
      <c r="B47" s="37" t="n">
        <v>24.79</v>
      </c>
      <c r="C47" s="37" t="n">
        <v>24.87</v>
      </c>
      <c r="D47" s="37" t="n">
        <v>24.58</v>
      </c>
      <c r="E47" s="37" t="n">
        <v>24.66</v>
      </c>
      <c r="F47" s="38" t="n">
        <v>3274600</v>
      </c>
      <c r="G47" s="39" t="n">
        <f aca="false">A47-WEEKDAY(A47,3)</f>
        <v>45719</v>
      </c>
      <c r="H47" s="40" t="n">
        <f aca="false">2/(p_EmaF+1)*E47+(1-2/(p_EmaF+1))*H46</f>
        <v>24.3045883609483</v>
      </c>
      <c r="I47" s="40" t="n">
        <f aca="false">2/(p_EmaS+1)*E47+(1-2/(p_EmaS+1))*I46</f>
        <v>23.556563158486</v>
      </c>
      <c r="J47" s="41" t="n">
        <f aca="false">2/(p_MacdF+1)*E47+(1-2/(p_MacdF+1))*J46</f>
        <v>24.3554618701876</v>
      </c>
      <c r="K47" s="41" t="n">
        <f aca="false">2/(p_MacdS+1)*E47+(1-2/(p_MacdS+1))*K46</f>
        <v>23.556563158486</v>
      </c>
      <c r="L47" s="41" t="n">
        <f aca="false">J47-K47</f>
        <v>0.798898711701618</v>
      </c>
      <c r="M47" s="41" t="n">
        <f aca="false">2/(p_MacdSig+1)*L47+(1-2/(p_MacdSig+1))*M46</f>
        <v>0.885968408856819</v>
      </c>
      <c r="N47" s="41" t="n">
        <f aca="false">L47-M47</f>
        <v>-0.0870696971552012</v>
      </c>
      <c r="O47" s="42" t="n">
        <f aca="false">IF(H47&gt;H46,1,0)</f>
        <v>1</v>
      </c>
      <c r="P47" s="42" t="n">
        <f aca="false">IF(H47&lt;H46,1,0)</f>
        <v>0</v>
      </c>
      <c r="Q47" s="42" t="n">
        <f aca="false">IF(N47&gt;N46,1,0)</f>
        <v>0</v>
      </c>
      <c r="R47" s="42" t="n">
        <f aca="false">IF(N47&lt;N46,1,0)</f>
        <v>1</v>
      </c>
      <c r="S47" s="42" t="n">
        <f aca="false">IF(AND(O47=1,Q47=1),1,IF(AND(P47=1,R47=1),-1,0))</f>
        <v>0</v>
      </c>
      <c r="T47" s="43" t="str">
        <f aca="false">IF(S47=1,"绿",IF(S47=-1,"红","蓝"))</f>
        <v>蓝</v>
      </c>
      <c r="U47" s="44" t="n">
        <f aca="false">F47*(E47-E46)</f>
        <v>65491.9999999986</v>
      </c>
      <c r="V47" s="44" t="n">
        <f aca="false">2/(p_FiS+1)*U47+(1-2/(p_FiS+1))*V46</f>
        <v>86771.1965050712</v>
      </c>
      <c r="W47" s="44" t="n">
        <f aca="false">2/(p_FiL+1)*U47+(1-2/(p_FiL+1))*W46</f>
        <v>270261.851848581</v>
      </c>
      <c r="X47" s="41" t="n">
        <f aca="false">MAX(C47-D47,ABS(C47-E46),ABS(D47-E46))</f>
        <v>0.290000000000003</v>
      </c>
      <c r="Y47" s="41" t="n">
        <f aca="true">AVERAGE(OFFSET(X47,1-MIN(p_AtrN,ROW()-4),0,MIN(p_AtrN,ROW()-4),1))</f>
        <v>0.523076923076923</v>
      </c>
      <c r="Z47" s="41" t="n">
        <f aca="false">IF(AND(C47-C46&gt;D46-D47,C47-C46&gt;0),C47-C46,0)</f>
        <v>0.120000000000001</v>
      </c>
      <c r="AA47" s="41" t="n">
        <f aca="false">IF(AND(D46-D47&gt;C47-C46,D46-D47&gt;0),D46-D47,0)</f>
        <v>0</v>
      </c>
      <c r="AB47" s="41" t="n">
        <f aca="false">2/(p_AdxN+1)*X47+(1-2/(p_AdxN+1))*AB46</f>
        <v>0.472764965123131</v>
      </c>
      <c r="AC47" s="41" t="n">
        <f aca="false">2/(p_AdxN+1)*Z47+(1-2/(p_AdxN+1))*AC46</f>
        <v>0.108831742766568</v>
      </c>
      <c r="AD47" s="41" t="n">
        <f aca="false">2/(p_AdxN+1)*AA47+(1-2/(p_AdxN+1))*AD46</f>
        <v>0.0533563506448204</v>
      </c>
      <c r="AE47" s="45" t="n">
        <f aca="false">100*AC47/AB47</f>
        <v>23.0202639356372</v>
      </c>
      <c r="AF47" s="45" t="n">
        <f aca="false">100*AD47/AB47</f>
        <v>11.2860204501245</v>
      </c>
      <c r="AG47" s="45" t="n">
        <f aca="false">IFERROR(100*ABS(AE47-AF47)/(AE47+AF47),0)</f>
        <v>34.2043555447901</v>
      </c>
      <c r="AH47" s="45" t="n">
        <f aca="false">2/(p_AdxN+1)*AG47+(1-2/(p_AdxN+1))*AH46</f>
        <v>46.3658108543921</v>
      </c>
      <c r="AI47" s="40" t="n">
        <f aca="false">I47*(1+p_ChPct)</f>
        <v>24.9699569479951</v>
      </c>
      <c r="AJ47" s="40" t="n">
        <f aca="false">I47*(1-p_ChPct)</f>
        <v>22.1431693689768</v>
      </c>
      <c r="AK47" s="40" t="n">
        <f aca="false">I47+1*Y47</f>
        <v>24.0796400815629</v>
      </c>
      <c r="AL47" s="40" t="n">
        <f aca="false">I47+2*Y47</f>
        <v>24.6027170046398</v>
      </c>
      <c r="AM47" s="40" t="n">
        <f aca="false">I47+3*Y47</f>
        <v>25.1257939277167</v>
      </c>
      <c r="AN47" s="40" t="n">
        <f aca="false">I47-1*Y47</f>
        <v>23.033486235409</v>
      </c>
      <c r="AO47" s="40" t="n">
        <f aca="false">I47-2*Y47</f>
        <v>22.5104093123321</v>
      </c>
      <c r="AP47" s="40" t="n">
        <f aca="false">I47-3*Y47</f>
        <v>21.9873323892552</v>
      </c>
      <c r="AQ47" s="40" t="n">
        <f aca="true">MAX(OFFSET(C47,1-MIN(p_StochN,ROW()-4),0,MIN(p_StochN,ROW()-4),1))</f>
        <v>24.87</v>
      </c>
      <c r="AR47" s="40" t="n">
        <f aca="true">MIN(OFFSET(D47,1-MIN(p_StochN,ROW()-4),0,MIN(p_StochN,ROW()-4),1))</f>
        <v>24.25</v>
      </c>
      <c r="AS47" s="45" t="n">
        <f aca="false">IF(AQ47=AR47,50,100*(E47-AR47)/(AQ47-AR47))</f>
        <v>66.1290322580644</v>
      </c>
      <c r="AT47" s="45" t="n">
        <f aca="true">AVERAGE(OFFSET(AS47,1-MIN(p_StochSm,ROW()-4),0,MIN(p_StochSm,ROW()-4),1))</f>
        <v>50.3130529467811</v>
      </c>
      <c r="AU47" s="45" t="n">
        <f aca="true">AVERAGE(OFFSET(AT47,1-MIN(p_StochSm,ROW()-4),0,MIN(p_StochSm,ROW()-4),1))</f>
        <v>47.4258351190241</v>
      </c>
      <c r="AV47" s="41" t="n">
        <f aca="false">MAX(0,H47-D47)</f>
        <v>0</v>
      </c>
      <c r="AW47" s="41" t="n">
        <f aca="true">IF(COUNTIF(OFFSET(AV47,1-MIN(p_PenLb,ROW()-4),0,MIN(p_PenLb,ROW()-4),1),"&gt;0")&gt;0,SUM(OFFSET(AV47,1-MIN(p_PenLb,ROW()-4),0,MIN(p_PenLb,ROW()-4),1))/COUNTIF(OFFSET(AV47,1-MIN(p_PenLb,ROW()-4),0,MIN(p_PenLb,ROW()-4),1),"&gt;0"),0.5*Y47)</f>
        <v>0.261538461538462</v>
      </c>
      <c r="AX47" s="41" t="n">
        <f aca="false">2*H47-H46</f>
        <v>24.3638236341236</v>
      </c>
      <c r="AY47" s="40" t="n">
        <f aca="false">ROUND(MAX(AX47-AW47,0.01),2)</f>
        <v>24.1</v>
      </c>
      <c r="AZ47" s="40" t="n">
        <f aca="true">IF(MIN(p_StopLb,ROW()-4)&lt;2,D47,SMALL(OFFSET(D47,1-MIN(p_StopLb,ROW()-4),0,MIN(p_StopLb,ROW()-4),1),2))</f>
        <v>24.02</v>
      </c>
      <c r="BA47" s="40" t="n">
        <f aca="false">IF(MOD(ROUND(ROUNDDOWN(MIN(AZ47-0.01,AY47-p_StopAtr*Y47),2)*100,0),50)=0,ROUNDDOWN(MIN(AZ47-0.01,AY47-p_StopAtr*Y47),2)-0.01,ROUNDDOWN(MIN(AZ47-0.01,AY47-p_StopAtr*Y47),2))</f>
        <v>23.57</v>
      </c>
      <c r="BB47" s="40" t="n">
        <f aca="false">ROUND(AI47,2)</f>
        <v>24.97</v>
      </c>
      <c r="BC47" s="40" t="n">
        <f aca="false">IF(AY47-BA47&gt;0,(BB47-AY47)/(AY47-BA47),0)</f>
        <v>1.64150943396226</v>
      </c>
      <c r="BD47" s="42" t="n">
        <f aca="false">IF(N47&lt;0,1,0)</f>
        <v>1</v>
      </c>
      <c r="BE47" s="41" t="n">
        <f aca="false">IF(AND(BD47=1,BD46=0),N47,IF(BD47=1,MIN(BE46,N47),BE46))</f>
        <v>-0.0870696971552012</v>
      </c>
      <c r="BF47" s="40" t="n">
        <f aca="false">IF(AND(BD47=1,BD46=0),D47,IF(BD47=1,MIN(BF46,D47),BF46))</f>
        <v>24.25</v>
      </c>
      <c r="BG47" s="42" t="n">
        <f aca="false">IF(AND(BD47=1,BD46=0),ROW(),IF(BD47=1,IF(N47&lt;BE46,ROW(),BG46),BG46))</f>
        <v>47</v>
      </c>
      <c r="BH47" s="41" t="n">
        <f aca="false">IF(AND(BD47=1,BD46=0),BE46,BH46)</f>
        <v>-0.0234128043712021</v>
      </c>
      <c r="BI47" s="40" t="n">
        <f aca="false">IF(AND(BD47=1,BD46=0),BF46,BI46)</f>
        <v>19.42</v>
      </c>
      <c r="BJ47" s="42" t="n">
        <f aca="false">IF(AND(BD47=1,BD46=0),BG46,BJ46)</f>
        <v>10</v>
      </c>
      <c r="BK47" s="42" t="n">
        <f aca="false">IF(AND(ISNUMBER(BG47),ISNUMBER(BJ47)),BG47-BJ47,"")</f>
        <v>37</v>
      </c>
      <c r="BL47" s="42" t="n">
        <f aca="false">IF(AND(BD47=1,N47&gt;N46,ISNUMBER(BH47),ISNUMBER(BK47)),IF(AND(BE47&gt;BH47,BF47&lt;BI47,BK47&gt;=p_GapMin,BK47&lt;=p_GapMax),1,0),0)</f>
        <v>0</v>
      </c>
      <c r="BM47" s="42" t="n">
        <f aca="false">IF(AND(BL47=1,E47&gt;BI47),1,0)</f>
        <v>0</v>
      </c>
      <c r="BN47" s="42" t="n">
        <f aca="false">IF(BL47=1,IF(BE47&gt;=BH47*0.5,1,0),0)</f>
        <v>0</v>
      </c>
      <c r="BO47" s="42" t="n">
        <f aca="true">IF(V47&gt;MIN(OFFSET(V47,-MIN(p_FiLb-1,ROW()-5),0,MIN(p_FiLb-1,ROW()-5),1)),1,0)</f>
        <v>1</v>
      </c>
      <c r="BP47" s="44" t="n">
        <f aca="true">IF(COUNTIF(OFFSET(V47,1-MIN(100,ROW()-4),0,MIN(100,ROW()-4),1),"&lt;0")&gt;=5,AVERAGEIF(OFFSET(V47,1-MIN(100,ROW()-4),0,MIN(100,ROW()-4),1),"&lt;0"),"")</f>
        <v>-457997.645647584</v>
      </c>
      <c r="BQ47" s="42" t="n">
        <f aca="false">IF(ISNUMBER(BP47),IF(AND(V47&lt;5*BP47,V47&gt;V46,E47&lt;AJ47),1,0),0)</f>
        <v>0</v>
      </c>
      <c r="BR47" s="44" t="n">
        <f aca="true">AVERAGE(OFFSET(F47,1-MIN(5,ROW()-4),0,MIN(5,ROW()-4),1))</f>
        <v>3684860</v>
      </c>
      <c r="BS47" s="42" t="n">
        <f aca="false">IFERROR(IF(MATCH(G47,周线!$A$5:$A$84,0)&lt;=1,"",INDEX(周线!$R$5:$R$84,MATCH(G47,周线!$A$5:$A$84,0)-1)),"")</f>
        <v>1</v>
      </c>
      <c r="BT47" s="42" t="n">
        <f aca="false">IFERROR(IF(MATCH(G47,周线!$A$5:$A$84,0)&lt;=1,"",INDEX(周线!$S$5:$S$84,MATCH(G47,周线!$A$5:$A$84,0)-1)),"")</f>
        <v>1</v>
      </c>
      <c r="BU47" s="42" t="n">
        <f aca="false">IFERROR(IF(MATCH(G47,周线!$A$5:$A$84,0)&lt;=1,"",INDEX(周线!$U$5:$U$84,MATCH(G47,周线!$A$5:$A$84,0)-1)),"")</f>
        <v>1</v>
      </c>
      <c r="BV47" s="42" t="n">
        <f aca="false">IF(AND(BS47=1,S47&lt;&gt;-1,V47&lt;0,BO47=1,E47&lt;=H47,E47&gt;=AJ47),1,0)</f>
        <v>0</v>
      </c>
      <c r="BW47" s="42" t="n">
        <f aca="false">BL47</f>
        <v>0</v>
      </c>
      <c r="BX47" s="42" t="n">
        <f aca="false">BQ47</f>
        <v>0</v>
      </c>
      <c r="BY47" s="42" t="n">
        <f aca="false">IF(BS47=1,10,0)+IF(BU47=1,5,IF(BU47=-1,0,3))+IF(BT47=1,5,0)+IF(AND(AE47&gt;AF47,AH47&gt;AH46),5,0)</f>
        <v>20</v>
      </c>
      <c r="BZ47" s="42" t="n">
        <f aca="false">IF(AND(E47&lt;=H47,E47&gt;=I47),10,IF(AND(E47&gt;=AJ47,E47&lt;I47),6,0))+IF(AND(V47&lt;0,BO47=1),8,0)+IF(AT47&lt;30,7,IF(AT47&lt;50,3,0))</f>
        <v>0</v>
      </c>
      <c r="CA47" s="42" t="n">
        <f aca="false">IF(AND(BV47=1,BW47=1),25,IF(BW47=1,22,IF(BV47=1,15,IF(BX47=1,12,0))))</f>
        <v>0</v>
      </c>
      <c r="CB47" s="42" t="n">
        <f aca="false">IF(W47&gt;0,6,0)+IF(F47&lt;BR47,4,0)</f>
        <v>10</v>
      </c>
      <c r="CC47" s="42" t="n">
        <f aca="false">IF(BC47&gt;=3,15,IF(BC47&gt;=p_RRmin,10,IF(BC47&gt;=1.5,4,0)))</f>
        <v>4</v>
      </c>
      <c r="CD47" s="42" t="n">
        <f aca="false">BY47+BZ47+CA47+CB47+CC47</f>
        <v>34</v>
      </c>
      <c r="CE47" s="42" t="n">
        <f aca="false">IF(AND(BS47&lt;&gt;1,BW47+BX47=0),1,0)</f>
        <v>0</v>
      </c>
      <c r="CF47" s="42" t="n">
        <f aca="false">IF(BU47=-1,1,0)</f>
        <v>0</v>
      </c>
      <c r="CG47" s="42" t="n">
        <f aca="false">IF(S47=-1,1,0)</f>
        <v>0</v>
      </c>
      <c r="CH47" s="42" t="n">
        <f aca="false">IF(BV47+BW47+BX47=0,1,0)</f>
        <v>1</v>
      </c>
      <c r="CI47" s="42" t="n">
        <f aca="false">IF(BC47&lt;p_RRmin,1,0)</f>
        <v>1</v>
      </c>
      <c r="CJ47" s="46" t="str">
        <f aca="false">IF(SUM(CE47:CI47)=0,IF(CD47&gt;=p_GradeA,"A",IF(CD47&gt;=p_GradeB,"B","C")),IF(AND(CI47=1,SUM(CE47:CH47)=0,CD47&gt;=p_GradeB),"B","C"))</f>
        <v>C</v>
      </c>
    </row>
    <row r="48" customFormat="false" ht="15" hidden="false" customHeight="false" outlineLevel="0" collapsed="false">
      <c r="A48" s="36" t="n">
        <v>45720</v>
      </c>
      <c r="B48" s="37" t="n">
        <v>24.75</v>
      </c>
      <c r="C48" s="37" t="n">
        <v>24.82</v>
      </c>
      <c r="D48" s="37" t="n">
        <v>24.39</v>
      </c>
      <c r="E48" s="37" t="n">
        <v>24.48</v>
      </c>
      <c r="F48" s="38" t="n">
        <v>4109200</v>
      </c>
      <c r="G48" s="39" t="n">
        <f aca="false">A48-WEEKDAY(A48,3)</f>
        <v>45719</v>
      </c>
      <c r="H48" s="40" t="n">
        <f aca="false">2/(p_EmaF+1)*E48+(1-2/(p_EmaF+1))*H47</f>
        <v>24.3296471665271</v>
      </c>
      <c r="I48" s="40" t="n">
        <f aca="false">2/(p_EmaS+1)*E48+(1-2/(p_EmaS+1))*I47</f>
        <v>23.624965887487</v>
      </c>
      <c r="J48" s="41" t="n">
        <f aca="false">2/(p_MacdF+1)*E48+(1-2/(p_MacdF+1))*J47</f>
        <v>24.3746215824664</v>
      </c>
      <c r="K48" s="41" t="n">
        <f aca="false">2/(p_MacdS+1)*E48+(1-2/(p_MacdS+1))*K47</f>
        <v>23.624965887487</v>
      </c>
      <c r="L48" s="41" t="n">
        <f aca="false">J48-K48</f>
        <v>0.749655694979413</v>
      </c>
      <c r="M48" s="41" t="n">
        <f aca="false">2/(p_MacdSig+1)*L48+(1-2/(p_MacdSig+1))*M47</f>
        <v>0.858705866081338</v>
      </c>
      <c r="N48" s="41" t="n">
        <f aca="false">L48-M48</f>
        <v>-0.109050171101925</v>
      </c>
      <c r="O48" s="42" t="n">
        <f aca="false">IF(H48&gt;H47,1,0)</f>
        <v>1</v>
      </c>
      <c r="P48" s="42" t="n">
        <f aca="false">IF(H48&lt;H47,1,0)</f>
        <v>0</v>
      </c>
      <c r="Q48" s="42" t="n">
        <f aca="false">IF(N48&gt;N47,1,0)</f>
        <v>0</v>
      </c>
      <c r="R48" s="42" t="n">
        <f aca="false">IF(N48&lt;N47,1,0)</f>
        <v>1</v>
      </c>
      <c r="S48" s="42" t="n">
        <f aca="false">IF(AND(O48=1,Q48=1),1,IF(AND(P48=1,R48=1),-1,0))</f>
        <v>0</v>
      </c>
      <c r="T48" s="43" t="str">
        <f aca="false">IF(S48=1,"绿",IF(S48=-1,"红","蓝"))</f>
        <v>蓝</v>
      </c>
      <c r="U48" s="44" t="n">
        <f aca="false">F48*(E48-E47)</f>
        <v>-739655.999999999</v>
      </c>
      <c r="V48" s="44" t="n">
        <f aca="false">2/(p_FiS+1)*U48+(1-2/(p_FiS+1))*V47</f>
        <v>-464180.267831642</v>
      </c>
      <c r="W48" s="44" t="n">
        <f aca="false">2/(p_FiL+1)*U48+(1-2/(p_FiL+1))*W47</f>
        <v>125987.87301307</v>
      </c>
      <c r="X48" s="41" t="n">
        <f aca="false">MAX(C48-D48,ABS(C48-E47),ABS(D48-E47))</f>
        <v>0.43</v>
      </c>
      <c r="Y48" s="41" t="n">
        <f aca="true">AVERAGE(OFFSET(X48,1-MIN(p_AtrN,ROW()-4),0,MIN(p_AtrN,ROW()-4),1))</f>
        <v>0.468461538461538</v>
      </c>
      <c r="Z48" s="41" t="n">
        <f aca="false">IF(AND(C48-C47&gt;D47-D48,C48-C47&gt;0),C48-C47,0)</f>
        <v>0</v>
      </c>
      <c r="AA48" s="41" t="n">
        <f aca="false">IF(AND(D47-D48&gt;C48-C47,D47-D48&gt;0),D47-D48,0)</f>
        <v>0.189999999999998</v>
      </c>
      <c r="AB48" s="41" t="n">
        <f aca="false">2/(p_AdxN+1)*X48+(1-2/(p_AdxN+1))*AB47</f>
        <v>0.466655684391255</v>
      </c>
      <c r="AC48" s="41" t="n">
        <f aca="false">2/(p_AdxN+1)*Z48+(1-2/(p_AdxN+1))*AC47</f>
        <v>0.0932843509427725</v>
      </c>
      <c r="AD48" s="41" t="n">
        <f aca="false">2/(p_AdxN+1)*AA48+(1-2/(p_AdxN+1))*AD47</f>
        <v>0.0728768719812743</v>
      </c>
      <c r="AE48" s="45" t="n">
        <f aca="false">100*AC48/AB48</f>
        <v>19.989974206456</v>
      </c>
      <c r="AF48" s="45" t="n">
        <f aca="false">100*AD48/AB48</f>
        <v>15.6168400854992</v>
      </c>
      <c r="AG48" s="45" t="n">
        <f aca="false">IFERROR(100*ABS(AE48-AF48)/(AE48+AF48),0)</f>
        <v>12.281733729672</v>
      </c>
      <c r="AH48" s="45" t="n">
        <f aca="false">2/(p_AdxN+1)*AG48+(1-2/(p_AdxN+1))*AH47</f>
        <v>41.4966569794321</v>
      </c>
      <c r="AI48" s="40" t="n">
        <f aca="false">I48*(1+p_ChPct)</f>
        <v>25.0424638407362</v>
      </c>
      <c r="AJ48" s="40" t="n">
        <f aca="false">I48*(1-p_ChPct)</f>
        <v>22.2074679342378</v>
      </c>
      <c r="AK48" s="40" t="n">
        <f aca="false">I48+1*Y48</f>
        <v>24.0934274259485</v>
      </c>
      <c r="AL48" s="40" t="n">
        <f aca="false">I48+2*Y48</f>
        <v>24.5618889644101</v>
      </c>
      <c r="AM48" s="40" t="n">
        <f aca="false">I48+3*Y48</f>
        <v>25.0303505028716</v>
      </c>
      <c r="AN48" s="40" t="n">
        <f aca="false">I48-1*Y48</f>
        <v>23.1565043490255</v>
      </c>
      <c r="AO48" s="40" t="n">
        <f aca="false">I48-2*Y48</f>
        <v>22.6880428105639</v>
      </c>
      <c r="AP48" s="40" t="n">
        <f aca="false">I48-3*Y48</f>
        <v>22.2195812721024</v>
      </c>
      <c r="AQ48" s="40" t="n">
        <f aca="true">MAX(OFFSET(C48,1-MIN(p_StochN,ROW()-4),0,MIN(p_StochN,ROW()-4),1))</f>
        <v>24.87</v>
      </c>
      <c r="AR48" s="40" t="n">
        <f aca="true">MIN(OFFSET(D48,1-MIN(p_StochN,ROW()-4),0,MIN(p_StochN,ROW()-4),1))</f>
        <v>24.29</v>
      </c>
      <c r="AS48" s="45" t="n">
        <f aca="false">IF(AQ48=AR48,50,100*(E48-AR48)/(AQ48-AR48))</f>
        <v>32.7586206896553</v>
      </c>
      <c r="AT48" s="45" t="n">
        <f aca="true">AVERAGE(OFFSET(AS48,1-MIN(p_StochSm,ROW()-4),0,MIN(p_StochSm,ROW()-4),1))</f>
        <v>49.4182471851049</v>
      </c>
      <c r="AU48" s="45" t="n">
        <f aca="true">AVERAGE(OFFSET(AT48,1-MIN(p_StochSm,ROW()-4),0,MIN(p_StochSm,ROW()-4),1))</f>
        <v>48.8555810566203</v>
      </c>
      <c r="AV48" s="41" t="n">
        <f aca="false">MAX(0,H48-D48)</f>
        <v>0</v>
      </c>
      <c r="AW48" s="41" t="n">
        <f aca="true">IF(COUNTIF(OFFSET(AV48,1-MIN(p_PenLb,ROW()-4),0,MIN(p_PenLb,ROW()-4),1),"&gt;0")&gt;0,SUM(OFFSET(AV48,1-MIN(p_PenLb,ROW()-4),0,MIN(p_PenLb,ROW()-4),1))/COUNTIF(OFFSET(AV48,1-MIN(p_PenLb,ROW()-4),0,MIN(p_PenLb,ROW()-4),1),"&gt;0"),0.5*Y48)</f>
        <v>0.234230769230769</v>
      </c>
      <c r="AX48" s="41" t="n">
        <f aca="false">2*H48-H47</f>
        <v>24.3547059721059</v>
      </c>
      <c r="AY48" s="40" t="n">
        <f aca="false">ROUND(MAX(AX48-AW48,0.01),2)</f>
        <v>24.12</v>
      </c>
      <c r="AZ48" s="40" t="n">
        <f aca="true">IF(MIN(p_StopLb,ROW()-4)&lt;2,D48,SMALL(OFFSET(D48,1-MIN(p_StopLb,ROW()-4),0,MIN(p_StopLb,ROW()-4),1),2))</f>
        <v>24.25</v>
      </c>
      <c r="BA48" s="40" t="n">
        <f aca="false">IF(MOD(ROUND(ROUNDDOWN(MIN(AZ48-0.01,AY48-p_StopAtr*Y48),2)*100,0),50)=0,ROUNDDOWN(MIN(AZ48-0.01,AY48-p_StopAtr*Y48),2)-0.01,ROUNDDOWN(MIN(AZ48-0.01,AY48-p_StopAtr*Y48),2))</f>
        <v>23.65</v>
      </c>
      <c r="BB48" s="40" t="n">
        <f aca="false">ROUND(AI48,2)</f>
        <v>25.04</v>
      </c>
      <c r="BC48" s="40" t="n">
        <f aca="false">IF(AY48-BA48&gt;0,(BB48-AY48)/(AY48-BA48),0)</f>
        <v>1.95744680851062</v>
      </c>
      <c r="BD48" s="42" t="n">
        <f aca="false">IF(N48&lt;0,1,0)</f>
        <v>1</v>
      </c>
      <c r="BE48" s="41" t="n">
        <f aca="false">IF(AND(BD48=1,BD47=0),N48,IF(BD48=1,MIN(BE47,N48),BE47))</f>
        <v>-0.109050171101925</v>
      </c>
      <c r="BF48" s="40" t="n">
        <f aca="false">IF(AND(BD48=1,BD47=0),D48,IF(BD48=1,MIN(BF47,D48),BF47))</f>
        <v>24.25</v>
      </c>
      <c r="BG48" s="42" t="n">
        <f aca="false">IF(AND(BD48=1,BD47=0),ROW(),IF(BD48=1,IF(N48&lt;BE47,ROW(),BG47),BG47))</f>
        <v>48</v>
      </c>
      <c r="BH48" s="41" t="n">
        <f aca="false">IF(AND(BD48=1,BD47=0),BE47,BH47)</f>
        <v>-0.0234128043712021</v>
      </c>
      <c r="BI48" s="40" t="n">
        <f aca="false">IF(AND(BD48=1,BD47=0),BF47,BI47)</f>
        <v>19.42</v>
      </c>
      <c r="BJ48" s="42" t="n">
        <f aca="false">IF(AND(BD48=1,BD47=0),BG47,BJ47)</f>
        <v>10</v>
      </c>
      <c r="BK48" s="42" t="n">
        <f aca="false">IF(AND(ISNUMBER(BG48),ISNUMBER(BJ48)),BG48-BJ48,"")</f>
        <v>38</v>
      </c>
      <c r="BL48" s="42" t="n">
        <f aca="false">IF(AND(BD48=1,N48&gt;N47,ISNUMBER(BH48),ISNUMBER(BK48)),IF(AND(BE48&gt;BH48,BF48&lt;BI48,BK48&gt;=p_GapMin,BK48&lt;=p_GapMax),1,0),0)</f>
        <v>0</v>
      </c>
      <c r="BM48" s="42" t="n">
        <f aca="false">IF(AND(BL48=1,E48&gt;BI48),1,0)</f>
        <v>0</v>
      </c>
      <c r="BN48" s="42" t="n">
        <f aca="false">IF(BL48=1,IF(BE48&gt;=BH48*0.5,1,0),0)</f>
        <v>0</v>
      </c>
      <c r="BO48" s="42" t="n">
        <f aca="true">IF(V48&gt;MIN(OFFSET(V48,-MIN(p_FiLb-1,ROW()-5),0,MIN(p_FiLb-1,ROW()-5),1)),1,0)</f>
        <v>1</v>
      </c>
      <c r="BP48" s="44" t="n">
        <f aca="true">IF(COUNTIF(OFFSET(V48,1-MIN(100,ROW()-4),0,MIN(100,ROW()-4),1),"&lt;0")&gt;=5,AVERAGEIF(OFFSET(V48,1-MIN(100,ROW()-4),0,MIN(100,ROW()-4),1),"&lt;0"),"")</f>
        <v>-458409.820459855</v>
      </c>
      <c r="BQ48" s="42" t="n">
        <f aca="false">IF(ISNUMBER(BP48),IF(AND(V48&lt;5*BP48,V48&gt;V47,E48&lt;AJ48),1,0),0)</f>
        <v>0</v>
      </c>
      <c r="BR48" s="44" t="n">
        <f aca="true">AVERAGE(OFFSET(F48,1-MIN(5,ROW()-4),0,MIN(5,ROW()-4),1))</f>
        <v>3787640</v>
      </c>
      <c r="BS48" s="42" t="n">
        <f aca="false">IFERROR(IF(MATCH(G48,周线!$A$5:$A$84,0)&lt;=1,"",INDEX(周线!$R$5:$R$84,MATCH(G48,周线!$A$5:$A$84,0)-1)),"")</f>
        <v>1</v>
      </c>
      <c r="BT48" s="42" t="n">
        <f aca="false">IFERROR(IF(MATCH(G48,周线!$A$5:$A$84,0)&lt;=1,"",INDEX(周线!$S$5:$S$84,MATCH(G48,周线!$A$5:$A$84,0)-1)),"")</f>
        <v>1</v>
      </c>
      <c r="BU48" s="42" t="n">
        <f aca="false">IFERROR(IF(MATCH(G48,周线!$A$5:$A$84,0)&lt;=1,"",INDEX(周线!$U$5:$U$84,MATCH(G48,周线!$A$5:$A$84,0)-1)),"")</f>
        <v>1</v>
      </c>
      <c r="BV48" s="42" t="n">
        <f aca="false">IF(AND(BS48=1,S48&lt;&gt;-1,V48&lt;0,BO48=1,E48&lt;=H48,E48&gt;=AJ48),1,0)</f>
        <v>0</v>
      </c>
      <c r="BW48" s="42" t="n">
        <f aca="false">BL48</f>
        <v>0</v>
      </c>
      <c r="BX48" s="42" t="n">
        <f aca="false">BQ48</f>
        <v>0</v>
      </c>
      <c r="BY48" s="42" t="n">
        <f aca="false">IF(BS48=1,10,0)+IF(BU48=1,5,IF(BU48=-1,0,3))+IF(BT48=1,5,0)+IF(AND(AE48&gt;AF48,AH48&gt;AH47),5,0)</f>
        <v>20</v>
      </c>
      <c r="BZ48" s="42" t="n">
        <f aca="false">IF(AND(E48&lt;=H48,E48&gt;=I48),10,IF(AND(E48&gt;=AJ48,E48&lt;I48),6,0))+IF(AND(V48&lt;0,BO48=1),8,0)+IF(AT48&lt;30,7,IF(AT48&lt;50,3,0))</f>
        <v>11</v>
      </c>
      <c r="CA48" s="42" t="n">
        <f aca="false">IF(AND(BV48=1,BW48=1),25,IF(BW48=1,22,IF(BV48=1,15,IF(BX48=1,12,0))))</f>
        <v>0</v>
      </c>
      <c r="CB48" s="42" t="n">
        <f aca="false">IF(W48&gt;0,6,0)+IF(F48&lt;BR48,4,0)</f>
        <v>6</v>
      </c>
      <c r="CC48" s="42" t="n">
        <f aca="false">IF(BC48&gt;=3,15,IF(BC48&gt;=p_RRmin,10,IF(BC48&gt;=1.5,4,0)))</f>
        <v>4</v>
      </c>
      <c r="CD48" s="42" t="n">
        <f aca="false">BY48+BZ48+CA48+CB48+CC48</f>
        <v>41</v>
      </c>
      <c r="CE48" s="42" t="n">
        <f aca="false">IF(AND(BS48&lt;&gt;1,BW48+BX48=0),1,0)</f>
        <v>0</v>
      </c>
      <c r="CF48" s="42" t="n">
        <f aca="false">IF(BU48=-1,1,0)</f>
        <v>0</v>
      </c>
      <c r="CG48" s="42" t="n">
        <f aca="false">IF(S48=-1,1,0)</f>
        <v>0</v>
      </c>
      <c r="CH48" s="42" t="n">
        <f aca="false">IF(BV48+BW48+BX48=0,1,0)</f>
        <v>1</v>
      </c>
      <c r="CI48" s="42" t="n">
        <f aca="false">IF(BC48&lt;p_RRmin,1,0)</f>
        <v>1</v>
      </c>
      <c r="CJ48" s="46" t="str">
        <f aca="false">IF(SUM(CE48:CI48)=0,IF(CD48&gt;=p_GradeA,"A",IF(CD48&gt;=p_GradeB,"B","C")),IF(AND(CI48=1,SUM(CE48:CH48)=0,CD48&gt;=p_GradeB),"B","C"))</f>
        <v>C</v>
      </c>
    </row>
    <row r="49" customFormat="false" ht="15" hidden="false" customHeight="false" outlineLevel="0" collapsed="false">
      <c r="A49" s="36" t="n">
        <v>45721</v>
      </c>
      <c r="B49" s="37" t="n">
        <v>24.44</v>
      </c>
      <c r="C49" s="37" t="n">
        <v>24.62</v>
      </c>
      <c r="D49" s="37" t="n">
        <v>23.86</v>
      </c>
      <c r="E49" s="37" t="n">
        <v>24.01</v>
      </c>
      <c r="F49" s="38" t="n">
        <v>3297200</v>
      </c>
      <c r="G49" s="39" t="n">
        <f aca="false">A49-WEEKDAY(A49,3)</f>
        <v>45719</v>
      </c>
      <c r="H49" s="40" t="n">
        <f aca="false">2/(p_EmaF+1)*E49+(1-2/(p_EmaF+1))*H48</f>
        <v>24.2839832855947</v>
      </c>
      <c r="I49" s="40" t="n">
        <f aca="false">2/(p_EmaS+1)*E49+(1-2/(p_EmaS+1))*I48</f>
        <v>23.6534869328583</v>
      </c>
      <c r="J49" s="41" t="n">
        <f aca="false">2/(p_MacdF+1)*E49+(1-2/(p_MacdF+1))*J48</f>
        <v>24.3185259543947</v>
      </c>
      <c r="K49" s="41" t="n">
        <f aca="false">2/(p_MacdS+1)*E49+(1-2/(p_MacdS+1))*K48</f>
        <v>23.6534869328583</v>
      </c>
      <c r="L49" s="41" t="n">
        <f aca="false">J49-K49</f>
        <v>0.665039021536323</v>
      </c>
      <c r="M49" s="41" t="n">
        <f aca="false">2/(p_MacdSig+1)*L49+(1-2/(p_MacdSig+1))*M48</f>
        <v>0.819972497172335</v>
      </c>
      <c r="N49" s="41" t="n">
        <f aca="false">L49-M49</f>
        <v>-0.154933475636012</v>
      </c>
      <c r="O49" s="42" t="n">
        <f aca="false">IF(H49&gt;H48,1,0)</f>
        <v>0</v>
      </c>
      <c r="P49" s="42" t="n">
        <f aca="false">IF(H49&lt;H48,1,0)</f>
        <v>1</v>
      </c>
      <c r="Q49" s="42" t="n">
        <f aca="false">IF(N49&gt;N48,1,0)</f>
        <v>0</v>
      </c>
      <c r="R49" s="42" t="n">
        <f aca="false">IF(N49&lt;N48,1,0)</f>
        <v>1</v>
      </c>
      <c r="S49" s="42" t="n">
        <f aca="false">IF(AND(O49=1,Q49=1),1,IF(AND(P49=1,R49=1),-1,0))</f>
        <v>-1</v>
      </c>
      <c r="T49" s="43" t="str">
        <f aca="false">IF(S49=1,"绿",IF(S49=-1,"红","蓝"))</f>
        <v>红</v>
      </c>
      <c r="U49" s="44" t="n">
        <f aca="false">F49*(E49-E48)</f>
        <v>-1549684</v>
      </c>
      <c r="V49" s="44" t="n">
        <f aca="false">2/(p_FiS+1)*U49+(1-2/(p_FiS+1))*V48</f>
        <v>-1187849.42261054</v>
      </c>
      <c r="W49" s="44" t="n">
        <f aca="false">2/(p_FiL+1)*U49+(1-2/(p_FiL+1))*W48</f>
        <v>-113393.823131654</v>
      </c>
      <c r="X49" s="41" t="n">
        <f aca="false">MAX(C49-D49,ABS(C49-E48),ABS(D49-E48))</f>
        <v>0.760000000000002</v>
      </c>
      <c r="Y49" s="41" t="n">
        <f aca="true">AVERAGE(OFFSET(X49,1-MIN(p_AtrN,ROW()-4),0,MIN(p_AtrN,ROW()-4),1))</f>
        <v>0.502307692307692</v>
      </c>
      <c r="Z49" s="41" t="n">
        <f aca="false">IF(AND(C49-C48&gt;D48-D49,C49-C48&gt;0),C49-C48,0)</f>
        <v>0</v>
      </c>
      <c r="AA49" s="41" t="n">
        <f aca="false">IF(AND(D48-D49&gt;C49-C48,D48-D49&gt;0),D48-D49,0)</f>
        <v>0.530000000000001</v>
      </c>
      <c r="AB49" s="41" t="n">
        <f aca="false">2/(p_AdxN+1)*X49+(1-2/(p_AdxN+1))*AB48</f>
        <v>0.508562015192504</v>
      </c>
      <c r="AC49" s="41" t="n">
        <f aca="false">2/(p_AdxN+1)*Z49+(1-2/(p_AdxN+1))*AC48</f>
        <v>0.079958015093805</v>
      </c>
      <c r="AD49" s="41" t="n">
        <f aca="false">2/(p_AdxN+1)*AA49+(1-2/(p_AdxN+1))*AD48</f>
        <v>0.13818017598395</v>
      </c>
      <c r="AE49" s="45" t="n">
        <f aca="false">100*AC49/AB49</f>
        <v>15.7223726320847</v>
      </c>
      <c r="AF49" s="45" t="n">
        <f aca="false">100*AD49/AB49</f>
        <v>27.1707622386317</v>
      </c>
      <c r="AG49" s="45" t="n">
        <f aca="false">IFERROR(100*ABS(AE49-AF49)/(AE49+AF49),0)</f>
        <v>26.690494040721</v>
      </c>
      <c r="AH49" s="45" t="n">
        <f aca="false">2/(p_AdxN+1)*AG49+(1-2/(p_AdxN+1))*AH48</f>
        <v>39.3814908453305</v>
      </c>
      <c r="AI49" s="40" t="n">
        <f aca="false">I49*(1+p_ChPct)</f>
        <v>25.0726961488298</v>
      </c>
      <c r="AJ49" s="40" t="n">
        <f aca="false">I49*(1-p_ChPct)</f>
        <v>22.2342777168868</v>
      </c>
      <c r="AK49" s="40" t="n">
        <f aca="false">I49+1*Y49</f>
        <v>24.155794625166</v>
      </c>
      <c r="AL49" s="40" t="n">
        <f aca="false">I49+2*Y49</f>
        <v>24.6581023174737</v>
      </c>
      <c r="AM49" s="40" t="n">
        <f aca="false">I49+3*Y49</f>
        <v>25.1604100097814</v>
      </c>
      <c r="AN49" s="40" t="n">
        <f aca="false">I49-1*Y49</f>
        <v>23.1511792405506</v>
      </c>
      <c r="AO49" s="40" t="n">
        <f aca="false">I49-2*Y49</f>
        <v>22.648871548243</v>
      </c>
      <c r="AP49" s="40" t="n">
        <f aca="false">I49-3*Y49</f>
        <v>22.1465638559353</v>
      </c>
      <c r="AQ49" s="40" t="n">
        <f aca="true">MAX(OFFSET(C49,1-MIN(p_StochN,ROW()-4),0,MIN(p_StochN,ROW()-4),1))</f>
        <v>24.87</v>
      </c>
      <c r="AR49" s="40" t="n">
        <f aca="true">MIN(OFFSET(D49,1-MIN(p_StochN,ROW()-4),0,MIN(p_StochN,ROW()-4),1))</f>
        <v>23.86</v>
      </c>
      <c r="AS49" s="45" t="n">
        <f aca="false">IF(AQ49=AR49,50,100*(E49-AR49)/(AQ49-AR49))</f>
        <v>14.851485148515</v>
      </c>
      <c r="AT49" s="45" t="n">
        <f aca="true">AVERAGE(OFFSET(AS49,1-MIN(p_StochSm,ROW()-4),0,MIN(p_StochSm,ROW()-4),1))</f>
        <v>37.9130460320783</v>
      </c>
      <c r="AU49" s="45" t="n">
        <f aca="true">AVERAGE(OFFSET(AT49,1-MIN(p_StochSm,ROW()-4),0,MIN(p_StochSm,ROW()-4),1))</f>
        <v>45.8814487213214</v>
      </c>
      <c r="AV49" s="41" t="n">
        <f aca="false">MAX(0,H49-D49)</f>
        <v>0.423983285594687</v>
      </c>
      <c r="AW49" s="41" t="n">
        <f aca="true">IF(COUNTIF(OFFSET(AV49,1-MIN(p_PenLb,ROW()-4),0,MIN(p_PenLb,ROW()-4),1),"&gt;0")&gt;0,SUM(OFFSET(AV49,1-MIN(p_PenLb,ROW()-4),0,MIN(p_PenLb,ROW()-4),1))/COUNTIF(OFFSET(AV49,1-MIN(p_PenLb,ROW()-4),0,MIN(p_PenLb,ROW()-4),1),"&gt;0"),0.5*Y49)</f>
        <v>0.423983285594687</v>
      </c>
      <c r="AX49" s="41" t="n">
        <f aca="false">2*H49-H48</f>
        <v>24.2383194046622</v>
      </c>
      <c r="AY49" s="40" t="n">
        <f aca="false">ROUND(MAX(AX49-AW49,0.01),2)</f>
        <v>23.81</v>
      </c>
      <c r="AZ49" s="40" t="n">
        <f aca="true">IF(MIN(p_StopLb,ROW()-4)&lt;2,D49,SMALL(OFFSET(D49,1-MIN(p_StopLb,ROW()-4),0,MIN(p_StopLb,ROW()-4),1),2))</f>
        <v>24.25</v>
      </c>
      <c r="BA49" s="40" t="n">
        <f aca="false">IF(MOD(ROUND(ROUNDDOWN(MIN(AZ49-0.01,AY49-p_StopAtr*Y49),2)*100,0),50)=0,ROUNDDOWN(MIN(AZ49-0.01,AY49-p_StopAtr*Y49),2)-0.01,ROUNDDOWN(MIN(AZ49-0.01,AY49-p_StopAtr*Y49),2))</f>
        <v>23.3</v>
      </c>
      <c r="BB49" s="40" t="n">
        <f aca="false">ROUND(AI49,2)</f>
        <v>25.07</v>
      </c>
      <c r="BC49" s="40" t="n">
        <f aca="false">IF(AY49-BA49&gt;0,(BB49-AY49)/(AY49-BA49),0)</f>
        <v>2.47058823529413</v>
      </c>
      <c r="BD49" s="42" t="n">
        <f aca="false">IF(N49&lt;0,1,0)</f>
        <v>1</v>
      </c>
      <c r="BE49" s="41" t="n">
        <f aca="false">IF(AND(BD49=1,BD48=0),N49,IF(BD49=1,MIN(BE48,N49),BE48))</f>
        <v>-0.154933475636012</v>
      </c>
      <c r="BF49" s="40" t="n">
        <f aca="false">IF(AND(BD49=1,BD48=0),D49,IF(BD49=1,MIN(BF48,D49),BF48))</f>
        <v>23.86</v>
      </c>
      <c r="BG49" s="42" t="n">
        <f aca="false">IF(AND(BD49=1,BD48=0),ROW(),IF(BD49=1,IF(N49&lt;BE48,ROW(),BG48),BG48))</f>
        <v>49</v>
      </c>
      <c r="BH49" s="41" t="n">
        <f aca="false">IF(AND(BD49=1,BD48=0),BE48,BH48)</f>
        <v>-0.0234128043712021</v>
      </c>
      <c r="BI49" s="40" t="n">
        <f aca="false">IF(AND(BD49=1,BD48=0),BF48,BI48)</f>
        <v>19.42</v>
      </c>
      <c r="BJ49" s="42" t="n">
        <f aca="false">IF(AND(BD49=1,BD48=0),BG48,BJ48)</f>
        <v>10</v>
      </c>
      <c r="BK49" s="42" t="n">
        <f aca="false">IF(AND(ISNUMBER(BG49),ISNUMBER(BJ49)),BG49-BJ49,"")</f>
        <v>39</v>
      </c>
      <c r="BL49" s="42" t="n">
        <f aca="false">IF(AND(BD49=1,N49&gt;N48,ISNUMBER(BH49),ISNUMBER(BK49)),IF(AND(BE49&gt;BH49,BF49&lt;BI49,BK49&gt;=p_GapMin,BK49&lt;=p_GapMax),1,0),0)</f>
        <v>0</v>
      </c>
      <c r="BM49" s="42" t="n">
        <f aca="false">IF(AND(BL49=1,E49&gt;BI49),1,0)</f>
        <v>0</v>
      </c>
      <c r="BN49" s="42" t="n">
        <f aca="false">IF(BL49=1,IF(BE49&gt;=BH49*0.5,1,0),0)</f>
        <v>0</v>
      </c>
      <c r="BO49" s="42" t="n">
        <f aca="true">IF(V49&gt;MIN(OFFSET(V49,-MIN(p_FiLb-1,ROW()-5),0,MIN(p_FiLb-1,ROW()-5),1)),1,0)</f>
        <v>0</v>
      </c>
      <c r="BP49" s="44" t="n">
        <f aca="true">IF(COUNTIF(OFFSET(V49,1-MIN(100,ROW()-4),0,MIN(100,ROW()-4),1),"&lt;0")&gt;=5,AVERAGEIF(OFFSET(V49,1-MIN(100,ROW()-4),0,MIN(100,ROW()-4),1),"&lt;0"),"")</f>
        <v>-503999.795594273</v>
      </c>
      <c r="BQ49" s="42" t="n">
        <f aca="false">IF(ISNUMBER(BP49),IF(AND(V49&lt;5*BP49,V49&gt;V48,E49&lt;AJ49),1,0),0)</f>
        <v>0</v>
      </c>
      <c r="BR49" s="44" t="n">
        <f aca="true">AVERAGE(OFFSET(F49,1-MIN(5,ROW()-4),0,MIN(5,ROW()-4),1))</f>
        <v>3507760</v>
      </c>
      <c r="BS49" s="42" t="n">
        <f aca="false">IFERROR(IF(MATCH(G49,周线!$A$5:$A$84,0)&lt;=1,"",INDEX(周线!$R$5:$R$84,MATCH(G49,周线!$A$5:$A$84,0)-1)),"")</f>
        <v>1</v>
      </c>
      <c r="BT49" s="42" t="n">
        <f aca="false">IFERROR(IF(MATCH(G49,周线!$A$5:$A$84,0)&lt;=1,"",INDEX(周线!$S$5:$S$84,MATCH(G49,周线!$A$5:$A$84,0)-1)),"")</f>
        <v>1</v>
      </c>
      <c r="BU49" s="42" t="n">
        <f aca="false">IFERROR(IF(MATCH(G49,周线!$A$5:$A$84,0)&lt;=1,"",INDEX(周线!$U$5:$U$84,MATCH(G49,周线!$A$5:$A$84,0)-1)),"")</f>
        <v>1</v>
      </c>
      <c r="BV49" s="42" t="n">
        <f aca="false">IF(AND(BS49=1,S49&lt;&gt;-1,V49&lt;0,BO49=1,E49&lt;=H49,E49&gt;=AJ49),1,0)</f>
        <v>0</v>
      </c>
      <c r="BW49" s="42" t="n">
        <f aca="false">BL49</f>
        <v>0</v>
      </c>
      <c r="BX49" s="42" t="n">
        <f aca="false">BQ49</f>
        <v>0</v>
      </c>
      <c r="BY49" s="42" t="n">
        <f aca="false">IF(BS49=1,10,0)+IF(BU49=1,5,IF(BU49=-1,0,3))+IF(BT49=1,5,0)+IF(AND(AE49&gt;AF49,AH49&gt;AH48),5,0)</f>
        <v>20</v>
      </c>
      <c r="BZ49" s="42" t="n">
        <f aca="false">IF(AND(E49&lt;=H49,E49&gt;=I49),10,IF(AND(E49&gt;=AJ49,E49&lt;I49),6,0))+IF(AND(V49&lt;0,BO49=1),8,0)+IF(AT49&lt;30,7,IF(AT49&lt;50,3,0))</f>
        <v>13</v>
      </c>
      <c r="CA49" s="42" t="n">
        <f aca="false">IF(AND(BV49=1,BW49=1),25,IF(BW49=1,22,IF(BV49=1,15,IF(BX49=1,12,0))))</f>
        <v>0</v>
      </c>
      <c r="CB49" s="42" t="n">
        <f aca="false">IF(W49&gt;0,6,0)+IF(F49&lt;BR49,4,0)</f>
        <v>4</v>
      </c>
      <c r="CC49" s="42" t="n">
        <f aca="false">IF(BC49&gt;=3,15,IF(BC49&gt;=p_RRmin,10,IF(BC49&gt;=1.5,4,0)))</f>
        <v>10</v>
      </c>
      <c r="CD49" s="42" t="n">
        <f aca="false">BY49+BZ49+CA49+CB49+CC49</f>
        <v>47</v>
      </c>
      <c r="CE49" s="42" t="n">
        <f aca="false">IF(AND(BS49&lt;&gt;1,BW49+BX49=0),1,0)</f>
        <v>0</v>
      </c>
      <c r="CF49" s="42" t="n">
        <f aca="false">IF(BU49=-1,1,0)</f>
        <v>0</v>
      </c>
      <c r="CG49" s="42" t="n">
        <f aca="false">IF(S49=-1,1,0)</f>
        <v>1</v>
      </c>
      <c r="CH49" s="42" t="n">
        <f aca="false">IF(BV49+BW49+BX49=0,1,0)</f>
        <v>1</v>
      </c>
      <c r="CI49" s="42" t="n">
        <f aca="false">IF(BC49&lt;p_RRmin,1,0)</f>
        <v>0</v>
      </c>
      <c r="CJ49" s="46" t="str">
        <f aca="false">IF(SUM(CE49:CI49)=0,IF(CD49&gt;=p_GradeA,"A",IF(CD49&gt;=p_GradeB,"B","C")),IF(AND(CI49=1,SUM(CE49:CH49)=0,CD49&gt;=p_GradeB),"B","C"))</f>
        <v>C</v>
      </c>
    </row>
    <row r="50" customFormat="false" ht="15" hidden="false" customHeight="false" outlineLevel="0" collapsed="false">
      <c r="A50" s="36" t="n">
        <v>45722</v>
      </c>
      <c r="B50" s="37" t="n">
        <v>24.01</v>
      </c>
      <c r="C50" s="37" t="n">
        <v>24.23</v>
      </c>
      <c r="D50" s="37" t="n">
        <v>23.87</v>
      </c>
      <c r="E50" s="37" t="n">
        <v>24.01</v>
      </c>
      <c r="F50" s="38" t="n">
        <v>3837200</v>
      </c>
      <c r="G50" s="39" t="n">
        <f aca="false">A50-WEEKDAY(A50,3)</f>
        <v>45719</v>
      </c>
      <c r="H50" s="40" t="n">
        <f aca="false">2/(p_EmaF+1)*E50+(1-2/(p_EmaF+1))*H49</f>
        <v>24.244842816224</v>
      </c>
      <c r="I50" s="40" t="n">
        <f aca="false">2/(p_EmaS+1)*E50+(1-2/(p_EmaS+1))*I49</f>
        <v>23.6798953082022</v>
      </c>
      <c r="J50" s="41" t="n">
        <f aca="false">2/(p_MacdF+1)*E50+(1-2/(p_MacdF+1))*J49</f>
        <v>24.2710604229493</v>
      </c>
      <c r="K50" s="41" t="n">
        <f aca="false">2/(p_MacdS+1)*E50+(1-2/(p_MacdS+1))*K49</f>
        <v>23.6798953082022</v>
      </c>
      <c r="L50" s="41" t="n">
        <f aca="false">J50-K50</f>
        <v>0.591165114747163</v>
      </c>
      <c r="M50" s="41" t="n">
        <f aca="false">2/(p_MacdSig+1)*L50+(1-2/(p_MacdSig+1))*M49</f>
        <v>0.774211020687301</v>
      </c>
      <c r="N50" s="41" t="n">
        <f aca="false">L50-M50</f>
        <v>-0.183045905940138</v>
      </c>
      <c r="O50" s="42" t="n">
        <f aca="false">IF(H50&gt;H49,1,0)</f>
        <v>0</v>
      </c>
      <c r="P50" s="42" t="n">
        <f aca="false">IF(H50&lt;H49,1,0)</f>
        <v>1</v>
      </c>
      <c r="Q50" s="42" t="n">
        <f aca="false">IF(N50&gt;N49,1,0)</f>
        <v>0</v>
      </c>
      <c r="R50" s="42" t="n">
        <f aca="false">IF(N50&lt;N49,1,0)</f>
        <v>1</v>
      </c>
      <c r="S50" s="42" t="n">
        <f aca="false">IF(AND(O50=1,Q50=1),1,IF(AND(P50=1,R50=1),-1,0))</f>
        <v>-1</v>
      </c>
      <c r="T50" s="43" t="str">
        <f aca="false">IF(S50=1,"绿",IF(S50=-1,"红","蓝"))</f>
        <v>红</v>
      </c>
      <c r="U50" s="44" t="n">
        <f aca="false">F50*(E50-E49)</f>
        <v>0</v>
      </c>
      <c r="V50" s="44" t="n">
        <f aca="false">2/(p_FiS+1)*U50+(1-2/(p_FiS+1))*V49</f>
        <v>-395949.807536848</v>
      </c>
      <c r="W50" s="44" t="n">
        <f aca="false">2/(p_FiL+1)*U50+(1-2/(p_FiL+1))*W49</f>
        <v>-97194.7055414177</v>
      </c>
      <c r="X50" s="41" t="n">
        <f aca="false">MAX(C50-D50,ABS(C50-E49),ABS(D50-E49))</f>
        <v>0.359999999999999</v>
      </c>
      <c r="Y50" s="41" t="n">
        <f aca="true">AVERAGE(OFFSET(X50,1-MIN(p_AtrN,ROW()-4),0,MIN(p_AtrN,ROW()-4),1))</f>
        <v>0.503846153846154</v>
      </c>
      <c r="Z50" s="41" t="n">
        <f aca="false">IF(AND(C50-C49&gt;D49-D50,C50-C49&gt;0),C50-C49,0)</f>
        <v>0</v>
      </c>
      <c r="AA50" s="41" t="n">
        <f aca="false">IF(AND(D49-D50&gt;C50-C49,D49-D50&gt;0),D49-D50,0)</f>
        <v>0</v>
      </c>
      <c r="AB50" s="41" t="n">
        <f aca="false">2/(p_AdxN+1)*X50+(1-2/(p_AdxN+1))*AB49</f>
        <v>0.487338870165004</v>
      </c>
      <c r="AC50" s="41" t="n">
        <f aca="false">2/(p_AdxN+1)*Z50+(1-2/(p_AdxN+1))*AC49</f>
        <v>0.0685354415089757</v>
      </c>
      <c r="AD50" s="41" t="n">
        <f aca="false">2/(p_AdxN+1)*AA50+(1-2/(p_AdxN+1))*AD49</f>
        <v>0.118440150843385</v>
      </c>
      <c r="AE50" s="45" t="n">
        <f aca="false">100*AC50/AB50</f>
        <v>14.0632003118838</v>
      </c>
      <c r="AF50" s="45" t="n">
        <f aca="false">100*AD50/AB50</f>
        <v>24.3034483999365</v>
      </c>
      <c r="AG50" s="45" t="n">
        <f aca="false">IFERROR(100*ABS(AE50-AF50)/(AE50+AF50),0)</f>
        <v>26.690494040721</v>
      </c>
      <c r="AH50" s="45" t="n">
        <f aca="false">2/(p_AdxN+1)*AG50+(1-2/(p_AdxN+1))*AH49</f>
        <v>37.5684913018149</v>
      </c>
      <c r="AI50" s="40" t="n">
        <f aca="false">I50*(1+p_ChPct)</f>
        <v>25.1006890266943</v>
      </c>
      <c r="AJ50" s="40" t="n">
        <f aca="false">I50*(1-p_ChPct)</f>
        <v>22.25910158971</v>
      </c>
      <c r="AK50" s="40" t="n">
        <f aca="false">I50+1*Y50</f>
        <v>24.1837414620483</v>
      </c>
      <c r="AL50" s="40" t="n">
        <f aca="false">I50+2*Y50</f>
        <v>24.6875876158945</v>
      </c>
      <c r="AM50" s="40" t="n">
        <f aca="false">I50+3*Y50</f>
        <v>25.1914337697406</v>
      </c>
      <c r="AN50" s="40" t="n">
        <f aca="false">I50-1*Y50</f>
        <v>23.176049154356</v>
      </c>
      <c r="AO50" s="40" t="n">
        <f aca="false">I50-2*Y50</f>
        <v>22.6722030005099</v>
      </c>
      <c r="AP50" s="40" t="n">
        <f aca="false">I50-3*Y50</f>
        <v>22.1683568466637</v>
      </c>
      <c r="AQ50" s="40" t="n">
        <f aca="true">MAX(OFFSET(C50,1-MIN(p_StochN,ROW()-4),0,MIN(p_StochN,ROW()-4),1))</f>
        <v>24.87</v>
      </c>
      <c r="AR50" s="40" t="n">
        <f aca="true">MIN(OFFSET(D50,1-MIN(p_StochN,ROW()-4),0,MIN(p_StochN,ROW()-4),1))</f>
        <v>23.86</v>
      </c>
      <c r="AS50" s="45" t="n">
        <f aca="false">IF(AQ50=AR50,50,100*(E50-AR50)/(AQ50-AR50))</f>
        <v>14.851485148515</v>
      </c>
      <c r="AT50" s="45" t="n">
        <f aca="true">AVERAGE(OFFSET(AS50,1-MIN(p_StochSm,ROW()-4),0,MIN(p_StochSm,ROW()-4),1))</f>
        <v>20.8205303288951</v>
      </c>
      <c r="AU50" s="45" t="n">
        <f aca="true">AVERAGE(OFFSET(AT50,1-MIN(p_StochSm,ROW()-4),0,MIN(p_StochSm,ROW()-4),1))</f>
        <v>36.0506078486928</v>
      </c>
      <c r="AV50" s="41" t="n">
        <f aca="false">MAX(0,H50-D50)</f>
        <v>0.374842816224017</v>
      </c>
      <c r="AW50" s="41" t="n">
        <f aca="true">IF(COUNTIF(OFFSET(AV50,1-MIN(p_PenLb,ROW()-4),0,MIN(p_PenLb,ROW()-4),1),"&gt;0")&gt;0,SUM(OFFSET(AV50,1-MIN(p_PenLb,ROW()-4),0,MIN(p_PenLb,ROW()-4),1))/COUNTIF(OFFSET(AV50,1-MIN(p_PenLb,ROW()-4),0,MIN(p_PenLb,ROW()-4),1),"&gt;0"),0.5*Y50)</f>
        <v>0.399413050909352</v>
      </c>
      <c r="AX50" s="41" t="n">
        <f aca="false">2*H50-H49</f>
        <v>24.2057023468534</v>
      </c>
      <c r="AY50" s="40" t="n">
        <f aca="false">ROUND(MAX(AX50-AW50,0.01),2)</f>
        <v>23.81</v>
      </c>
      <c r="AZ50" s="40" t="n">
        <f aca="true">IF(MIN(p_StopLb,ROW()-4)&lt;2,D50,SMALL(OFFSET(D50,1-MIN(p_StopLb,ROW()-4),0,MIN(p_StopLb,ROW()-4),1),2))</f>
        <v>23.87</v>
      </c>
      <c r="BA50" s="40" t="n">
        <f aca="false">IF(MOD(ROUND(ROUNDDOWN(MIN(AZ50-0.01,AY50-p_StopAtr*Y50),2)*100,0),50)=0,ROUNDDOWN(MIN(AZ50-0.01,AY50-p_StopAtr*Y50),2)-0.01,ROUNDDOWN(MIN(AZ50-0.01,AY50-p_StopAtr*Y50),2))</f>
        <v>23.3</v>
      </c>
      <c r="BB50" s="40" t="n">
        <f aca="false">ROUND(AI50,2)</f>
        <v>25.1</v>
      </c>
      <c r="BC50" s="40" t="n">
        <f aca="false">IF(AY50-BA50&gt;0,(BB50-AY50)/(AY50-BA50),0)</f>
        <v>2.5294117647059</v>
      </c>
      <c r="BD50" s="42" t="n">
        <f aca="false">IF(N50&lt;0,1,0)</f>
        <v>1</v>
      </c>
      <c r="BE50" s="41" t="n">
        <f aca="false">IF(AND(BD50=1,BD49=0),N50,IF(BD50=1,MIN(BE49,N50),BE49))</f>
        <v>-0.183045905940138</v>
      </c>
      <c r="BF50" s="40" t="n">
        <f aca="false">IF(AND(BD50=1,BD49=0),D50,IF(BD50=1,MIN(BF49,D50),BF49))</f>
        <v>23.86</v>
      </c>
      <c r="BG50" s="42" t="n">
        <f aca="false">IF(AND(BD50=1,BD49=0),ROW(),IF(BD50=1,IF(N50&lt;BE49,ROW(),BG49),BG49))</f>
        <v>50</v>
      </c>
      <c r="BH50" s="41" t="n">
        <f aca="false">IF(AND(BD50=1,BD49=0),BE49,BH49)</f>
        <v>-0.0234128043712021</v>
      </c>
      <c r="BI50" s="40" t="n">
        <f aca="false">IF(AND(BD50=1,BD49=0),BF49,BI49)</f>
        <v>19.42</v>
      </c>
      <c r="BJ50" s="42" t="n">
        <f aca="false">IF(AND(BD50=1,BD49=0),BG49,BJ49)</f>
        <v>10</v>
      </c>
      <c r="BK50" s="42" t="n">
        <f aca="false">IF(AND(ISNUMBER(BG50),ISNUMBER(BJ50)),BG50-BJ50,"")</f>
        <v>40</v>
      </c>
      <c r="BL50" s="42" t="n">
        <f aca="false">IF(AND(BD50=1,N50&gt;N49,ISNUMBER(BH50),ISNUMBER(BK50)),IF(AND(BE50&gt;BH50,BF50&lt;BI50,BK50&gt;=p_GapMin,BK50&lt;=p_GapMax),1,0),0)</f>
        <v>0</v>
      </c>
      <c r="BM50" s="42" t="n">
        <f aca="false">IF(AND(BL50=1,E50&gt;BI50),1,0)</f>
        <v>0</v>
      </c>
      <c r="BN50" s="42" t="n">
        <f aca="false">IF(BL50=1,IF(BE50&gt;=BH50*0.5,1,0),0)</f>
        <v>0</v>
      </c>
      <c r="BO50" s="42" t="n">
        <f aca="true">IF(V50&gt;MIN(OFFSET(V50,-MIN(p_FiLb-1,ROW()-5),0,MIN(p_FiLb-1,ROW()-5),1)),1,0)</f>
        <v>1</v>
      </c>
      <c r="BP50" s="44" t="n">
        <f aca="true">IF(COUNTIF(OFFSET(V50,1-MIN(100,ROW()-4),0,MIN(100,ROW()-4),1),"&lt;0")&gt;=5,AVERAGEIF(OFFSET(V50,1-MIN(100,ROW()-4),0,MIN(100,ROW()-4),1),"&lt;0"),"")</f>
        <v>-497643.913943836</v>
      </c>
      <c r="BQ50" s="42" t="n">
        <f aca="false">IF(ISNUMBER(BP50),IF(AND(V50&lt;5*BP50,V50&gt;V49,E50&lt;AJ50),1,0),0)</f>
        <v>0</v>
      </c>
      <c r="BR50" s="44" t="n">
        <f aca="true">AVERAGE(OFFSET(F50,1-MIN(5,ROW()-4),0,MIN(5,ROW()-4),1))</f>
        <v>3435920</v>
      </c>
      <c r="BS50" s="42" t="n">
        <f aca="false">IFERROR(IF(MATCH(G50,周线!$A$5:$A$84,0)&lt;=1,"",INDEX(周线!$R$5:$R$84,MATCH(G50,周线!$A$5:$A$84,0)-1)),"")</f>
        <v>1</v>
      </c>
      <c r="BT50" s="42" t="n">
        <f aca="false">IFERROR(IF(MATCH(G50,周线!$A$5:$A$84,0)&lt;=1,"",INDEX(周线!$S$5:$S$84,MATCH(G50,周线!$A$5:$A$84,0)-1)),"")</f>
        <v>1</v>
      </c>
      <c r="BU50" s="42" t="n">
        <f aca="false">IFERROR(IF(MATCH(G50,周线!$A$5:$A$84,0)&lt;=1,"",INDEX(周线!$U$5:$U$84,MATCH(G50,周线!$A$5:$A$84,0)-1)),"")</f>
        <v>1</v>
      </c>
      <c r="BV50" s="42" t="n">
        <f aca="false">IF(AND(BS50=1,S50&lt;&gt;-1,V50&lt;0,BO50=1,E50&lt;=H50,E50&gt;=AJ50),1,0)</f>
        <v>0</v>
      </c>
      <c r="BW50" s="42" t="n">
        <f aca="false">BL50</f>
        <v>0</v>
      </c>
      <c r="BX50" s="42" t="n">
        <f aca="false">BQ50</f>
        <v>0</v>
      </c>
      <c r="BY50" s="42" t="n">
        <f aca="false">IF(BS50=1,10,0)+IF(BU50=1,5,IF(BU50=-1,0,3))+IF(BT50=1,5,0)+IF(AND(AE50&gt;AF50,AH50&gt;AH49),5,0)</f>
        <v>20</v>
      </c>
      <c r="BZ50" s="42" t="n">
        <f aca="false">IF(AND(E50&lt;=H50,E50&gt;=I50),10,IF(AND(E50&gt;=AJ50,E50&lt;I50),6,0))+IF(AND(V50&lt;0,BO50=1),8,0)+IF(AT50&lt;30,7,IF(AT50&lt;50,3,0))</f>
        <v>25</v>
      </c>
      <c r="CA50" s="42" t="n">
        <f aca="false">IF(AND(BV50=1,BW50=1),25,IF(BW50=1,22,IF(BV50=1,15,IF(BX50=1,12,0))))</f>
        <v>0</v>
      </c>
      <c r="CB50" s="42" t="n">
        <f aca="false">IF(W50&gt;0,6,0)+IF(F50&lt;BR50,4,0)</f>
        <v>0</v>
      </c>
      <c r="CC50" s="42" t="n">
        <f aca="false">IF(BC50&gt;=3,15,IF(BC50&gt;=p_RRmin,10,IF(BC50&gt;=1.5,4,0)))</f>
        <v>10</v>
      </c>
      <c r="CD50" s="42" t="n">
        <f aca="false">BY50+BZ50+CA50+CB50+CC50</f>
        <v>55</v>
      </c>
      <c r="CE50" s="42" t="n">
        <f aca="false">IF(AND(BS50&lt;&gt;1,BW50+BX50=0),1,0)</f>
        <v>0</v>
      </c>
      <c r="CF50" s="42" t="n">
        <f aca="false">IF(BU50=-1,1,0)</f>
        <v>0</v>
      </c>
      <c r="CG50" s="42" t="n">
        <f aca="false">IF(S50=-1,1,0)</f>
        <v>1</v>
      </c>
      <c r="CH50" s="42" t="n">
        <f aca="false">IF(BV50+BW50+BX50=0,1,0)</f>
        <v>1</v>
      </c>
      <c r="CI50" s="42" t="n">
        <f aca="false">IF(BC50&lt;p_RRmin,1,0)</f>
        <v>0</v>
      </c>
      <c r="CJ50" s="46" t="str">
        <f aca="false">IF(SUM(CE50:CI50)=0,IF(CD50&gt;=p_GradeA,"A",IF(CD50&gt;=p_GradeB,"B","C")),IF(AND(CI50=1,SUM(CE50:CH50)=0,CD50&gt;=p_GradeB),"B","C"))</f>
        <v>C</v>
      </c>
    </row>
    <row r="51" customFormat="false" ht="15" hidden="false" customHeight="false" outlineLevel="0" collapsed="false">
      <c r="A51" s="36" t="n">
        <v>45723</v>
      </c>
      <c r="B51" s="37" t="n">
        <v>24.23</v>
      </c>
      <c r="C51" s="37" t="n">
        <v>24.42</v>
      </c>
      <c r="D51" s="37" t="n">
        <v>23.27</v>
      </c>
      <c r="E51" s="37" t="n">
        <v>23.36</v>
      </c>
      <c r="F51" s="38" t="n">
        <v>4846400</v>
      </c>
      <c r="G51" s="39" t="n">
        <f aca="false">A51-WEEKDAY(A51,3)</f>
        <v>45719</v>
      </c>
      <c r="H51" s="40" t="n">
        <f aca="false">2/(p_EmaF+1)*E51+(1-2/(p_EmaF+1))*H50</f>
        <v>24.1184366996206</v>
      </c>
      <c r="I51" s="40" t="n">
        <f aca="false">2/(p_EmaS+1)*E51+(1-2/(p_EmaS+1))*I50</f>
        <v>23.6561993594464</v>
      </c>
      <c r="J51" s="41" t="n">
        <f aca="false">2/(p_MacdF+1)*E51+(1-2/(p_MacdF+1))*J50</f>
        <v>24.1308972809571</v>
      </c>
      <c r="K51" s="41" t="n">
        <f aca="false">2/(p_MacdS+1)*E51+(1-2/(p_MacdS+1))*K50</f>
        <v>23.6561993594464</v>
      </c>
      <c r="L51" s="41" t="n">
        <f aca="false">J51-K51</f>
        <v>0.474697921510675</v>
      </c>
      <c r="M51" s="41" t="n">
        <f aca="false">2/(p_MacdSig+1)*L51+(1-2/(p_MacdSig+1))*M50</f>
        <v>0.714308400851976</v>
      </c>
      <c r="N51" s="41" t="n">
        <f aca="false">L51-M51</f>
        <v>-0.239610479341301</v>
      </c>
      <c r="O51" s="42" t="n">
        <f aca="false">IF(H51&gt;H50,1,0)</f>
        <v>0</v>
      </c>
      <c r="P51" s="42" t="n">
        <f aca="false">IF(H51&lt;H50,1,0)</f>
        <v>1</v>
      </c>
      <c r="Q51" s="42" t="n">
        <f aca="false">IF(N51&gt;N50,1,0)</f>
        <v>0</v>
      </c>
      <c r="R51" s="42" t="n">
        <f aca="false">IF(N51&lt;N50,1,0)</f>
        <v>1</v>
      </c>
      <c r="S51" s="42" t="n">
        <f aca="false">IF(AND(O51=1,Q51=1),1,IF(AND(P51=1,R51=1),-1,0))</f>
        <v>-1</v>
      </c>
      <c r="T51" s="43" t="str">
        <f aca="false">IF(S51=1,"绿",IF(S51=-1,"红","蓝"))</f>
        <v>红</v>
      </c>
      <c r="U51" s="44" t="n">
        <f aca="false">F51*(E51-E50)</f>
        <v>-3150160.00000001</v>
      </c>
      <c r="V51" s="44" t="n">
        <f aca="false">2/(p_FiS+1)*U51+(1-2/(p_FiS+1))*V50</f>
        <v>-2232089.93584562</v>
      </c>
      <c r="W51" s="44" t="n">
        <f aca="false">2/(p_FiL+1)*U51+(1-2/(p_FiL+1))*W50</f>
        <v>-533332.604749788</v>
      </c>
      <c r="X51" s="41" t="n">
        <f aca="false">MAX(C51-D51,ABS(C51-E50),ABS(D51-E50))</f>
        <v>1.15</v>
      </c>
      <c r="Y51" s="41" t="n">
        <f aca="true">AVERAGE(OFFSET(X51,1-MIN(p_AtrN,ROW()-4),0,MIN(p_AtrN,ROW()-4),1))</f>
        <v>0.534615384615385</v>
      </c>
      <c r="Z51" s="41" t="n">
        <f aca="false">IF(AND(C51-C50&gt;D50-D51,C51-C50&gt;0),C51-C50,0)</f>
        <v>0</v>
      </c>
      <c r="AA51" s="41" t="n">
        <f aca="false">IF(AND(D50-D51&gt;C51-C50,D50-D51&gt;0),D50-D51,0)</f>
        <v>0.600000000000001</v>
      </c>
      <c r="AB51" s="41" t="n">
        <f aca="false">2/(p_AdxN+1)*X51+(1-2/(p_AdxN+1))*AB50</f>
        <v>0.582004745855718</v>
      </c>
      <c r="AC51" s="41" t="n">
        <f aca="false">2/(p_AdxN+1)*Z51+(1-2/(p_AdxN+1))*AC50</f>
        <v>0.0587446641505506</v>
      </c>
      <c r="AD51" s="41" t="n">
        <f aca="false">2/(p_AdxN+1)*AA51+(1-2/(p_AdxN+1))*AD50</f>
        <v>0.187234415008616</v>
      </c>
      <c r="AE51" s="45" t="n">
        <f aca="false">100*AC51/AB51</f>
        <v>10.0935025992234</v>
      </c>
      <c r="AF51" s="45" t="n">
        <f aca="false">100*AD51/AB51</f>
        <v>32.1705993536748</v>
      </c>
      <c r="AG51" s="45" t="n">
        <f aca="false">IFERROR(100*ABS(AE51-AF51)/(AE51+AF51),0)</f>
        <v>52.2360484059391</v>
      </c>
      <c r="AH51" s="45" t="n">
        <f aca="false">2/(p_AdxN+1)*AG51+(1-2/(p_AdxN+1))*AH50</f>
        <v>39.6638566024041</v>
      </c>
      <c r="AI51" s="40" t="n">
        <f aca="false">I51*(1+p_ChPct)</f>
        <v>25.0755713210132</v>
      </c>
      <c r="AJ51" s="40" t="n">
        <f aca="false">I51*(1-p_ChPct)</f>
        <v>22.2368273978797</v>
      </c>
      <c r="AK51" s="40" t="n">
        <f aca="false">I51+1*Y51</f>
        <v>24.1908147440618</v>
      </c>
      <c r="AL51" s="40" t="n">
        <f aca="false">I51+2*Y51</f>
        <v>24.7254301286772</v>
      </c>
      <c r="AM51" s="40" t="n">
        <f aca="false">I51+3*Y51</f>
        <v>25.2600455132926</v>
      </c>
      <c r="AN51" s="40" t="n">
        <f aca="false">I51-1*Y51</f>
        <v>23.1215839748311</v>
      </c>
      <c r="AO51" s="40" t="n">
        <f aca="false">I51-2*Y51</f>
        <v>22.5869685902157</v>
      </c>
      <c r="AP51" s="40" t="n">
        <f aca="false">I51-3*Y51</f>
        <v>22.0523532056003</v>
      </c>
      <c r="AQ51" s="40" t="n">
        <f aca="true">MAX(OFFSET(C51,1-MIN(p_StochN,ROW()-4),0,MIN(p_StochN,ROW()-4),1))</f>
        <v>24.87</v>
      </c>
      <c r="AR51" s="40" t="n">
        <f aca="true">MIN(OFFSET(D51,1-MIN(p_StochN,ROW()-4),0,MIN(p_StochN,ROW()-4),1))</f>
        <v>23.27</v>
      </c>
      <c r="AS51" s="45" t="n">
        <f aca="false">IF(AQ51=AR51,50,100*(E51-AR51)/(AQ51-AR51))</f>
        <v>5.62499999999999</v>
      </c>
      <c r="AT51" s="45" t="n">
        <f aca="true">AVERAGE(OFFSET(AS51,1-MIN(p_StochSm,ROW()-4),0,MIN(p_StochSm,ROW()-4),1))</f>
        <v>11.77599009901</v>
      </c>
      <c r="AU51" s="45" t="n">
        <f aca="true">AVERAGE(OFFSET(AT51,1-MIN(p_StochSm,ROW()-4),0,MIN(p_StochSm,ROW()-4),1))</f>
        <v>23.5031888199945</v>
      </c>
      <c r="AV51" s="41" t="n">
        <f aca="false">MAX(0,H51-D51)</f>
        <v>0.848436699620589</v>
      </c>
      <c r="AW51" s="41" t="n">
        <f aca="true">IF(COUNTIF(OFFSET(AV51,1-MIN(p_PenLb,ROW()-4),0,MIN(p_PenLb,ROW()-4),1),"&gt;0")&gt;0,SUM(OFFSET(AV51,1-MIN(p_PenLb,ROW()-4),0,MIN(p_PenLb,ROW()-4),1))/COUNTIF(OFFSET(AV51,1-MIN(p_PenLb,ROW()-4),0,MIN(p_PenLb,ROW()-4),1),"&gt;0"),0.5*Y51)</f>
        <v>0.549087600479764</v>
      </c>
      <c r="AX51" s="41" t="n">
        <f aca="false">2*H51-H50</f>
        <v>23.9920305830172</v>
      </c>
      <c r="AY51" s="40" t="n">
        <f aca="false">ROUND(MAX(AX51-AW51,0.01),2)</f>
        <v>23.44</v>
      </c>
      <c r="AZ51" s="40" t="n">
        <f aca="true">IF(MIN(p_StopLb,ROW()-4)&lt;2,D51,SMALL(OFFSET(D51,1-MIN(p_StopLb,ROW()-4),0,MIN(p_StopLb,ROW()-4),1),2))</f>
        <v>23.86</v>
      </c>
      <c r="BA51" s="40" t="n">
        <f aca="false">IF(MOD(ROUND(ROUNDDOWN(MIN(AZ51-0.01,AY51-p_StopAtr*Y51),2)*100,0),50)=0,ROUNDDOWN(MIN(AZ51-0.01,AY51-p_StopAtr*Y51),2)-0.01,ROUNDDOWN(MIN(AZ51-0.01,AY51-p_StopAtr*Y51),2))</f>
        <v>22.9</v>
      </c>
      <c r="BB51" s="40" t="n">
        <f aca="false">ROUND(AI51,2)</f>
        <v>25.08</v>
      </c>
      <c r="BC51" s="40" t="n">
        <f aca="false">IF(AY51-BA51&gt;0,(BB51-AY51)/(AY51-BA51),0)</f>
        <v>3.03703703703702</v>
      </c>
      <c r="BD51" s="42" t="n">
        <f aca="false">IF(N51&lt;0,1,0)</f>
        <v>1</v>
      </c>
      <c r="BE51" s="41" t="n">
        <f aca="false">IF(AND(BD51=1,BD50=0),N51,IF(BD51=1,MIN(BE50,N51),BE50))</f>
        <v>-0.239610479341301</v>
      </c>
      <c r="BF51" s="40" t="n">
        <f aca="false">IF(AND(BD51=1,BD50=0),D51,IF(BD51=1,MIN(BF50,D51),BF50))</f>
        <v>23.27</v>
      </c>
      <c r="BG51" s="42" t="n">
        <f aca="false">IF(AND(BD51=1,BD50=0),ROW(),IF(BD51=1,IF(N51&lt;BE50,ROW(),BG50),BG50))</f>
        <v>51</v>
      </c>
      <c r="BH51" s="41" t="n">
        <f aca="false">IF(AND(BD51=1,BD50=0),BE50,BH50)</f>
        <v>-0.0234128043712021</v>
      </c>
      <c r="BI51" s="40" t="n">
        <f aca="false">IF(AND(BD51=1,BD50=0),BF50,BI50)</f>
        <v>19.42</v>
      </c>
      <c r="BJ51" s="42" t="n">
        <f aca="false">IF(AND(BD51=1,BD50=0),BG50,BJ50)</f>
        <v>10</v>
      </c>
      <c r="BK51" s="42" t="n">
        <f aca="false">IF(AND(ISNUMBER(BG51),ISNUMBER(BJ51)),BG51-BJ51,"")</f>
        <v>41</v>
      </c>
      <c r="BL51" s="42" t="n">
        <f aca="false">IF(AND(BD51=1,N51&gt;N50,ISNUMBER(BH51),ISNUMBER(BK51)),IF(AND(BE51&gt;BH51,BF51&lt;BI51,BK51&gt;=p_GapMin,BK51&lt;=p_GapMax),1,0),0)</f>
        <v>0</v>
      </c>
      <c r="BM51" s="42" t="n">
        <f aca="false">IF(AND(BL51=1,E51&gt;BI51),1,0)</f>
        <v>0</v>
      </c>
      <c r="BN51" s="42" t="n">
        <f aca="false">IF(BL51=1,IF(BE51&gt;=BH51*0.5,1,0),0)</f>
        <v>0</v>
      </c>
      <c r="BO51" s="42" t="n">
        <f aca="true">IF(V51&gt;MIN(OFFSET(V51,-MIN(p_FiLb-1,ROW()-5),0,MIN(p_FiLb-1,ROW()-5),1)),1,0)</f>
        <v>0</v>
      </c>
      <c r="BP51" s="44" t="n">
        <f aca="true">IF(COUNTIF(OFFSET(V51,1-MIN(100,ROW()-4),0,MIN(100,ROW()-4),1),"&lt;0")&gt;=5,AVERAGEIF(OFFSET(V51,1-MIN(100,ROW()-4),0,MIN(100,ROW()-4),1),"&lt;0"),"")</f>
        <v>-594002.026271713</v>
      </c>
      <c r="BQ51" s="42" t="n">
        <f aca="false">IF(ISNUMBER(BP51),IF(AND(V51&lt;5*BP51,V51&gt;V50,E51&lt;AJ51),1,0),0)</f>
        <v>0</v>
      </c>
      <c r="BR51" s="44" t="n">
        <f aca="true">AVERAGE(OFFSET(F51,1-MIN(5,ROW()-4),0,MIN(5,ROW()-4),1))</f>
        <v>3872920</v>
      </c>
      <c r="BS51" s="42" t="n">
        <f aca="false">IFERROR(IF(MATCH(G51,周线!$A$5:$A$84,0)&lt;=1,"",INDEX(周线!$R$5:$R$84,MATCH(G51,周线!$A$5:$A$84,0)-1)),"")</f>
        <v>1</v>
      </c>
      <c r="BT51" s="42" t="n">
        <f aca="false">IFERROR(IF(MATCH(G51,周线!$A$5:$A$84,0)&lt;=1,"",INDEX(周线!$S$5:$S$84,MATCH(G51,周线!$A$5:$A$84,0)-1)),"")</f>
        <v>1</v>
      </c>
      <c r="BU51" s="42" t="n">
        <f aca="false">IFERROR(IF(MATCH(G51,周线!$A$5:$A$84,0)&lt;=1,"",INDEX(周线!$U$5:$U$84,MATCH(G51,周线!$A$5:$A$84,0)-1)),"")</f>
        <v>1</v>
      </c>
      <c r="BV51" s="42" t="n">
        <f aca="false">IF(AND(BS51=1,S51&lt;&gt;-1,V51&lt;0,BO51=1,E51&lt;=H51,E51&gt;=AJ51),1,0)</f>
        <v>0</v>
      </c>
      <c r="BW51" s="42" t="n">
        <f aca="false">BL51</f>
        <v>0</v>
      </c>
      <c r="BX51" s="42" t="n">
        <f aca="false">BQ51</f>
        <v>0</v>
      </c>
      <c r="BY51" s="42" t="n">
        <f aca="false">IF(BS51=1,10,0)+IF(BU51=1,5,IF(BU51=-1,0,3))+IF(BT51=1,5,0)+IF(AND(AE51&gt;AF51,AH51&gt;AH50),5,0)</f>
        <v>20</v>
      </c>
      <c r="BZ51" s="42" t="n">
        <f aca="false">IF(AND(E51&lt;=H51,E51&gt;=I51),10,IF(AND(E51&gt;=AJ51,E51&lt;I51),6,0))+IF(AND(V51&lt;0,BO51=1),8,0)+IF(AT51&lt;30,7,IF(AT51&lt;50,3,0))</f>
        <v>13</v>
      </c>
      <c r="CA51" s="42" t="n">
        <f aca="false">IF(AND(BV51=1,BW51=1),25,IF(BW51=1,22,IF(BV51=1,15,IF(BX51=1,12,0))))</f>
        <v>0</v>
      </c>
      <c r="CB51" s="42" t="n">
        <f aca="false">IF(W51&gt;0,6,0)+IF(F51&lt;BR51,4,0)</f>
        <v>0</v>
      </c>
      <c r="CC51" s="42" t="n">
        <f aca="false">IF(BC51&gt;=3,15,IF(BC51&gt;=p_RRmin,10,IF(BC51&gt;=1.5,4,0)))</f>
        <v>15</v>
      </c>
      <c r="CD51" s="42" t="n">
        <f aca="false">BY51+BZ51+CA51+CB51+CC51</f>
        <v>48</v>
      </c>
      <c r="CE51" s="42" t="n">
        <f aca="false">IF(AND(BS51&lt;&gt;1,BW51+BX51=0),1,0)</f>
        <v>0</v>
      </c>
      <c r="CF51" s="42" t="n">
        <f aca="false">IF(BU51=-1,1,0)</f>
        <v>0</v>
      </c>
      <c r="CG51" s="42" t="n">
        <f aca="false">IF(S51=-1,1,0)</f>
        <v>1</v>
      </c>
      <c r="CH51" s="42" t="n">
        <f aca="false">IF(BV51+BW51+BX51=0,1,0)</f>
        <v>1</v>
      </c>
      <c r="CI51" s="42" t="n">
        <f aca="false">IF(BC51&lt;p_RRmin,1,0)</f>
        <v>0</v>
      </c>
      <c r="CJ51" s="46" t="str">
        <f aca="false">IF(SUM(CE51:CI51)=0,IF(CD51&gt;=p_GradeA,"A",IF(CD51&gt;=p_GradeB,"B","C")),IF(AND(CI51=1,SUM(CE51:CH51)=0,CD51&gt;=p_GradeB),"B","C"))</f>
        <v>C</v>
      </c>
    </row>
    <row r="52" customFormat="false" ht="15" hidden="false" customHeight="false" outlineLevel="0" collapsed="false">
      <c r="A52" s="36" t="n">
        <v>45726</v>
      </c>
      <c r="B52" s="37" t="n">
        <v>23.41</v>
      </c>
      <c r="C52" s="37" t="n">
        <v>23.56</v>
      </c>
      <c r="D52" s="37" t="n">
        <v>23.24</v>
      </c>
      <c r="E52" s="37" t="n">
        <v>23.39</v>
      </c>
      <c r="F52" s="38" t="n">
        <v>2962600</v>
      </c>
      <c r="G52" s="39" t="n">
        <f aca="false">A52-WEEKDAY(A52,3)</f>
        <v>45726</v>
      </c>
      <c r="H52" s="40" t="n">
        <f aca="false">2/(p_EmaF+1)*E52+(1-2/(p_EmaF+1))*H51</f>
        <v>24.0143743139605</v>
      </c>
      <c r="I52" s="40" t="n">
        <f aca="false">2/(p_EmaS+1)*E52+(1-2/(p_EmaS+1))*I51</f>
        <v>23.6364808883763</v>
      </c>
      <c r="J52" s="41" t="n">
        <f aca="false">2/(p_MacdF+1)*E52+(1-2/(p_MacdF+1))*J51</f>
        <v>24.0169130838868</v>
      </c>
      <c r="K52" s="41" t="n">
        <f aca="false">2/(p_MacdS+1)*E52+(1-2/(p_MacdS+1))*K51</f>
        <v>23.6364808883763</v>
      </c>
      <c r="L52" s="41" t="n">
        <f aca="false">J52-K52</f>
        <v>0.380432195510455</v>
      </c>
      <c r="M52" s="41" t="n">
        <f aca="false">2/(p_MacdSig+1)*L52+(1-2/(p_MacdSig+1))*M51</f>
        <v>0.647533159783672</v>
      </c>
      <c r="N52" s="41" t="n">
        <f aca="false">L52-M52</f>
        <v>-0.267100964273217</v>
      </c>
      <c r="O52" s="42" t="n">
        <f aca="false">IF(H52&gt;H51,1,0)</f>
        <v>0</v>
      </c>
      <c r="P52" s="42" t="n">
        <f aca="false">IF(H52&lt;H51,1,0)</f>
        <v>1</v>
      </c>
      <c r="Q52" s="42" t="n">
        <f aca="false">IF(N52&gt;N51,1,0)</f>
        <v>0</v>
      </c>
      <c r="R52" s="42" t="n">
        <f aca="false">IF(N52&lt;N51,1,0)</f>
        <v>1</v>
      </c>
      <c r="S52" s="42" t="n">
        <f aca="false">IF(AND(O52=1,Q52=1),1,IF(AND(P52=1,R52=1),-1,0))</f>
        <v>-1</v>
      </c>
      <c r="T52" s="43" t="str">
        <f aca="false">IF(S52=1,"绿",IF(S52=-1,"红","蓝"))</f>
        <v>红</v>
      </c>
      <c r="U52" s="44" t="n">
        <f aca="false">F52*(E52-E51)</f>
        <v>88878.0000000034</v>
      </c>
      <c r="V52" s="44" t="n">
        <f aca="false">2/(p_FiS+1)*U52+(1-2/(p_FiS+1))*V51</f>
        <v>-684777.978615206</v>
      </c>
      <c r="W52" s="44" t="n">
        <f aca="false">2/(p_FiL+1)*U52+(1-2/(p_FiL+1))*W51</f>
        <v>-444445.375499818</v>
      </c>
      <c r="X52" s="41" t="n">
        <f aca="false">MAX(C52-D52,ABS(C52-E51),ABS(D52-E51))</f>
        <v>0.32</v>
      </c>
      <c r="Y52" s="41" t="n">
        <f aca="true">AVERAGE(OFFSET(X52,1-MIN(p_AtrN,ROW()-4),0,MIN(p_AtrN,ROW()-4),1))</f>
        <v>0.514615384615385</v>
      </c>
      <c r="Z52" s="41" t="n">
        <f aca="false">IF(AND(C52-C51&gt;D51-D52,C52-C51&gt;0),C52-C51,0)</f>
        <v>0</v>
      </c>
      <c r="AA52" s="41" t="n">
        <f aca="false">IF(AND(D51-D52&gt;C52-C51,D51-D52&gt;0),D51-D52,0)</f>
        <v>0.0300000000000011</v>
      </c>
      <c r="AB52" s="41" t="n">
        <f aca="false">2/(p_AdxN+1)*X52+(1-2/(p_AdxN+1))*AB51</f>
        <v>0.544575496447758</v>
      </c>
      <c r="AC52" s="41" t="n">
        <f aca="false">2/(p_AdxN+1)*Z52+(1-2/(p_AdxN+1))*AC51</f>
        <v>0.0503525692719005</v>
      </c>
      <c r="AD52" s="41" t="n">
        <f aca="false">2/(p_AdxN+1)*AA52+(1-2/(p_AdxN+1))*AD51</f>
        <v>0.164772355721671</v>
      </c>
      <c r="AE52" s="45" t="n">
        <f aca="false">100*AC52/AB52</f>
        <v>9.24620545734211</v>
      </c>
      <c r="AF52" s="45" t="n">
        <f aca="false">100*AD52/AB52</f>
        <v>30.2570271333312</v>
      </c>
      <c r="AG52" s="45" t="n">
        <f aca="false">IFERROR(100*ABS(AE52-AF52)/(AE52+AF52),0)</f>
        <v>53.1876008571251</v>
      </c>
      <c r="AH52" s="45" t="n">
        <f aca="false">2/(p_AdxN+1)*AG52+(1-2/(p_AdxN+1))*AH51</f>
        <v>41.5958200673642</v>
      </c>
      <c r="AI52" s="40" t="n">
        <f aca="false">I52*(1+p_ChPct)</f>
        <v>25.0546697416789</v>
      </c>
      <c r="AJ52" s="40" t="n">
        <f aca="false">I52*(1-p_ChPct)</f>
        <v>22.2182920350738</v>
      </c>
      <c r="AK52" s="40" t="n">
        <f aca="false">I52+1*Y52</f>
        <v>24.1510962729917</v>
      </c>
      <c r="AL52" s="40" t="n">
        <f aca="false">I52+2*Y52</f>
        <v>24.6657116576071</v>
      </c>
      <c r="AM52" s="40" t="n">
        <f aca="false">I52+3*Y52</f>
        <v>25.1803270422225</v>
      </c>
      <c r="AN52" s="40" t="n">
        <f aca="false">I52-1*Y52</f>
        <v>23.121865503761</v>
      </c>
      <c r="AO52" s="40" t="n">
        <f aca="false">I52-2*Y52</f>
        <v>22.6072501191456</v>
      </c>
      <c r="AP52" s="40" t="n">
        <f aca="false">I52-3*Y52</f>
        <v>22.0926347345302</v>
      </c>
      <c r="AQ52" s="40" t="n">
        <f aca="true">MAX(OFFSET(C52,1-MIN(p_StochN,ROW()-4),0,MIN(p_StochN,ROW()-4),1))</f>
        <v>24.82</v>
      </c>
      <c r="AR52" s="40" t="n">
        <f aca="true">MIN(OFFSET(D52,1-MIN(p_StochN,ROW()-4),0,MIN(p_StochN,ROW()-4),1))</f>
        <v>23.24</v>
      </c>
      <c r="AS52" s="45" t="n">
        <f aca="false">IF(AQ52=AR52,50,100*(E52-AR52)/(AQ52-AR52))</f>
        <v>9.49367088607607</v>
      </c>
      <c r="AT52" s="45" t="n">
        <f aca="true">AVERAGE(OFFSET(AS52,1-MIN(p_StochSm,ROW()-4),0,MIN(p_StochSm,ROW()-4),1))</f>
        <v>9.99005201153037</v>
      </c>
      <c r="AU52" s="45" t="n">
        <f aca="true">AVERAGE(OFFSET(AT52,1-MIN(p_StochSm,ROW()-4),0,MIN(p_StochSm,ROW()-4),1))</f>
        <v>14.1955241464785</v>
      </c>
      <c r="AV52" s="41" t="n">
        <f aca="false">MAX(0,H52-D52)</f>
        <v>0.774374313960507</v>
      </c>
      <c r="AW52" s="41" t="n">
        <f aca="true">IF(COUNTIF(OFFSET(AV52,1-MIN(p_PenLb,ROW()-4),0,MIN(p_PenLb,ROW()-4),1),"&gt;0")&gt;0,SUM(OFFSET(AV52,1-MIN(p_PenLb,ROW()-4),0,MIN(p_PenLb,ROW()-4),1))/COUNTIF(OFFSET(AV52,1-MIN(p_PenLb,ROW()-4),0,MIN(p_PenLb,ROW()-4),1),"&gt;0"),0.5*Y52)</f>
        <v>0.60540927884995</v>
      </c>
      <c r="AX52" s="41" t="n">
        <f aca="false">2*H52-H51</f>
        <v>23.9103119283004</v>
      </c>
      <c r="AY52" s="40" t="n">
        <f aca="false">ROUND(MAX(AX52-AW52,0.01),2)</f>
        <v>23.3</v>
      </c>
      <c r="AZ52" s="40" t="n">
        <f aca="true">IF(MIN(p_StopLb,ROW()-4)&lt;2,D52,SMALL(OFFSET(D52,1-MIN(p_StopLb,ROW()-4),0,MIN(p_StopLb,ROW()-4),1),2))</f>
        <v>23.27</v>
      </c>
      <c r="BA52" s="40" t="n">
        <f aca="false">IF(MOD(ROUND(ROUNDDOWN(MIN(AZ52-0.01,AY52-p_StopAtr*Y52),2)*100,0),50)=0,ROUNDDOWN(MIN(AZ52-0.01,AY52-p_StopAtr*Y52),2)-0.01,ROUNDDOWN(MIN(AZ52-0.01,AY52-p_StopAtr*Y52),2))</f>
        <v>22.78</v>
      </c>
      <c r="BB52" s="40" t="n">
        <f aca="false">ROUND(AI52,2)</f>
        <v>25.05</v>
      </c>
      <c r="BC52" s="40" t="n">
        <f aca="false">IF(AY52-BA52&gt;0,(BB52-AY52)/(AY52-BA52),0)</f>
        <v>3.36538461538462</v>
      </c>
      <c r="BD52" s="42" t="n">
        <f aca="false">IF(N52&lt;0,1,0)</f>
        <v>1</v>
      </c>
      <c r="BE52" s="41" t="n">
        <f aca="false">IF(AND(BD52=1,BD51=0),N52,IF(BD52=1,MIN(BE51,N52),BE51))</f>
        <v>-0.267100964273217</v>
      </c>
      <c r="BF52" s="40" t="n">
        <f aca="false">IF(AND(BD52=1,BD51=0),D52,IF(BD52=1,MIN(BF51,D52),BF51))</f>
        <v>23.24</v>
      </c>
      <c r="BG52" s="42" t="n">
        <f aca="false">IF(AND(BD52=1,BD51=0),ROW(),IF(BD52=1,IF(N52&lt;BE51,ROW(),BG51),BG51))</f>
        <v>52</v>
      </c>
      <c r="BH52" s="41" t="n">
        <f aca="false">IF(AND(BD52=1,BD51=0),BE51,BH51)</f>
        <v>-0.0234128043712021</v>
      </c>
      <c r="BI52" s="40" t="n">
        <f aca="false">IF(AND(BD52=1,BD51=0),BF51,BI51)</f>
        <v>19.42</v>
      </c>
      <c r="BJ52" s="42" t="n">
        <f aca="false">IF(AND(BD52=1,BD51=0),BG51,BJ51)</f>
        <v>10</v>
      </c>
      <c r="BK52" s="42" t="n">
        <f aca="false">IF(AND(ISNUMBER(BG52),ISNUMBER(BJ52)),BG52-BJ52,"")</f>
        <v>42</v>
      </c>
      <c r="BL52" s="42" t="n">
        <f aca="false">IF(AND(BD52=1,N52&gt;N51,ISNUMBER(BH52),ISNUMBER(BK52)),IF(AND(BE52&gt;BH52,BF52&lt;BI52,BK52&gt;=p_GapMin,BK52&lt;=p_GapMax),1,0),0)</f>
        <v>0</v>
      </c>
      <c r="BM52" s="42" t="n">
        <f aca="false">IF(AND(BL52=1,E52&gt;BI52),1,0)</f>
        <v>0</v>
      </c>
      <c r="BN52" s="42" t="n">
        <f aca="false">IF(BL52=1,IF(BE52&gt;=BH52*0.5,1,0),0)</f>
        <v>0</v>
      </c>
      <c r="BO52" s="42" t="n">
        <f aca="true">IF(V52&gt;MIN(OFFSET(V52,-MIN(p_FiLb-1,ROW()-5),0,MIN(p_FiLb-1,ROW()-5),1)),1,0)</f>
        <v>1</v>
      </c>
      <c r="BP52" s="44" t="n">
        <f aca="true">IF(COUNTIF(OFFSET(V52,1-MIN(100,ROW()-4),0,MIN(100,ROW()-4),1),"&lt;0")&gt;=5,AVERAGEIF(OFFSET(V52,1-MIN(100,ROW()-4),0,MIN(100,ROW()-4),1),"&lt;0"),"")</f>
        <v>-598779.707974002</v>
      </c>
      <c r="BQ52" s="42" t="n">
        <f aca="false">IF(ISNUMBER(BP52),IF(AND(V52&lt;5*BP52,V52&gt;V51,E52&lt;AJ52),1,0),0)</f>
        <v>0</v>
      </c>
      <c r="BR52" s="44" t="n">
        <f aca="true">AVERAGE(OFFSET(F52,1-MIN(5,ROW()-4),0,MIN(5,ROW()-4),1))</f>
        <v>3810520</v>
      </c>
      <c r="BS52" s="42" t="n">
        <f aca="false">IFERROR(IF(MATCH(G52,周线!$A$5:$A$84,0)&lt;=1,"",INDEX(周线!$R$5:$R$84,MATCH(G52,周线!$A$5:$A$84,0)-1)),"")</f>
        <v>1</v>
      </c>
      <c r="BT52" s="42" t="n">
        <f aca="false">IFERROR(IF(MATCH(G52,周线!$A$5:$A$84,0)&lt;=1,"",INDEX(周线!$S$5:$S$84,MATCH(G52,周线!$A$5:$A$84,0)-1)),"")</f>
        <v>0</v>
      </c>
      <c r="BU52" s="42" t="n">
        <f aca="false">IFERROR(IF(MATCH(G52,周线!$A$5:$A$84,0)&lt;=1,"",INDEX(周线!$U$5:$U$84,MATCH(G52,周线!$A$5:$A$84,0)-1)),"")</f>
        <v>0</v>
      </c>
      <c r="BV52" s="42" t="n">
        <f aca="false">IF(AND(BS52=1,S52&lt;&gt;-1,V52&lt;0,BO52=1,E52&lt;=H52,E52&gt;=AJ52),1,0)</f>
        <v>0</v>
      </c>
      <c r="BW52" s="42" t="n">
        <f aca="false">BL52</f>
        <v>0</v>
      </c>
      <c r="BX52" s="42" t="n">
        <f aca="false">BQ52</f>
        <v>0</v>
      </c>
      <c r="BY52" s="42" t="n">
        <f aca="false">IF(BS52=1,10,0)+IF(BU52=1,5,IF(BU52=-1,0,3))+IF(BT52=1,5,0)+IF(AND(AE52&gt;AF52,AH52&gt;AH51),5,0)</f>
        <v>13</v>
      </c>
      <c r="BZ52" s="42" t="n">
        <f aca="false">IF(AND(E52&lt;=H52,E52&gt;=I52),10,IF(AND(E52&gt;=AJ52,E52&lt;I52),6,0))+IF(AND(V52&lt;0,BO52=1),8,0)+IF(AT52&lt;30,7,IF(AT52&lt;50,3,0))</f>
        <v>21</v>
      </c>
      <c r="CA52" s="42" t="n">
        <f aca="false">IF(AND(BV52=1,BW52=1),25,IF(BW52=1,22,IF(BV52=1,15,IF(BX52=1,12,0))))</f>
        <v>0</v>
      </c>
      <c r="CB52" s="42" t="n">
        <f aca="false">IF(W52&gt;0,6,0)+IF(F52&lt;BR52,4,0)</f>
        <v>4</v>
      </c>
      <c r="CC52" s="42" t="n">
        <f aca="false">IF(BC52&gt;=3,15,IF(BC52&gt;=p_RRmin,10,IF(BC52&gt;=1.5,4,0)))</f>
        <v>15</v>
      </c>
      <c r="CD52" s="42" t="n">
        <f aca="false">BY52+BZ52+CA52+CB52+CC52</f>
        <v>53</v>
      </c>
      <c r="CE52" s="42" t="n">
        <f aca="false">IF(AND(BS52&lt;&gt;1,BW52+BX52=0),1,0)</f>
        <v>0</v>
      </c>
      <c r="CF52" s="42" t="n">
        <f aca="false">IF(BU52=-1,1,0)</f>
        <v>0</v>
      </c>
      <c r="CG52" s="42" t="n">
        <f aca="false">IF(S52=-1,1,0)</f>
        <v>1</v>
      </c>
      <c r="CH52" s="42" t="n">
        <f aca="false">IF(BV52+BW52+BX52=0,1,0)</f>
        <v>1</v>
      </c>
      <c r="CI52" s="42" t="n">
        <f aca="false">IF(BC52&lt;p_RRmin,1,0)</f>
        <v>0</v>
      </c>
      <c r="CJ52" s="46" t="str">
        <f aca="false">IF(SUM(CE52:CI52)=0,IF(CD52&gt;=p_GradeA,"A",IF(CD52&gt;=p_GradeB,"B","C")),IF(AND(CI52=1,SUM(CE52:CH52)=0,CD52&gt;=p_GradeB),"B","C"))</f>
        <v>C</v>
      </c>
    </row>
    <row r="53" customFormat="false" ht="15" hidden="false" customHeight="false" outlineLevel="0" collapsed="false">
      <c r="A53" s="36" t="n">
        <v>45727</v>
      </c>
      <c r="B53" s="37" t="n">
        <v>23.45</v>
      </c>
      <c r="C53" s="37" t="n">
        <v>24.05</v>
      </c>
      <c r="D53" s="37" t="n">
        <v>23.36</v>
      </c>
      <c r="E53" s="37" t="n">
        <v>23.97</v>
      </c>
      <c r="F53" s="38" t="n">
        <v>4200200</v>
      </c>
      <c r="G53" s="39" t="n">
        <f aca="false">A53-WEEKDAY(A53,3)</f>
        <v>45726</v>
      </c>
      <c r="H53" s="40" t="n">
        <f aca="false">2/(p_EmaF+1)*E53+(1-2/(p_EmaF+1))*H52</f>
        <v>24.0080351262519</v>
      </c>
      <c r="I53" s="40" t="n">
        <f aca="false">2/(p_EmaS+1)*E53+(1-2/(p_EmaS+1))*I52</f>
        <v>23.6611860077559</v>
      </c>
      <c r="J53" s="41" t="n">
        <f aca="false">2/(p_MacdF+1)*E53+(1-2/(p_MacdF+1))*J52</f>
        <v>24.0096956863658</v>
      </c>
      <c r="K53" s="41" t="n">
        <f aca="false">2/(p_MacdS+1)*E53+(1-2/(p_MacdS+1))*K52</f>
        <v>23.6611860077559</v>
      </c>
      <c r="L53" s="41" t="n">
        <f aca="false">J53-K53</f>
        <v>0.348509678609883</v>
      </c>
      <c r="M53" s="41" t="n">
        <f aca="false">2/(p_MacdSig+1)*L53+(1-2/(p_MacdSig+1))*M52</f>
        <v>0.587728463548914</v>
      </c>
      <c r="N53" s="41" t="n">
        <f aca="false">L53-M53</f>
        <v>-0.239218784939031</v>
      </c>
      <c r="O53" s="42" t="n">
        <f aca="false">IF(H53&gt;H52,1,0)</f>
        <v>0</v>
      </c>
      <c r="P53" s="42" t="n">
        <f aca="false">IF(H53&lt;H52,1,0)</f>
        <v>1</v>
      </c>
      <c r="Q53" s="42" t="n">
        <f aca="false">IF(N53&gt;N52,1,0)</f>
        <v>1</v>
      </c>
      <c r="R53" s="42" t="n">
        <f aca="false">IF(N53&lt;N52,1,0)</f>
        <v>0</v>
      </c>
      <c r="S53" s="42" t="n">
        <f aca="false">IF(AND(O53=1,Q53=1),1,IF(AND(P53=1,R53=1),-1,0))</f>
        <v>0</v>
      </c>
      <c r="T53" s="43" t="str">
        <f aca="false">IF(S53=1,"绿",IF(S53=-1,"红","蓝"))</f>
        <v>蓝</v>
      </c>
      <c r="U53" s="44" t="n">
        <f aca="false">F53*(E53-E52)</f>
        <v>2436115.99999999</v>
      </c>
      <c r="V53" s="44" t="n">
        <f aca="false">2/(p_FiS+1)*U53+(1-2/(p_FiS+1))*V52</f>
        <v>1395818.00712826</v>
      </c>
      <c r="W53" s="44" t="n">
        <f aca="false">2/(p_FiL+1)*U53+(1-2/(p_FiL+1))*W52</f>
        <v>-32936.6075712734</v>
      </c>
      <c r="X53" s="41" t="n">
        <f aca="false">MAX(C53-D53,ABS(C53-E52),ABS(D53-E52))</f>
        <v>0.690000000000001</v>
      </c>
      <c r="Y53" s="41" t="n">
        <f aca="true">AVERAGE(OFFSET(X53,1-MIN(p_AtrN,ROW()-4),0,MIN(p_AtrN,ROW()-4),1))</f>
        <v>0.536923076923078</v>
      </c>
      <c r="Z53" s="41" t="n">
        <f aca="false">IF(AND(C53-C52&gt;D52-D53,C53-C52&gt;0),C53-C52,0)</f>
        <v>0.490000000000002</v>
      </c>
      <c r="AA53" s="41" t="n">
        <f aca="false">IF(AND(D52-D53&gt;C53-C52,D52-D53&gt;0),D52-D53,0)</f>
        <v>0</v>
      </c>
      <c r="AB53" s="41" t="n">
        <f aca="false">2/(p_AdxN+1)*X53+(1-2/(p_AdxN+1))*AB52</f>
        <v>0.56535042552665</v>
      </c>
      <c r="AC53" s="41" t="n">
        <f aca="false">2/(p_AdxN+1)*Z53+(1-2/(p_AdxN+1))*AC52</f>
        <v>0.113159345090201</v>
      </c>
      <c r="AD53" s="41" t="n">
        <f aca="false">2/(p_AdxN+1)*AA53+(1-2/(p_AdxN+1))*AD52</f>
        <v>0.141233447761432</v>
      </c>
      <c r="AE53" s="45" t="n">
        <f aca="false">100*AC53/AB53</f>
        <v>20.0157884350733</v>
      </c>
      <c r="AF53" s="45" t="n">
        <f aca="false">100*AD53/AB53</f>
        <v>24.9815762727811</v>
      </c>
      <c r="AG53" s="45" t="n">
        <f aca="false">IFERROR(100*ABS(AE53-AF53)/(AE53+AF53),0)</f>
        <v>11.0357303587626</v>
      </c>
      <c r="AH53" s="45" t="n">
        <f aca="false">2/(p_AdxN+1)*AG53+(1-2/(p_AdxN+1))*AH52</f>
        <v>37.2300929661354</v>
      </c>
      <c r="AI53" s="40" t="n">
        <f aca="false">I53*(1+p_ChPct)</f>
        <v>25.0808571682212</v>
      </c>
      <c r="AJ53" s="40" t="n">
        <f aca="false">I53*(1-p_ChPct)</f>
        <v>22.2415148472905</v>
      </c>
      <c r="AK53" s="40" t="n">
        <f aca="false">I53+1*Y53</f>
        <v>24.1981090846789</v>
      </c>
      <c r="AL53" s="40" t="n">
        <f aca="false">I53+2*Y53</f>
        <v>24.735032161602</v>
      </c>
      <c r="AM53" s="40" t="n">
        <f aca="false">I53+3*Y53</f>
        <v>25.2719552385251</v>
      </c>
      <c r="AN53" s="40" t="n">
        <f aca="false">I53-1*Y53</f>
        <v>23.1242629308328</v>
      </c>
      <c r="AO53" s="40" t="n">
        <f aca="false">I53-2*Y53</f>
        <v>22.5873398539097</v>
      </c>
      <c r="AP53" s="40" t="n">
        <f aca="false">I53-3*Y53</f>
        <v>22.0504167769866</v>
      </c>
      <c r="AQ53" s="40" t="n">
        <f aca="true">MAX(OFFSET(C53,1-MIN(p_StochN,ROW()-4),0,MIN(p_StochN,ROW()-4),1))</f>
        <v>24.62</v>
      </c>
      <c r="AR53" s="40" t="n">
        <f aca="true">MIN(OFFSET(D53,1-MIN(p_StochN,ROW()-4),0,MIN(p_StochN,ROW()-4),1))</f>
        <v>23.24</v>
      </c>
      <c r="AS53" s="45" t="n">
        <f aca="false">IF(AQ53=AR53,50,100*(E53-AR53)/(AQ53-AR53))</f>
        <v>52.8985507246376</v>
      </c>
      <c r="AT53" s="45" t="n">
        <f aca="true">AVERAGE(OFFSET(AS53,1-MIN(p_StochSm,ROW()-4),0,MIN(p_StochSm,ROW()-4),1))</f>
        <v>22.6724072035712</v>
      </c>
      <c r="AU53" s="45" t="n">
        <f aca="true">AVERAGE(OFFSET(AT53,1-MIN(p_StochSm,ROW()-4),0,MIN(p_StochSm,ROW()-4),1))</f>
        <v>14.8128164380372</v>
      </c>
      <c r="AV53" s="41" t="n">
        <f aca="false">MAX(0,H53-D53)</f>
        <v>0.648035126251862</v>
      </c>
      <c r="AW53" s="41" t="n">
        <f aca="true">IF(COUNTIF(OFFSET(AV53,1-MIN(p_PenLb,ROW()-4),0,MIN(p_PenLb,ROW()-4),1),"&gt;0")&gt;0,SUM(OFFSET(AV53,1-MIN(p_PenLb,ROW()-4),0,MIN(p_PenLb,ROW()-4),1))/COUNTIF(OFFSET(AV53,1-MIN(p_PenLb,ROW()-4),0,MIN(p_PenLb,ROW()-4),1),"&gt;0"),0.5*Y53)</f>
        <v>0.613934448330333</v>
      </c>
      <c r="AX53" s="41" t="n">
        <f aca="false">2*H53-H52</f>
        <v>24.0016959385432</v>
      </c>
      <c r="AY53" s="40" t="n">
        <f aca="false">ROUND(MAX(AX53-AW53,0.01),2)</f>
        <v>23.39</v>
      </c>
      <c r="AZ53" s="40" t="n">
        <f aca="true">IF(MIN(p_StopLb,ROW()-4)&lt;2,D53,SMALL(OFFSET(D53,1-MIN(p_StopLb,ROW()-4),0,MIN(p_StopLb,ROW()-4),1),2))</f>
        <v>23.27</v>
      </c>
      <c r="BA53" s="40" t="n">
        <f aca="false">IF(MOD(ROUND(ROUNDDOWN(MIN(AZ53-0.01,AY53-p_StopAtr*Y53),2)*100,0),50)=0,ROUNDDOWN(MIN(AZ53-0.01,AY53-p_StopAtr*Y53),2)-0.01,ROUNDDOWN(MIN(AZ53-0.01,AY53-p_StopAtr*Y53),2))</f>
        <v>22.85</v>
      </c>
      <c r="BB53" s="40" t="n">
        <f aca="false">ROUND(AI53,2)</f>
        <v>25.08</v>
      </c>
      <c r="BC53" s="40" t="n">
        <f aca="false">IF(AY53-BA53&gt;0,(BB53-AY53)/(AY53-BA53),0)</f>
        <v>3.12962962962963</v>
      </c>
      <c r="BD53" s="42" t="n">
        <f aca="false">IF(N53&lt;0,1,0)</f>
        <v>1</v>
      </c>
      <c r="BE53" s="41" t="n">
        <f aca="false">IF(AND(BD53=1,BD52=0),N53,IF(BD53=1,MIN(BE52,N53),BE52))</f>
        <v>-0.267100964273217</v>
      </c>
      <c r="BF53" s="40" t="n">
        <f aca="false">IF(AND(BD53=1,BD52=0),D53,IF(BD53=1,MIN(BF52,D53),BF52))</f>
        <v>23.24</v>
      </c>
      <c r="BG53" s="42" t="n">
        <f aca="false">IF(AND(BD53=1,BD52=0),ROW(),IF(BD53=1,IF(N53&lt;BE52,ROW(),BG52),BG52))</f>
        <v>52</v>
      </c>
      <c r="BH53" s="41" t="n">
        <f aca="false">IF(AND(BD53=1,BD52=0),BE52,BH52)</f>
        <v>-0.0234128043712021</v>
      </c>
      <c r="BI53" s="40" t="n">
        <f aca="false">IF(AND(BD53=1,BD52=0),BF52,BI52)</f>
        <v>19.42</v>
      </c>
      <c r="BJ53" s="42" t="n">
        <f aca="false">IF(AND(BD53=1,BD52=0),BG52,BJ52)</f>
        <v>10</v>
      </c>
      <c r="BK53" s="42" t="n">
        <f aca="false">IF(AND(ISNUMBER(BG53),ISNUMBER(BJ53)),BG53-BJ53,"")</f>
        <v>42</v>
      </c>
      <c r="BL53" s="42" t="n">
        <f aca="false">IF(AND(BD53=1,N53&gt;N52,ISNUMBER(BH53),ISNUMBER(BK53)),IF(AND(BE53&gt;BH53,BF53&lt;BI53,BK53&gt;=p_GapMin,BK53&lt;=p_GapMax),1,0),0)</f>
        <v>0</v>
      </c>
      <c r="BM53" s="42" t="n">
        <f aca="false">IF(AND(BL53=1,E53&gt;BI53),1,0)</f>
        <v>0</v>
      </c>
      <c r="BN53" s="42" t="n">
        <f aca="false">IF(BL53=1,IF(BE53&gt;=BH53*0.5,1,0),0)</f>
        <v>0</v>
      </c>
      <c r="BO53" s="42" t="n">
        <f aca="true">IF(V53&gt;MIN(OFFSET(V53,-MIN(p_FiLb-1,ROW()-5),0,MIN(p_FiLb-1,ROW()-5),1)),1,0)</f>
        <v>1</v>
      </c>
      <c r="BP53" s="44" t="n">
        <f aca="true">IF(COUNTIF(OFFSET(V53,1-MIN(100,ROW()-4),0,MIN(100,ROW()-4),1),"&lt;0")&gt;=5,AVERAGEIF(OFFSET(V53,1-MIN(100,ROW()-4),0,MIN(100,ROW()-4),1),"&lt;0"),"")</f>
        <v>-598779.707974002</v>
      </c>
      <c r="BQ53" s="42" t="n">
        <f aca="false">IF(ISNUMBER(BP53),IF(AND(V53&lt;5*BP53,V53&gt;V52,E53&lt;AJ53),1,0),0)</f>
        <v>0</v>
      </c>
      <c r="BR53" s="44" t="n">
        <f aca="true">AVERAGE(OFFSET(F53,1-MIN(5,ROW()-4),0,MIN(5,ROW()-4),1))</f>
        <v>3828720</v>
      </c>
      <c r="BS53" s="42" t="n">
        <f aca="false">IFERROR(IF(MATCH(G53,周线!$A$5:$A$84,0)&lt;=1,"",INDEX(周线!$R$5:$R$84,MATCH(G53,周线!$A$5:$A$84,0)-1)),"")</f>
        <v>1</v>
      </c>
      <c r="BT53" s="42" t="n">
        <f aca="false">IFERROR(IF(MATCH(G53,周线!$A$5:$A$84,0)&lt;=1,"",INDEX(周线!$S$5:$S$84,MATCH(G53,周线!$A$5:$A$84,0)-1)),"")</f>
        <v>0</v>
      </c>
      <c r="BU53" s="42" t="n">
        <f aca="false">IFERROR(IF(MATCH(G53,周线!$A$5:$A$84,0)&lt;=1,"",INDEX(周线!$U$5:$U$84,MATCH(G53,周线!$A$5:$A$84,0)-1)),"")</f>
        <v>0</v>
      </c>
      <c r="BV53" s="42" t="n">
        <f aca="false">IF(AND(BS53=1,S53&lt;&gt;-1,V53&lt;0,BO53=1,E53&lt;=H53,E53&gt;=AJ53),1,0)</f>
        <v>0</v>
      </c>
      <c r="BW53" s="42" t="n">
        <f aca="false">BL53</f>
        <v>0</v>
      </c>
      <c r="BX53" s="42" t="n">
        <f aca="false">BQ53</f>
        <v>0</v>
      </c>
      <c r="BY53" s="42" t="n">
        <f aca="false">IF(BS53=1,10,0)+IF(BU53=1,5,IF(BU53=-1,0,3))+IF(BT53=1,5,0)+IF(AND(AE53&gt;AF53,AH53&gt;AH52),5,0)</f>
        <v>13</v>
      </c>
      <c r="BZ53" s="42" t="n">
        <f aca="false">IF(AND(E53&lt;=H53,E53&gt;=I53),10,IF(AND(E53&gt;=AJ53,E53&lt;I53),6,0))+IF(AND(V53&lt;0,BO53=1),8,0)+IF(AT53&lt;30,7,IF(AT53&lt;50,3,0))</f>
        <v>17</v>
      </c>
      <c r="CA53" s="42" t="n">
        <f aca="false">IF(AND(BV53=1,BW53=1),25,IF(BW53=1,22,IF(BV53=1,15,IF(BX53=1,12,0))))</f>
        <v>0</v>
      </c>
      <c r="CB53" s="42" t="n">
        <f aca="false">IF(W53&gt;0,6,0)+IF(F53&lt;BR53,4,0)</f>
        <v>0</v>
      </c>
      <c r="CC53" s="42" t="n">
        <f aca="false">IF(BC53&gt;=3,15,IF(BC53&gt;=p_RRmin,10,IF(BC53&gt;=1.5,4,0)))</f>
        <v>15</v>
      </c>
      <c r="CD53" s="42" t="n">
        <f aca="false">BY53+BZ53+CA53+CB53+CC53</f>
        <v>45</v>
      </c>
      <c r="CE53" s="42" t="n">
        <f aca="false">IF(AND(BS53&lt;&gt;1,BW53+BX53=0),1,0)</f>
        <v>0</v>
      </c>
      <c r="CF53" s="42" t="n">
        <f aca="false">IF(BU53=-1,1,0)</f>
        <v>0</v>
      </c>
      <c r="CG53" s="42" t="n">
        <f aca="false">IF(S53=-1,1,0)</f>
        <v>0</v>
      </c>
      <c r="CH53" s="42" t="n">
        <f aca="false">IF(BV53+BW53+BX53=0,1,0)</f>
        <v>1</v>
      </c>
      <c r="CI53" s="42" t="n">
        <f aca="false">IF(BC53&lt;p_RRmin,1,0)</f>
        <v>0</v>
      </c>
      <c r="CJ53" s="46" t="str">
        <f aca="false">IF(SUM(CE53:CI53)=0,IF(CD53&gt;=p_GradeA,"A",IF(CD53&gt;=p_GradeB,"B","C")),IF(AND(CI53=1,SUM(CE53:CH53)=0,CD53&gt;=p_GradeB),"B","C"))</f>
        <v>C</v>
      </c>
    </row>
    <row r="54" customFormat="false" ht="15" hidden="false" customHeight="false" outlineLevel="0" collapsed="false">
      <c r="A54" s="36" t="n">
        <v>45728</v>
      </c>
      <c r="B54" s="37" t="n">
        <v>24.21</v>
      </c>
      <c r="C54" s="37" t="n">
        <v>24.56</v>
      </c>
      <c r="D54" s="37" t="n">
        <v>24.01</v>
      </c>
      <c r="E54" s="37" t="n">
        <v>24.26</v>
      </c>
      <c r="F54" s="38" t="n">
        <v>4090900</v>
      </c>
      <c r="G54" s="39" t="n">
        <f aca="false">A54-WEEKDAY(A54,3)</f>
        <v>45726</v>
      </c>
      <c r="H54" s="40" t="n">
        <f aca="false">2/(p_EmaF+1)*E54+(1-2/(p_EmaF+1))*H53</f>
        <v>24.0440301082159</v>
      </c>
      <c r="I54" s="40" t="n">
        <f aca="false">2/(p_EmaS+1)*E54+(1-2/(p_EmaS+1))*I53</f>
        <v>23.705542599774</v>
      </c>
      <c r="J54" s="41" t="n">
        <f aca="false">2/(p_MacdF+1)*E54+(1-2/(p_MacdF+1))*J53</f>
        <v>24.0482040423095</v>
      </c>
      <c r="K54" s="41" t="n">
        <f aca="false">2/(p_MacdS+1)*E54+(1-2/(p_MacdS+1))*K53</f>
        <v>23.705542599774</v>
      </c>
      <c r="L54" s="41" t="n">
        <f aca="false">J54-K54</f>
        <v>0.34266144253553</v>
      </c>
      <c r="M54" s="41" t="n">
        <f aca="false">2/(p_MacdSig+1)*L54+(1-2/(p_MacdSig+1))*M53</f>
        <v>0.538715059346237</v>
      </c>
      <c r="N54" s="41" t="n">
        <f aca="false">L54-M54</f>
        <v>-0.196053616810707</v>
      </c>
      <c r="O54" s="42" t="n">
        <f aca="false">IF(H54&gt;H53,1,0)</f>
        <v>1</v>
      </c>
      <c r="P54" s="42" t="n">
        <f aca="false">IF(H54&lt;H53,1,0)</f>
        <v>0</v>
      </c>
      <c r="Q54" s="42" t="n">
        <f aca="false">IF(N54&gt;N53,1,0)</f>
        <v>1</v>
      </c>
      <c r="R54" s="42" t="n">
        <f aca="false">IF(N54&lt;N53,1,0)</f>
        <v>0</v>
      </c>
      <c r="S54" s="42" t="n">
        <f aca="false">IF(AND(O54=1,Q54=1),1,IF(AND(P54=1,R54=1),-1,0))</f>
        <v>1</v>
      </c>
      <c r="T54" s="43" t="str">
        <f aca="false">IF(S54=1,"绿",IF(S54=-1,"红","蓝"))</f>
        <v>绿</v>
      </c>
      <c r="U54" s="44" t="n">
        <f aca="false">F54*(E54-E53)</f>
        <v>1186361.00000001</v>
      </c>
      <c r="V54" s="44" t="n">
        <f aca="false">2/(p_FiS+1)*U54+(1-2/(p_FiS+1))*V53</f>
        <v>1256180.00237609</v>
      </c>
      <c r="W54" s="44" t="n">
        <f aca="false">2/(p_FiL+1)*U54+(1-2/(p_FiL+1))*W53</f>
        <v>141248.76493891</v>
      </c>
      <c r="X54" s="41" t="n">
        <f aca="false">MAX(C54-D54,ABS(C54-E53),ABS(D54-E53))</f>
        <v>0.59</v>
      </c>
      <c r="Y54" s="41" t="n">
        <f aca="true">AVERAGE(OFFSET(X54,1-MIN(p_AtrN,ROW()-4),0,MIN(p_AtrN,ROW()-4),1))</f>
        <v>0.546923076923077</v>
      </c>
      <c r="Z54" s="41" t="n">
        <f aca="false">IF(AND(C54-C53&gt;D53-D54,C54-C53&gt;0),C54-C53,0)</f>
        <v>0.509999999999998</v>
      </c>
      <c r="AA54" s="41" t="n">
        <f aca="false">IF(AND(D53-D54&gt;C54-C53,D53-D54&gt;0),D53-D54,0)</f>
        <v>0</v>
      </c>
      <c r="AB54" s="41" t="n">
        <f aca="false">2/(p_AdxN+1)*X54+(1-2/(p_AdxN+1))*AB53</f>
        <v>0.568871793308557</v>
      </c>
      <c r="AC54" s="41" t="n">
        <f aca="false">2/(p_AdxN+1)*Z54+(1-2/(p_AdxN+1))*AC53</f>
        <v>0.169850867220172</v>
      </c>
      <c r="AD54" s="41" t="n">
        <f aca="false">2/(p_AdxN+1)*AA54+(1-2/(p_AdxN+1))*AD53</f>
        <v>0.121057240938371</v>
      </c>
      <c r="AE54" s="45" t="n">
        <f aca="false">100*AC54/AB54</f>
        <v>29.857494995897</v>
      </c>
      <c r="AF54" s="45" t="n">
        <f aca="false">100*AD54/AB54</f>
        <v>21.2802326222403</v>
      </c>
      <c r="AG54" s="45" t="n">
        <f aca="false">IFERROR(100*ABS(AE54-AF54)/(AE54+AF54),0)</f>
        <v>16.772865696548</v>
      </c>
      <c r="AH54" s="45" t="n">
        <f aca="false">2/(p_AdxN+1)*AG54+(1-2/(p_AdxN+1))*AH53</f>
        <v>34.3076319276229</v>
      </c>
      <c r="AI54" s="40" t="n">
        <f aca="false">I54*(1+p_ChPct)</f>
        <v>25.1278751557604</v>
      </c>
      <c r="AJ54" s="40" t="n">
        <f aca="false">I54*(1-p_ChPct)</f>
        <v>22.2832100437875</v>
      </c>
      <c r="AK54" s="40" t="n">
        <f aca="false">I54+1*Y54</f>
        <v>24.252465676697</v>
      </c>
      <c r="AL54" s="40" t="n">
        <f aca="false">I54+2*Y54</f>
        <v>24.7993887536201</v>
      </c>
      <c r="AM54" s="40" t="n">
        <f aca="false">I54+3*Y54</f>
        <v>25.3463118305432</v>
      </c>
      <c r="AN54" s="40" t="n">
        <f aca="false">I54-1*Y54</f>
        <v>23.1586195228509</v>
      </c>
      <c r="AO54" s="40" t="n">
        <f aca="false">I54-2*Y54</f>
        <v>22.6116964459278</v>
      </c>
      <c r="AP54" s="40" t="n">
        <f aca="false">I54-3*Y54</f>
        <v>22.0647733690047</v>
      </c>
      <c r="AQ54" s="40" t="n">
        <f aca="true">MAX(OFFSET(C54,1-MIN(p_StochN,ROW()-4),0,MIN(p_StochN,ROW()-4),1))</f>
        <v>24.56</v>
      </c>
      <c r="AR54" s="40" t="n">
        <f aca="true">MIN(OFFSET(D54,1-MIN(p_StochN,ROW()-4),0,MIN(p_StochN,ROW()-4),1))</f>
        <v>23.24</v>
      </c>
      <c r="AS54" s="45" t="n">
        <f aca="false">IF(AQ54=AR54,50,100*(E54-AR54)/(AQ54-AR54))</f>
        <v>77.2727272727275</v>
      </c>
      <c r="AT54" s="45" t="n">
        <f aca="true">AVERAGE(OFFSET(AS54,1-MIN(p_StochSm,ROW()-4),0,MIN(p_StochSm,ROW()-4),1))</f>
        <v>46.5549829611471</v>
      </c>
      <c r="AU54" s="45" t="n">
        <f aca="true">AVERAGE(OFFSET(AT54,1-MIN(p_StochSm,ROW()-4),0,MIN(p_StochSm,ROW()-4),1))</f>
        <v>26.4058140587496</v>
      </c>
      <c r="AV54" s="41" t="n">
        <f aca="false">MAX(0,H54-D54)</f>
        <v>0.0340301082158803</v>
      </c>
      <c r="AW54" s="41" t="n">
        <f aca="true">IF(COUNTIF(OFFSET(AV54,1-MIN(p_PenLb,ROW()-4),0,MIN(p_PenLb,ROW()-4),1),"&gt;0")&gt;0,SUM(OFFSET(AV54,1-MIN(p_PenLb,ROW()-4),0,MIN(p_PenLb,ROW()-4),1))/COUNTIF(OFFSET(AV54,1-MIN(p_PenLb,ROW()-4),0,MIN(p_PenLb,ROW()-4),1),"&gt;0"),0.5*Y54)</f>
        <v>0.517283724977924</v>
      </c>
      <c r="AX54" s="41" t="n">
        <f aca="false">2*H54-H53</f>
        <v>24.0800250901799</v>
      </c>
      <c r="AY54" s="40" t="n">
        <f aca="false">ROUND(MAX(AX54-AW54,0.01),2)</f>
        <v>23.56</v>
      </c>
      <c r="AZ54" s="40" t="n">
        <f aca="true">IF(MIN(p_StopLb,ROW()-4)&lt;2,D54,SMALL(OFFSET(D54,1-MIN(p_StopLb,ROW()-4),0,MIN(p_StopLb,ROW()-4),1),2))</f>
        <v>23.27</v>
      </c>
      <c r="BA54" s="40" t="n">
        <f aca="false">IF(MOD(ROUND(ROUNDDOWN(MIN(AZ54-0.01,AY54-p_StopAtr*Y54),2)*100,0),50)=0,ROUNDDOWN(MIN(AZ54-0.01,AY54-p_StopAtr*Y54),2)-0.01,ROUNDDOWN(MIN(AZ54-0.01,AY54-p_StopAtr*Y54),2))</f>
        <v>23.01</v>
      </c>
      <c r="BB54" s="40" t="n">
        <f aca="false">ROUND(AI54,2)</f>
        <v>25.13</v>
      </c>
      <c r="BC54" s="40" t="n">
        <f aca="false">IF(AY54-BA54&gt;0,(BB54-AY54)/(AY54-BA54),0)</f>
        <v>2.85454545454547</v>
      </c>
      <c r="BD54" s="42" t="n">
        <f aca="false">IF(N54&lt;0,1,0)</f>
        <v>1</v>
      </c>
      <c r="BE54" s="41" t="n">
        <f aca="false">IF(AND(BD54=1,BD53=0),N54,IF(BD54=1,MIN(BE53,N54),BE53))</f>
        <v>-0.267100964273217</v>
      </c>
      <c r="BF54" s="40" t="n">
        <f aca="false">IF(AND(BD54=1,BD53=0),D54,IF(BD54=1,MIN(BF53,D54),BF53))</f>
        <v>23.24</v>
      </c>
      <c r="BG54" s="42" t="n">
        <f aca="false">IF(AND(BD54=1,BD53=0),ROW(),IF(BD54=1,IF(N54&lt;BE53,ROW(),BG53),BG53))</f>
        <v>52</v>
      </c>
      <c r="BH54" s="41" t="n">
        <f aca="false">IF(AND(BD54=1,BD53=0),BE53,BH53)</f>
        <v>-0.0234128043712021</v>
      </c>
      <c r="BI54" s="40" t="n">
        <f aca="false">IF(AND(BD54=1,BD53=0),BF53,BI53)</f>
        <v>19.42</v>
      </c>
      <c r="BJ54" s="42" t="n">
        <f aca="false">IF(AND(BD54=1,BD53=0),BG53,BJ53)</f>
        <v>10</v>
      </c>
      <c r="BK54" s="42" t="n">
        <f aca="false">IF(AND(ISNUMBER(BG54),ISNUMBER(BJ54)),BG54-BJ54,"")</f>
        <v>42</v>
      </c>
      <c r="BL54" s="42" t="n">
        <f aca="false">IF(AND(BD54=1,N54&gt;N53,ISNUMBER(BH54),ISNUMBER(BK54)),IF(AND(BE54&gt;BH54,BF54&lt;BI54,BK54&gt;=p_GapMin,BK54&lt;=p_GapMax),1,0),0)</f>
        <v>0</v>
      </c>
      <c r="BM54" s="42" t="n">
        <f aca="false">IF(AND(BL54=1,E54&gt;BI54),1,0)</f>
        <v>0</v>
      </c>
      <c r="BN54" s="42" t="n">
        <f aca="false">IF(BL54=1,IF(BE54&gt;=BH54*0.5,1,0),0)</f>
        <v>0</v>
      </c>
      <c r="BO54" s="42" t="n">
        <f aca="true">IF(V54&gt;MIN(OFFSET(V54,-MIN(p_FiLb-1,ROW()-5),0,MIN(p_FiLb-1,ROW()-5),1)),1,0)</f>
        <v>1</v>
      </c>
      <c r="BP54" s="44" t="n">
        <f aca="true">IF(COUNTIF(OFFSET(V54,1-MIN(100,ROW()-4),0,MIN(100,ROW()-4),1),"&lt;0")&gt;=5,AVERAGEIF(OFFSET(V54,1-MIN(100,ROW()-4),0,MIN(100,ROW()-4),1),"&lt;0"),"")</f>
        <v>-598779.707974002</v>
      </c>
      <c r="BQ54" s="42" t="n">
        <f aca="false">IF(ISNUMBER(BP54),IF(AND(V54&lt;5*BP54,V54&gt;V53,E54&lt;AJ54),1,0),0)</f>
        <v>0</v>
      </c>
      <c r="BR54" s="44" t="n">
        <f aca="true">AVERAGE(OFFSET(F54,1-MIN(5,ROW()-4),0,MIN(5,ROW()-4),1))</f>
        <v>3987460</v>
      </c>
      <c r="BS54" s="42" t="n">
        <f aca="false">IFERROR(IF(MATCH(G54,周线!$A$5:$A$84,0)&lt;=1,"",INDEX(周线!$R$5:$R$84,MATCH(G54,周线!$A$5:$A$84,0)-1)),"")</f>
        <v>1</v>
      </c>
      <c r="BT54" s="42" t="n">
        <f aca="false">IFERROR(IF(MATCH(G54,周线!$A$5:$A$84,0)&lt;=1,"",INDEX(周线!$S$5:$S$84,MATCH(G54,周线!$A$5:$A$84,0)-1)),"")</f>
        <v>0</v>
      </c>
      <c r="BU54" s="42" t="n">
        <f aca="false">IFERROR(IF(MATCH(G54,周线!$A$5:$A$84,0)&lt;=1,"",INDEX(周线!$U$5:$U$84,MATCH(G54,周线!$A$5:$A$84,0)-1)),"")</f>
        <v>0</v>
      </c>
      <c r="BV54" s="42" t="n">
        <f aca="false">IF(AND(BS54=1,S54&lt;&gt;-1,V54&lt;0,BO54=1,E54&lt;=H54,E54&gt;=AJ54),1,0)</f>
        <v>0</v>
      </c>
      <c r="BW54" s="42" t="n">
        <f aca="false">BL54</f>
        <v>0</v>
      </c>
      <c r="BX54" s="42" t="n">
        <f aca="false">BQ54</f>
        <v>0</v>
      </c>
      <c r="BY54" s="42" t="n">
        <f aca="false">IF(BS54=1,10,0)+IF(BU54=1,5,IF(BU54=-1,0,3))+IF(BT54=1,5,0)+IF(AND(AE54&gt;AF54,AH54&gt;AH53),5,0)</f>
        <v>13</v>
      </c>
      <c r="BZ54" s="42" t="n">
        <f aca="false">IF(AND(E54&lt;=H54,E54&gt;=I54),10,IF(AND(E54&gt;=AJ54,E54&lt;I54),6,0))+IF(AND(V54&lt;0,BO54=1),8,0)+IF(AT54&lt;30,7,IF(AT54&lt;50,3,0))</f>
        <v>3</v>
      </c>
      <c r="CA54" s="42" t="n">
        <f aca="false">IF(AND(BV54=1,BW54=1),25,IF(BW54=1,22,IF(BV54=1,15,IF(BX54=1,12,0))))</f>
        <v>0</v>
      </c>
      <c r="CB54" s="42" t="n">
        <f aca="false">IF(W54&gt;0,6,0)+IF(F54&lt;BR54,4,0)</f>
        <v>6</v>
      </c>
      <c r="CC54" s="42" t="n">
        <f aca="false">IF(BC54&gt;=3,15,IF(BC54&gt;=p_RRmin,10,IF(BC54&gt;=1.5,4,0)))</f>
        <v>10</v>
      </c>
      <c r="CD54" s="42" t="n">
        <f aca="false">BY54+BZ54+CA54+CB54+CC54</f>
        <v>32</v>
      </c>
      <c r="CE54" s="42" t="n">
        <f aca="false">IF(AND(BS54&lt;&gt;1,BW54+BX54=0),1,0)</f>
        <v>0</v>
      </c>
      <c r="CF54" s="42" t="n">
        <f aca="false">IF(BU54=-1,1,0)</f>
        <v>0</v>
      </c>
      <c r="CG54" s="42" t="n">
        <f aca="false">IF(S54=-1,1,0)</f>
        <v>0</v>
      </c>
      <c r="CH54" s="42" t="n">
        <f aca="false">IF(BV54+BW54+BX54=0,1,0)</f>
        <v>1</v>
      </c>
      <c r="CI54" s="42" t="n">
        <f aca="false">IF(BC54&lt;p_RRmin,1,0)</f>
        <v>0</v>
      </c>
      <c r="CJ54" s="46" t="str">
        <f aca="false">IF(SUM(CE54:CI54)=0,IF(CD54&gt;=p_GradeA,"A",IF(CD54&gt;=p_GradeB,"B","C")),IF(AND(CI54=1,SUM(CE54:CH54)=0,CD54&gt;=p_GradeB),"B","C"))</f>
        <v>C</v>
      </c>
    </row>
    <row r="55" customFormat="false" ht="15" hidden="false" customHeight="false" outlineLevel="0" collapsed="false">
      <c r="A55" s="36" t="n">
        <v>45729</v>
      </c>
      <c r="B55" s="37" t="n">
        <v>24.36</v>
      </c>
      <c r="C55" s="37" t="n">
        <v>24.46</v>
      </c>
      <c r="D55" s="37" t="n">
        <v>24.26</v>
      </c>
      <c r="E55" s="37" t="n">
        <v>24.35</v>
      </c>
      <c r="F55" s="38" t="n">
        <v>2696600</v>
      </c>
      <c r="G55" s="39" t="n">
        <f aca="false">A55-WEEKDAY(A55,3)</f>
        <v>45726</v>
      </c>
      <c r="H55" s="40" t="n">
        <f aca="false">2/(p_EmaF+1)*E55+(1-2/(p_EmaF+1))*H54</f>
        <v>24.0877400927565</v>
      </c>
      <c r="I55" s="40" t="n">
        <f aca="false">2/(p_EmaS+1)*E55+(1-2/(p_EmaS+1))*I54</f>
        <v>23.7532801849759</v>
      </c>
      <c r="J55" s="41" t="n">
        <f aca="false">2/(p_MacdF+1)*E55+(1-2/(p_MacdF+1))*J54</f>
        <v>24.0946341896465</v>
      </c>
      <c r="K55" s="41" t="n">
        <f aca="false">2/(p_MacdS+1)*E55+(1-2/(p_MacdS+1))*K54</f>
        <v>23.7532801849759</v>
      </c>
      <c r="L55" s="41" t="n">
        <f aca="false">J55-K55</f>
        <v>0.341354004670603</v>
      </c>
      <c r="M55" s="41" t="n">
        <f aca="false">2/(p_MacdSig+1)*L55+(1-2/(p_MacdSig+1))*M54</f>
        <v>0.49924284841111</v>
      </c>
      <c r="N55" s="41" t="n">
        <f aca="false">L55-M55</f>
        <v>-0.157888843740508</v>
      </c>
      <c r="O55" s="42" t="n">
        <f aca="false">IF(H55&gt;H54,1,0)</f>
        <v>1</v>
      </c>
      <c r="P55" s="42" t="n">
        <f aca="false">IF(H55&lt;H54,1,0)</f>
        <v>0</v>
      </c>
      <c r="Q55" s="42" t="n">
        <f aca="false">IF(N55&gt;N54,1,0)</f>
        <v>1</v>
      </c>
      <c r="R55" s="42" t="n">
        <f aca="false">IF(N55&lt;N54,1,0)</f>
        <v>0</v>
      </c>
      <c r="S55" s="42" t="n">
        <f aca="false">IF(AND(O55=1,Q55=1),1,IF(AND(P55=1,R55=1),-1,0))</f>
        <v>1</v>
      </c>
      <c r="T55" s="43" t="str">
        <f aca="false">IF(S55=1,"绿",IF(S55=-1,"红","蓝"))</f>
        <v>绿</v>
      </c>
      <c r="U55" s="44" t="n">
        <f aca="false">F55*(E55-E54)</f>
        <v>242694</v>
      </c>
      <c r="V55" s="44" t="n">
        <f aca="false">2/(p_FiS+1)*U55+(1-2/(p_FiS+1))*V54</f>
        <v>580522.667458698</v>
      </c>
      <c r="W55" s="44" t="n">
        <f aca="false">2/(p_FiL+1)*U55+(1-2/(p_FiL+1))*W54</f>
        <v>155740.941376209</v>
      </c>
      <c r="X55" s="41" t="n">
        <f aca="false">MAX(C55-D55,ABS(C55-E54),ABS(D55-E54))</f>
        <v>0.199999999999999</v>
      </c>
      <c r="Y55" s="41" t="n">
        <f aca="true">AVERAGE(OFFSET(X55,1-MIN(p_AtrN,ROW()-4),0,MIN(p_AtrN,ROW()-4),1))</f>
        <v>0.507692307692308</v>
      </c>
      <c r="Z55" s="41" t="n">
        <f aca="false">IF(AND(C55-C54&gt;D54-D55,C55-C54&gt;0),C55-C54,0)</f>
        <v>0</v>
      </c>
      <c r="AA55" s="41" t="n">
        <f aca="false">IF(AND(D54-D55&gt;C55-C54,D54-D55&gt;0),D54-D55,0)</f>
        <v>0</v>
      </c>
      <c r="AB55" s="41" t="n">
        <f aca="false">2/(p_AdxN+1)*X55+(1-2/(p_AdxN+1))*AB54</f>
        <v>0.516175822835906</v>
      </c>
      <c r="AC55" s="41" t="n">
        <f aca="false">2/(p_AdxN+1)*Z55+(1-2/(p_AdxN+1))*AC54</f>
        <v>0.14558645761729</v>
      </c>
      <c r="AD55" s="41" t="n">
        <f aca="false">2/(p_AdxN+1)*AA55+(1-2/(p_AdxN+1))*AD54</f>
        <v>0.103763349375746</v>
      </c>
      <c r="AE55" s="45" t="n">
        <f aca="false">100*AC55/AB55</f>
        <v>28.2048192062596</v>
      </c>
      <c r="AF55" s="45" t="n">
        <f aca="false">100*AD55/AB55</f>
        <v>20.1023265300694</v>
      </c>
      <c r="AG55" s="45" t="n">
        <f aca="false">IFERROR(100*ABS(AE55-AF55)/(AE55+AF55),0)</f>
        <v>16.772865696548</v>
      </c>
      <c r="AH55" s="45" t="n">
        <f aca="false">2/(p_AdxN+1)*AG55+(1-2/(p_AdxN+1))*AH54</f>
        <v>31.8026653231837</v>
      </c>
      <c r="AI55" s="40" t="n">
        <f aca="false">I55*(1+p_ChPct)</f>
        <v>25.1784769960744</v>
      </c>
      <c r="AJ55" s="40" t="n">
        <f aca="false">I55*(1-p_ChPct)</f>
        <v>22.3280833738773</v>
      </c>
      <c r="AK55" s="40" t="n">
        <f aca="false">I55+1*Y55</f>
        <v>24.2609724926682</v>
      </c>
      <c r="AL55" s="40" t="n">
        <f aca="false">I55+2*Y55</f>
        <v>24.7686648003605</v>
      </c>
      <c r="AM55" s="40" t="n">
        <f aca="false">I55+3*Y55</f>
        <v>25.2763571080528</v>
      </c>
      <c r="AN55" s="40" t="n">
        <f aca="false">I55-1*Y55</f>
        <v>23.2455878772836</v>
      </c>
      <c r="AO55" s="40" t="n">
        <f aca="false">I55-2*Y55</f>
        <v>22.7378955695913</v>
      </c>
      <c r="AP55" s="40" t="n">
        <f aca="false">I55-3*Y55</f>
        <v>22.230203261899</v>
      </c>
      <c r="AQ55" s="40" t="n">
        <f aca="true">MAX(OFFSET(C55,1-MIN(p_StochN,ROW()-4),0,MIN(p_StochN,ROW()-4),1))</f>
        <v>24.56</v>
      </c>
      <c r="AR55" s="40" t="n">
        <f aca="true">MIN(OFFSET(D55,1-MIN(p_StochN,ROW()-4),0,MIN(p_StochN,ROW()-4),1))</f>
        <v>23.24</v>
      </c>
      <c r="AS55" s="45" t="n">
        <f aca="false">IF(AQ55=AR55,50,100*(E55-AR55)/(AQ55-AR55))</f>
        <v>84.0909090909093</v>
      </c>
      <c r="AT55" s="45" t="n">
        <f aca="true">AVERAGE(OFFSET(AS55,1-MIN(p_StochSm,ROW()-4),0,MIN(p_StochSm,ROW()-4),1))</f>
        <v>71.4207290294248</v>
      </c>
      <c r="AU55" s="45" t="n">
        <f aca="true">AVERAGE(OFFSET(AT55,1-MIN(p_StochSm,ROW()-4),0,MIN(p_StochSm,ROW()-4),1))</f>
        <v>46.8827063980477</v>
      </c>
      <c r="AV55" s="41" t="n">
        <f aca="false">MAX(0,H55-D55)</f>
        <v>0</v>
      </c>
      <c r="AW55" s="41" t="n">
        <f aca="true">IF(COUNTIF(OFFSET(AV55,1-MIN(p_PenLb,ROW()-4),0,MIN(p_PenLb,ROW()-4),1),"&gt;0")&gt;0,SUM(OFFSET(AV55,1-MIN(p_PenLb,ROW()-4),0,MIN(p_PenLb,ROW()-4),1))/COUNTIF(OFFSET(AV55,1-MIN(p_PenLb,ROW()-4),0,MIN(p_PenLb,ROW()-4),1),"&gt;0"),0.5*Y55)</f>
        <v>0.517283724977924</v>
      </c>
      <c r="AX55" s="41" t="n">
        <f aca="false">2*H55-H54</f>
        <v>24.1314500772971</v>
      </c>
      <c r="AY55" s="40" t="n">
        <f aca="false">ROUND(MAX(AX55-AW55,0.01),2)</f>
        <v>23.61</v>
      </c>
      <c r="AZ55" s="40" t="n">
        <f aca="true">IF(MIN(p_StopLb,ROW()-4)&lt;2,D55,SMALL(OFFSET(D55,1-MIN(p_StopLb,ROW()-4),0,MIN(p_StopLb,ROW()-4),1),2))</f>
        <v>23.27</v>
      </c>
      <c r="BA55" s="40" t="n">
        <f aca="false">IF(MOD(ROUND(ROUNDDOWN(MIN(AZ55-0.01,AY55-p_StopAtr*Y55),2)*100,0),50)=0,ROUNDDOWN(MIN(AZ55-0.01,AY55-p_StopAtr*Y55),2)-0.01,ROUNDDOWN(MIN(AZ55-0.01,AY55-p_StopAtr*Y55),2))</f>
        <v>23.1</v>
      </c>
      <c r="BB55" s="40" t="n">
        <f aca="false">ROUND(AI55,2)</f>
        <v>25.18</v>
      </c>
      <c r="BC55" s="40" t="n">
        <f aca="false">IF(AY55-BA55&gt;0,(BB55-AY55)/(AY55-BA55),0)</f>
        <v>3.07843137254903</v>
      </c>
      <c r="BD55" s="42" t="n">
        <f aca="false">IF(N55&lt;0,1,0)</f>
        <v>1</v>
      </c>
      <c r="BE55" s="41" t="n">
        <f aca="false">IF(AND(BD55=1,BD54=0),N55,IF(BD55=1,MIN(BE54,N55),BE54))</f>
        <v>-0.267100964273217</v>
      </c>
      <c r="BF55" s="40" t="n">
        <f aca="false">IF(AND(BD55=1,BD54=0),D55,IF(BD55=1,MIN(BF54,D55),BF54))</f>
        <v>23.24</v>
      </c>
      <c r="BG55" s="42" t="n">
        <f aca="false">IF(AND(BD55=1,BD54=0),ROW(),IF(BD55=1,IF(N55&lt;BE54,ROW(),BG54),BG54))</f>
        <v>52</v>
      </c>
      <c r="BH55" s="41" t="n">
        <f aca="false">IF(AND(BD55=1,BD54=0),BE54,BH54)</f>
        <v>-0.0234128043712021</v>
      </c>
      <c r="BI55" s="40" t="n">
        <f aca="false">IF(AND(BD55=1,BD54=0),BF54,BI54)</f>
        <v>19.42</v>
      </c>
      <c r="BJ55" s="42" t="n">
        <f aca="false">IF(AND(BD55=1,BD54=0),BG54,BJ54)</f>
        <v>10</v>
      </c>
      <c r="BK55" s="42" t="n">
        <f aca="false">IF(AND(ISNUMBER(BG55),ISNUMBER(BJ55)),BG55-BJ55,"")</f>
        <v>42</v>
      </c>
      <c r="BL55" s="42" t="n">
        <f aca="false">IF(AND(BD55=1,N55&gt;N54,ISNUMBER(BH55),ISNUMBER(BK55)),IF(AND(BE55&gt;BH55,BF55&lt;BI55,BK55&gt;=p_GapMin,BK55&lt;=p_GapMax),1,0),0)</f>
        <v>0</v>
      </c>
      <c r="BM55" s="42" t="n">
        <f aca="false">IF(AND(BL55=1,E55&gt;BI55),1,0)</f>
        <v>0</v>
      </c>
      <c r="BN55" s="42" t="n">
        <f aca="false">IF(BL55=1,IF(BE55&gt;=BH55*0.5,1,0),0)</f>
        <v>0</v>
      </c>
      <c r="BO55" s="42" t="n">
        <f aca="true">IF(V55&gt;MIN(OFFSET(V55,-MIN(p_FiLb-1,ROW()-5),0,MIN(p_FiLb-1,ROW()-5),1)),1,0)</f>
        <v>1</v>
      </c>
      <c r="BP55" s="44" t="n">
        <f aca="true">IF(COUNTIF(OFFSET(V55,1-MIN(100,ROW()-4),0,MIN(100,ROW()-4),1),"&lt;0")&gt;=5,AVERAGEIF(OFFSET(V55,1-MIN(100,ROW()-4),0,MIN(100,ROW()-4),1),"&lt;0"),"")</f>
        <v>-598779.707974002</v>
      </c>
      <c r="BQ55" s="42" t="n">
        <f aca="false">IF(ISNUMBER(BP55),IF(AND(V55&lt;5*BP55,V55&gt;V54,E55&lt;AJ55),1,0),0)</f>
        <v>0</v>
      </c>
      <c r="BR55" s="44" t="n">
        <f aca="true">AVERAGE(OFFSET(F55,1-MIN(5,ROW()-4),0,MIN(5,ROW()-4),1))</f>
        <v>3759340</v>
      </c>
      <c r="BS55" s="42" t="n">
        <f aca="false">IFERROR(IF(MATCH(G55,周线!$A$5:$A$84,0)&lt;=1,"",INDEX(周线!$R$5:$R$84,MATCH(G55,周线!$A$5:$A$84,0)-1)),"")</f>
        <v>1</v>
      </c>
      <c r="BT55" s="42" t="n">
        <f aca="false">IFERROR(IF(MATCH(G55,周线!$A$5:$A$84,0)&lt;=1,"",INDEX(周线!$S$5:$S$84,MATCH(G55,周线!$A$5:$A$84,0)-1)),"")</f>
        <v>0</v>
      </c>
      <c r="BU55" s="42" t="n">
        <f aca="false">IFERROR(IF(MATCH(G55,周线!$A$5:$A$84,0)&lt;=1,"",INDEX(周线!$U$5:$U$84,MATCH(G55,周线!$A$5:$A$84,0)-1)),"")</f>
        <v>0</v>
      </c>
      <c r="BV55" s="42" t="n">
        <f aca="false">IF(AND(BS55=1,S55&lt;&gt;-1,V55&lt;0,BO55=1,E55&lt;=H55,E55&gt;=AJ55),1,0)</f>
        <v>0</v>
      </c>
      <c r="BW55" s="42" t="n">
        <f aca="false">BL55</f>
        <v>0</v>
      </c>
      <c r="BX55" s="42" t="n">
        <f aca="false">BQ55</f>
        <v>0</v>
      </c>
      <c r="BY55" s="42" t="n">
        <f aca="false">IF(BS55=1,10,0)+IF(BU55=1,5,IF(BU55=-1,0,3))+IF(BT55=1,5,0)+IF(AND(AE55&gt;AF55,AH55&gt;AH54),5,0)</f>
        <v>13</v>
      </c>
      <c r="BZ55" s="42" t="n">
        <f aca="false">IF(AND(E55&lt;=H55,E55&gt;=I55),10,IF(AND(E55&gt;=AJ55,E55&lt;I55),6,0))+IF(AND(V55&lt;0,BO55=1),8,0)+IF(AT55&lt;30,7,IF(AT55&lt;50,3,0))</f>
        <v>0</v>
      </c>
      <c r="CA55" s="42" t="n">
        <f aca="false">IF(AND(BV55=1,BW55=1),25,IF(BW55=1,22,IF(BV55=1,15,IF(BX55=1,12,0))))</f>
        <v>0</v>
      </c>
      <c r="CB55" s="42" t="n">
        <f aca="false">IF(W55&gt;0,6,0)+IF(F55&lt;BR55,4,0)</f>
        <v>10</v>
      </c>
      <c r="CC55" s="42" t="n">
        <f aca="false">IF(BC55&gt;=3,15,IF(BC55&gt;=p_RRmin,10,IF(BC55&gt;=1.5,4,0)))</f>
        <v>15</v>
      </c>
      <c r="CD55" s="42" t="n">
        <f aca="false">BY55+BZ55+CA55+CB55+CC55</f>
        <v>38</v>
      </c>
      <c r="CE55" s="42" t="n">
        <f aca="false">IF(AND(BS55&lt;&gt;1,BW55+BX55=0),1,0)</f>
        <v>0</v>
      </c>
      <c r="CF55" s="42" t="n">
        <f aca="false">IF(BU55=-1,1,0)</f>
        <v>0</v>
      </c>
      <c r="CG55" s="42" t="n">
        <f aca="false">IF(S55=-1,1,0)</f>
        <v>0</v>
      </c>
      <c r="CH55" s="42" t="n">
        <f aca="false">IF(BV55+BW55+BX55=0,1,0)</f>
        <v>1</v>
      </c>
      <c r="CI55" s="42" t="n">
        <f aca="false">IF(BC55&lt;p_RRmin,1,0)</f>
        <v>0</v>
      </c>
      <c r="CJ55" s="46" t="str">
        <f aca="false">IF(SUM(CE55:CI55)=0,IF(CD55&gt;=p_GradeA,"A",IF(CD55&gt;=p_GradeB,"B","C")),IF(AND(CI55=1,SUM(CE55:CH55)=0,CD55&gt;=p_GradeB),"B","C"))</f>
        <v>C</v>
      </c>
    </row>
    <row r="56" customFormat="false" ht="15" hidden="false" customHeight="false" outlineLevel="0" collapsed="false">
      <c r="A56" s="36" t="n">
        <v>45730</v>
      </c>
      <c r="B56" s="37" t="n">
        <v>24.16</v>
      </c>
      <c r="C56" s="37" t="n">
        <v>24.55</v>
      </c>
      <c r="D56" s="37" t="n">
        <v>23.94</v>
      </c>
      <c r="E56" s="37" t="n">
        <v>24.41</v>
      </c>
      <c r="F56" s="38" t="n">
        <v>3400100</v>
      </c>
      <c r="G56" s="39" t="n">
        <f aca="false">A56-WEEKDAY(A56,3)</f>
        <v>45726</v>
      </c>
      <c r="H56" s="40" t="n">
        <f aca="false">2/(p_EmaF+1)*E56+(1-2/(p_EmaF+1))*H55</f>
        <v>24.1337772223627</v>
      </c>
      <c r="I56" s="40" t="n">
        <f aca="false">2/(p_EmaS+1)*E56+(1-2/(p_EmaS+1))*I55</f>
        <v>23.8019260971999</v>
      </c>
      <c r="J56" s="41" t="n">
        <f aca="false">2/(p_MacdF+1)*E56+(1-2/(p_MacdF+1))*J55</f>
        <v>24.143152006624</v>
      </c>
      <c r="K56" s="41" t="n">
        <f aca="false">2/(p_MacdS+1)*E56+(1-2/(p_MacdS+1))*K55</f>
        <v>23.8019260971999</v>
      </c>
      <c r="L56" s="41" t="n">
        <f aca="false">J56-K56</f>
        <v>0.341225909424058</v>
      </c>
      <c r="M56" s="41" t="n">
        <f aca="false">2/(p_MacdSig+1)*L56+(1-2/(p_MacdSig+1))*M55</f>
        <v>0.4676394606137</v>
      </c>
      <c r="N56" s="41" t="n">
        <f aca="false">L56-M56</f>
        <v>-0.126413551189642</v>
      </c>
      <c r="O56" s="42" t="n">
        <f aca="false">IF(H56&gt;H55,1,0)</f>
        <v>1</v>
      </c>
      <c r="P56" s="42" t="n">
        <f aca="false">IF(H56&lt;H55,1,0)</f>
        <v>0</v>
      </c>
      <c r="Q56" s="42" t="n">
        <f aca="false">IF(N56&gt;N55,1,0)</f>
        <v>1</v>
      </c>
      <c r="R56" s="42" t="n">
        <f aca="false">IF(N56&lt;N55,1,0)</f>
        <v>0</v>
      </c>
      <c r="S56" s="42" t="n">
        <f aca="false">IF(AND(O56=1,Q56=1),1,IF(AND(P56=1,R56=1),-1,0))</f>
        <v>1</v>
      </c>
      <c r="T56" s="43" t="str">
        <f aca="false">IF(S56=1,"绿",IF(S56=-1,"红","蓝"))</f>
        <v>绿</v>
      </c>
      <c r="U56" s="44" t="n">
        <f aca="false">F56*(E56-E55)</f>
        <v>204005.999999996</v>
      </c>
      <c r="V56" s="44" t="n">
        <f aca="false">2/(p_FiS+1)*U56+(1-2/(p_FiS+1))*V55</f>
        <v>329511.555819563</v>
      </c>
      <c r="W56" s="44" t="n">
        <f aca="false">2/(p_FiL+1)*U56+(1-2/(p_FiL+1))*W55</f>
        <v>162635.949751035</v>
      </c>
      <c r="X56" s="41" t="n">
        <f aca="false">MAX(C56-D56,ABS(C56-E55),ABS(D56-E55))</f>
        <v>0.609999999999999</v>
      </c>
      <c r="Y56" s="41" t="n">
        <f aca="true">AVERAGE(OFFSET(X56,1-MIN(p_AtrN,ROW()-4),0,MIN(p_AtrN,ROW()-4),1))</f>
        <v>0.521538461538462</v>
      </c>
      <c r="Z56" s="41" t="n">
        <f aca="false">IF(AND(C56-C55&gt;D55-D56,C56-C55&gt;0),C56-C55,0)</f>
        <v>0</v>
      </c>
      <c r="AA56" s="41" t="n">
        <f aca="false">IF(AND(D55-D56&gt;C56-C55,D55-D56&gt;0),D55-D56,0)</f>
        <v>0.32</v>
      </c>
      <c r="AB56" s="41" t="n">
        <f aca="false">2/(p_AdxN+1)*X56+(1-2/(p_AdxN+1))*AB55</f>
        <v>0.529579276716491</v>
      </c>
      <c r="AC56" s="41" t="n">
        <f aca="false">2/(p_AdxN+1)*Z56+(1-2/(p_AdxN+1))*AC55</f>
        <v>0.124788392243392</v>
      </c>
      <c r="AD56" s="41" t="n">
        <f aca="false">2/(p_AdxN+1)*AA56+(1-2/(p_AdxN+1))*AD55</f>
        <v>0.134654299464925</v>
      </c>
      <c r="AE56" s="45" t="n">
        <f aca="false">100*AC56/AB56</f>
        <v>23.5636849344082</v>
      </c>
      <c r="AF56" s="45" t="n">
        <f aca="false">100*AD56/AB56</f>
        <v>25.4266557218424</v>
      </c>
      <c r="AG56" s="45" t="n">
        <f aca="false">IFERROR(100*ABS(AE56-AF56)/(AE56+AF56),0)</f>
        <v>3.80273082913658</v>
      </c>
      <c r="AH56" s="45" t="n">
        <f aca="false">2/(p_AdxN+1)*AG56+(1-2/(p_AdxN+1))*AH55</f>
        <v>27.8026746811769</v>
      </c>
      <c r="AI56" s="40" t="n">
        <f aca="false">I56*(1+p_ChPct)</f>
        <v>25.2300416630319</v>
      </c>
      <c r="AJ56" s="40" t="n">
        <f aca="false">I56*(1-p_ChPct)</f>
        <v>22.3738105313679</v>
      </c>
      <c r="AK56" s="40" t="n">
        <f aca="false">I56+1*Y56</f>
        <v>24.3234645587384</v>
      </c>
      <c r="AL56" s="40" t="n">
        <f aca="false">I56+2*Y56</f>
        <v>24.8450030202768</v>
      </c>
      <c r="AM56" s="40" t="n">
        <f aca="false">I56+3*Y56</f>
        <v>25.3665414818153</v>
      </c>
      <c r="AN56" s="40" t="n">
        <f aca="false">I56-1*Y56</f>
        <v>23.2803876356614</v>
      </c>
      <c r="AO56" s="40" t="n">
        <f aca="false">I56-2*Y56</f>
        <v>22.758849174123</v>
      </c>
      <c r="AP56" s="40" t="n">
        <f aca="false">I56-3*Y56</f>
        <v>22.2373107125845</v>
      </c>
      <c r="AQ56" s="40" t="n">
        <f aca="true">MAX(OFFSET(C56,1-MIN(p_StochN,ROW()-4),0,MIN(p_StochN,ROW()-4),1))</f>
        <v>24.56</v>
      </c>
      <c r="AR56" s="40" t="n">
        <f aca="true">MIN(OFFSET(D56,1-MIN(p_StochN,ROW()-4),0,MIN(p_StochN,ROW()-4),1))</f>
        <v>23.24</v>
      </c>
      <c r="AS56" s="45" t="n">
        <f aca="false">IF(AQ56=AR56,50,100*(E56-AR56)/(AQ56-AR56))</f>
        <v>88.6363636363637</v>
      </c>
      <c r="AT56" s="45" t="n">
        <f aca="true">AVERAGE(OFFSET(AS56,1-MIN(p_StochSm,ROW()-4),0,MIN(p_StochSm,ROW()-4),1))</f>
        <v>83.3333333333335</v>
      </c>
      <c r="AU56" s="45" t="n">
        <f aca="true">AVERAGE(OFFSET(AT56,1-MIN(p_StochSm,ROW()-4),0,MIN(p_StochSm,ROW()-4),1))</f>
        <v>67.1030151079685</v>
      </c>
      <c r="AV56" s="41" t="n">
        <f aca="false">MAX(0,H56-D56)</f>
        <v>0.193777222362687</v>
      </c>
      <c r="AW56" s="41" t="n">
        <f aca="true">IF(COUNTIF(OFFSET(AV56,1-MIN(p_PenLb,ROW()-4),0,MIN(p_PenLb,ROW()-4),1),"&gt;0")&gt;0,SUM(OFFSET(AV56,1-MIN(p_PenLb,ROW()-4),0,MIN(p_PenLb,ROW()-4),1))/COUNTIF(OFFSET(AV56,1-MIN(p_PenLb,ROW()-4),0,MIN(p_PenLb,ROW()-4),1),"&gt;0"),0.5*Y56)</f>
        <v>0.471068510318604</v>
      </c>
      <c r="AX56" s="41" t="n">
        <f aca="false">2*H56-H55</f>
        <v>24.1798143519689</v>
      </c>
      <c r="AY56" s="40" t="n">
        <f aca="false">ROUND(MAX(AX56-AW56,0.01),2)</f>
        <v>23.71</v>
      </c>
      <c r="AZ56" s="40" t="n">
        <f aca="true">IF(MIN(p_StopLb,ROW()-4)&lt;2,D56,SMALL(OFFSET(D56,1-MIN(p_StopLb,ROW()-4),0,MIN(p_StopLb,ROW()-4),1),2))</f>
        <v>23.27</v>
      </c>
      <c r="BA56" s="40" t="n">
        <f aca="false">IF(MOD(ROUND(ROUNDDOWN(MIN(AZ56-0.01,AY56-p_StopAtr*Y56),2)*100,0),50)=0,ROUNDDOWN(MIN(AZ56-0.01,AY56-p_StopAtr*Y56),2)-0.01,ROUNDDOWN(MIN(AZ56-0.01,AY56-p_StopAtr*Y56),2))</f>
        <v>23.18</v>
      </c>
      <c r="BB56" s="40" t="n">
        <f aca="false">ROUND(AI56,2)</f>
        <v>25.23</v>
      </c>
      <c r="BC56" s="40" t="n">
        <f aca="false">IF(AY56-BA56&gt;0,(BB56-AY56)/(AY56-BA56),0)</f>
        <v>2.86792452830188</v>
      </c>
      <c r="BD56" s="42" t="n">
        <f aca="false">IF(N56&lt;0,1,0)</f>
        <v>1</v>
      </c>
      <c r="BE56" s="41" t="n">
        <f aca="false">IF(AND(BD56=1,BD55=0),N56,IF(BD56=1,MIN(BE55,N56),BE55))</f>
        <v>-0.267100964273217</v>
      </c>
      <c r="BF56" s="40" t="n">
        <f aca="false">IF(AND(BD56=1,BD55=0),D56,IF(BD56=1,MIN(BF55,D56),BF55))</f>
        <v>23.24</v>
      </c>
      <c r="BG56" s="42" t="n">
        <f aca="false">IF(AND(BD56=1,BD55=0),ROW(),IF(BD56=1,IF(N56&lt;BE55,ROW(),BG55),BG55))</f>
        <v>52</v>
      </c>
      <c r="BH56" s="41" t="n">
        <f aca="false">IF(AND(BD56=1,BD55=0),BE55,BH55)</f>
        <v>-0.0234128043712021</v>
      </c>
      <c r="BI56" s="40" t="n">
        <f aca="false">IF(AND(BD56=1,BD55=0),BF55,BI55)</f>
        <v>19.42</v>
      </c>
      <c r="BJ56" s="42" t="n">
        <f aca="false">IF(AND(BD56=1,BD55=0),BG55,BJ55)</f>
        <v>10</v>
      </c>
      <c r="BK56" s="42" t="n">
        <f aca="false">IF(AND(ISNUMBER(BG56),ISNUMBER(BJ56)),BG56-BJ56,"")</f>
        <v>42</v>
      </c>
      <c r="BL56" s="42" t="n">
        <f aca="false">IF(AND(BD56=1,N56&gt;N55,ISNUMBER(BH56),ISNUMBER(BK56)),IF(AND(BE56&gt;BH56,BF56&lt;BI56,BK56&gt;=p_GapMin,BK56&lt;=p_GapMax),1,0),0)</f>
        <v>0</v>
      </c>
      <c r="BM56" s="42" t="n">
        <f aca="false">IF(AND(BL56=1,E56&gt;BI56),1,0)</f>
        <v>0</v>
      </c>
      <c r="BN56" s="42" t="n">
        <f aca="false">IF(BL56=1,IF(BE56&gt;=BH56*0.5,1,0),0)</f>
        <v>0</v>
      </c>
      <c r="BO56" s="42" t="n">
        <f aca="true">IF(V56&gt;MIN(OFFSET(V56,-MIN(p_FiLb-1,ROW()-5),0,MIN(p_FiLb-1,ROW()-5),1)),1,0)</f>
        <v>1</v>
      </c>
      <c r="BP56" s="44" t="n">
        <f aca="true">IF(COUNTIF(OFFSET(V56,1-MIN(100,ROW()-4),0,MIN(100,ROW()-4),1),"&lt;0")&gt;=5,AVERAGEIF(OFFSET(V56,1-MIN(100,ROW()-4),0,MIN(100,ROW()-4),1),"&lt;0"),"")</f>
        <v>-598779.707974002</v>
      </c>
      <c r="BQ56" s="42" t="n">
        <f aca="false">IF(ISNUMBER(BP56),IF(AND(V56&lt;5*BP56,V56&gt;V55,E56&lt;AJ56),1,0),0)</f>
        <v>0</v>
      </c>
      <c r="BR56" s="44" t="n">
        <f aca="true">AVERAGE(OFFSET(F56,1-MIN(5,ROW()-4),0,MIN(5,ROW()-4),1))</f>
        <v>3470080</v>
      </c>
      <c r="BS56" s="42" t="n">
        <f aca="false">IFERROR(IF(MATCH(G56,周线!$A$5:$A$84,0)&lt;=1,"",INDEX(周线!$R$5:$R$84,MATCH(G56,周线!$A$5:$A$84,0)-1)),"")</f>
        <v>1</v>
      </c>
      <c r="BT56" s="42" t="n">
        <f aca="false">IFERROR(IF(MATCH(G56,周线!$A$5:$A$84,0)&lt;=1,"",INDEX(周线!$S$5:$S$84,MATCH(G56,周线!$A$5:$A$84,0)-1)),"")</f>
        <v>0</v>
      </c>
      <c r="BU56" s="42" t="n">
        <f aca="false">IFERROR(IF(MATCH(G56,周线!$A$5:$A$84,0)&lt;=1,"",INDEX(周线!$U$5:$U$84,MATCH(G56,周线!$A$5:$A$84,0)-1)),"")</f>
        <v>0</v>
      </c>
      <c r="BV56" s="42" t="n">
        <f aca="false">IF(AND(BS56=1,S56&lt;&gt;-1,V56&lt;0,BO56=1,E56&lt;=H56,E56&gt;=AJ56),1,0)</f>
        <v>0</v>
      </c>
      <c r="BW56" s="42" t="n">
        <f aca="false">BL56</f>
        <v>0</v>
      </c>
      <c r="BX56" s="42" t="n">
        <f aca="false">BQ56</f>
        <v>0</v>
      </c>
      <c r="BY56" s="42" t="n">
        <f aca="false">IF(BS56=1,10,0)+IF(BU56=1,5,IF(BU56=-1,0,3))+IF(BT56=1,5,0)+IF(AND(AE56&gt;AF56,AH56&gt;AH55),5,0)</f>
        <v>13</v>
      </c>
      <c r="BZ56" s="42" t="n">
        <f aca="false">IF(AND(E56&lt;=H56,E56&gt;=I56),10,IF(AND(E56&gt;=AJ56,E56&lt;I56),6,0))+IF(AND(V56&lt;0,BO56=1),8,0)+IF(AT56&lt;30,7,IF(AT56&lt;50,3,0))</f>
        <v>0</v>
      </c>
      <c r="CA56" s="42" t="n">
        <f aca="false">IF(AND(BV56=1,BW56=1),25,IF(BW56=1,22,IF(BV56=1,15,IF(BX56=1,12,0))))</f>
        <v>0</v>
      </c>
      <c r="CB56" s="42" t="n">
        <f aca="false">IF(W56&gt;0,6,0)+IF(F56&lt;BR56,4,0)</f>
        <v>10</v>
      </c>
      <c r="CC56" s="42" t="n">
        <f aca="false">IF(BC56&gt;=3,15,IF(BC56&gt;=p_RRmin,10,IF(BC56&gt;=1.5,4,0)))</f>
        <v>10</v>
      </c>
      <c r="CD56" s="42" t="n">
        <f aca="false">BY56+BZ56+CA56+CB56+CC56</f>
        <v>33</v>
      </c>
      <c r="CE56" s="42" t="n">
        <f aca="false">IF(AND(BS56&lt;&gt;1,BW56+BX56=0),1,0)</f>
        <v>0</v>
      </c>
      <c r="CF56" s="42" t="n">
        <f aca="false">IF(BU56=-1,1,0)</f>
        <v>0</v>
      </c>
      <c r="CG56" s="42" t="n">
        <f aca="false">IF(S56=-1,1,0)</f>
        <v>0</v>
      </c>
      <c r="CH56" s="42" t="n">
        <f aca="false">IF(BV56+BW56+BX56=0,1,0)</f>
        <v>1</v>
      </c>
      <c r="CI56" s="42" t="n">
        <f aca="false">IF(BC56&lt;p_RRmin,1,0)</f>
        <v>0</v>
      </c>
      <c r="CJ56" s="46" t="str">
        <f aca="false">IF(SUM(CE56:CI56)=0,IF(CD56&gt;=p_GradeA,"A",IF(CD56&gt;=p_GradeB,"B","C")),IF(AND(CI56=1,SUM(CE56:CH56)=0,CD56&gt;=p_GradeB),"B","C"))</f>
        <v>C</v>
      </c>
    </row>
    <row r="57" customFormat="false" ht="15" hidden="false" customHeight="false" outlineLevel="0" collapsed="false">
      <c r="A57" s="36" t="n">
        <v>45733</v>
      </c>
      <c r="B57" s="37" t="n">
        <v>24.43</v>
      </c>
      <c r="C57" s="37" t="n">
        <v>24.71</v>
      </c>
      <c r="D57" s="37" t="n">
        <v>24.12</v>
      </c>
      <c r="E57" s="37" t="n">
        <v>24.43</v>
      </c>
      <c r="F57" s="38" t="n">
        <v>3466100</v>
      </c>
      <c r="G57" s="39" t="n">
        <f aca="false">A57-WEEKDAY(A57,3)</f>
        <v>45733</v>
      </c>
      <c r="H57" s="40" t="n">
        <f aca="false">2/(p_EmaF+1)*E57+(1-2/(p_EmaF+1))*H56</f>
        <v>24.1760947620252</v>
      </c>
      <c r="I57" s="40" t="n">
        <f aca="false">2/(p_EmaS+1)*E57+(1-2/(p_EmaS+1))*I56</f>
        <v>23.8484500899999</v>
      </c>
      <c r="J57" s="41" t="n">
        <f aca="false">2/(p_MacdF+1)*E57+(1-2/(p_MacdF+1))*J56</f>
        <v>24.1872824671433</v>
      </c>
      <c r="K57" s="41" t="n">
        <f aca="false">2/(p_MacdS+1)*E57+(1-2/(p_MacdS+1))*K56</f>
        <v>23.8484500899999</v>
      </c>
      <c r="L57" s="41" t="n">
        <f aca="false">J57-K57</f>
        <v>0.338832377143444</v>
      </c>
      <c r="M57" s="41" t="n">
        <f aca="false">2/(p_MacdSig+1)*L57+(1-2/(p_MacdSig+1))*M56</f>
        <v>0.441878043919648</v>
      </c>
      <c r="N57" s="41" t="n">
        <f aca="false">L57-M57</f>
        <v>-0.103045666776205</v>
      </c>
      <c r="O57" s="42" t="n">
        <f aca="false">IF(H57&gt;H56,1,0)</f>
        <v>1</v>
      </c>
      <c r="P57" s="42" t="n">
        <f aca="false">IF(H57&lt;H56,1,0)</f>
        <v>0</v>
      </c>
      <c r="Q57" s="42" t="n">
        <f aca="false">IF(N57&gt;N56,1,0)</f>
        <v>1</v>
      </c>
      <c r="R57" s="42" t="n">
        <f aca="false">IF(N57&lt;N56,1,0)</f>
        <v>0</v>
      </c>
      <c r="S57" s="42" t="n">
        <f aca="false">IF(AND(O57=1,Q57=1),1,IF(AND(P57=1,R57=1),-1,0))</f>
        <v>1</v>
      </c>
      <c r="T57" s="43" t="str">
        <f aca="false">IF(S57=1,"绿",IF(S57=-1,"红","蓝"))</f>
        <v>绿</v>
      </c>
      <c r="U57" s="44" t="n">
        <f aca="false">F57*(E57-E56)</f>
        <v>69321.9999999985</v>
      </c>
      <c r="V57" s="44" t="n">
        <f aca="false">2/(p_FiS+1)*U57+(1-2/(p_FiS+1))*V56</f>
        <v>156051.851939853</v>
      </c>
      <c r="W57" s="44" t="n">
        <f aca="false">2/(p_FiL+1)*U57+(1-2/(p_FiL+1))*W56</f>
        <v>149305.385500887</v>
      </c>
      <c r="X57" s="41" t="n">
        <f aca="false">MAX(C57-D57,ABS(C57-E56),ABS(D57-E56))</f>
        <v>0.59</v>
      </c>
      <c r="Y57" s="41" t="n">
        <f aca="true">AVERAGE(OFFSET(X57,1-MIN(p_AtrN,ROW()-4),0,MIN(p_AtrN,ROW()-4),1))</f>
        <v>0.532307692307693</v>
      </c>
      <c r="Z57" s="41" t="n">
        <f aca="false">IF(AND(C57-C56&gt;D56-D57,C57-C56&gt;0),C57-C56,0)</f>
        <v>0.16</v>
      </c>
      <c r="AA57" s="41" t="n">
        <f aca="false">IF(AND(D56-D57&gt;C57-C56,D56-D57&gt;0),D56-D57,0)</f>
        <v>0</v>
      </c>
      <c r="AB57" s="41" t="n">
        <f aca="false">2/(p_AdxN+1)*X57+(1-2/(p_AdxN+1))*AB56</f>
        <v>0.538210808614135</v>
      </c>
      <c r="AC57" s="41" t="n">
        <f aca="false">2/(p_AdxN+1)*Z57+(1-2/(p_AdxN+1))*AC56</f>
        <v>0.129818621922907</v>
      </c>
      <c r="AD57" s="41" t="n">
        <f aca="false">2/(p_AdxN+1)*AA57+(1-2/(p_AdxN+1))*AD56</f>
        <v>0.115417970969936</v>
      </c>
      <c r="AE57" s="45" t="n">
        <f aca="false">100*AC57/AB57</f>
        <v>24.1204040954107</v>
      </c>
      <c r="AF57" s="45" t="n">
        <f aca="false">100*AD57/AB57</f>
        <v>21.444751595965</v>
      </c>
      <c r="AG57" s="45" t="n">
        <f aca="false">IFERROR(100*ABS(AE57-AF57)/(AE57+AF57),0)</f>
        <v>5.8721460704942</v>
      </c>
      <c r="AH57" s="45" t="n">
        <f aca="false">2/(p_AdxN+1)*AG57+(1-2/(p_AdxN+1))*AH56</f>
        <v>24.669742022508</v>
      </c>
      <c r="AI57" s="40" t="n">
        <f aca="false">I57*(1+p_ChPct)</f>
        <v>25.2793570953999</v>
      </c>
      <c r="AJ57" s="40" t="n">
        <f aca="false">I57*(1-p_ChPct)</f>
        <v>22.4175430845999</v>
      </c>
      <c r="AK57" s="40" t="n">
        <f aca="false">I57+1*Y57</f>
        <v>24.3807577823076</v>
      </c>
      <c r="AL57" s="40" t="n">
        <f aca="false">I57+2*Y57</f>
        <v>24.9130654746153</v>
      </c>
      <c r="AM57" s="40" t="n">
        <f aca="false">I57+3*Y57</f>
        <v>25.445373166923</v>
      </c>
      <c r="AN57" s="40" t="n">
        <f aca="false">I57-1*Y57</f>
        <v>23.3161423976922</v>
      </c>
      <c r="AO57" s="40" t="n">
        <f aca="false">I57-2*Y57</f>
        <v>22.7838347053845</v>
      </c>
      <c r="AP57" s="40" t="n">
        <f aca="false">I57-3*Y57</f>
        <v>22.2515270130768</v>
      </c>
      <c r="AQ57" s="40" t="n">
        <f aca="true">MAX(OFFSET(C57,1-MIN(p_StochN,ROW()-4),0,MIN(p_StochN,ROW()-4),1))</f>
        <v>24.71</v>
      </c>
      <c r="AR57" s="40" t="n">
        <f aca="true">MIN(OFFSET(D57,1-MIN(p_StochN,ROW()-4),0,MIN(p_StochN,ROW()-4),1))</f>
        <v>23.36</v>
      </c>
      <c r="AS57" s="45" t="n">
        <f aca="false">IF(AQ57=AR57,50,100*(E57-AR57)/(AQ57-AR57))</f>
        <v>79.2592592592592</v>
      </c>
      <c r="AT57" s="45" t="n">
        <f aca="true">AVERAGE(OFFSET(AS57,1-MIN(p_StochSm,ROW()-4),0,MIN(p_StochSm,ROW()-4),1))</f>
        <v>83.9955106621774</v>
      </c>
      <c r="AU57" s="45" t="n">
        <f aca="true">AVERAGE(OFFSET(AT57,1-MIN(p_StochSm,ROW()-4),0,MIN(p_StochSm,ROW()-4),1))</f>
        <v>79.5831910083119</v>
      </c>
      <c r="AV57" s="41" t="n">
        <f aca="false">MAX(0,H57-D57)</f>
        <v>0.0560947620251611</v>
      </c>
      <c r="AW57" s="41" t="n">
        <f aca="true">IF(COUNTIF(OFFSET(AV57,1-MIN(p_PenLb,ROW()-4),0,MIN(p_PenLb,ROW()-4),1),"&gt;0")&gt;0,SUM(OFFSET(AV57,1-MIN(p_PenLb,ROW()-4),0,MIN(p_PenLb,ROW()-4),1))/COUNTIF(OFFSET(AV57,1-MIN(p_PenLb,ROW()-4),0,MIN(p_PenLb,ROW()-4),1),"&gt;0"),0.5*Y57)</f>
        <v>0.419196791781924</v>
      </c>
      <c r="AX57" s="41" t="n">
        <f aca="false">2*H57-H56</f>
        <v>24.2184123016876</v>
      </c>
      <c r="AY57" s="40" t="n">
        <f aca="false">ROUND(MAX(AX57-AW57,0.01),2)</f>
        <v>23.8</v>
      </c>
      <c r="AZ57" s="40" t="n">
        <f aca="true">IF(MIN(p_StopLb,ROW()-4)&lt;2,D57,SMALL(OFFSET(D57,1-MIN(p_StopLb,ROW()-4),0,MIN(p_StopLb,ROW()-4),1),2))</f>
        <v>23.27</v>
      </c>
      <c r="BA57" s="40" t="n">
        <f aca="false">IF(MOD(ROUND(ROUNDDOWN(MIN(AZ57-0.01,AY57-p_StopAtr*Y57),2)*100,0),50)=0,ROUNDDOWN(MIN(AZ57-0.01,AY57-p_StopAtr*Y57),2)-0.01,ROUNDDOWN(MIN(AZ57-0.01,AY57-p_StopAtr*Y57),2))</f>
        <v>23.26</v>
      </c>
      <c r="BB57" s="40" t="n">
        <f aca="false">ROUND(AI57,2)</f>
        <v>25.28</v>
      </c>
      <c r="BC57" s="40" t="n">
        <f aca="false">IF(AY57-BA57&gt;0,(BB57-AY57)/(AY57-BA57),0)</f>
        <v>2.74074074074075</v>
      </c>
      <c r="BD57" s="42" t="n">
        <f aca="false">IF(N57&lt;0,1,0)</f>
        <v>1</v>
      </c>
      <c r="BE57" s="41" t="n">
        <f aca="false">IF(AND(BD57=1,BD56=0),N57,IF(BD57=1,MIN(BE56,N57),BE56))</f>
        <v>-0.267100964273217</v>
      </c>
      <c r="BF57" s="40" t="n">
        <f aca="false">IF(AND(BD57=1,BD56=0),D57,IF(BD57=1,MIN(BF56,D57),BF56))</f>
        <v>23.24</v>
      </c>
      <c r="BG57" s="42" t="n">
        <f aca="false">IF(AND(BD57=1,BD56=0),ROW(),IF(BD57=1,IF(N57&lt;BE56,ROW(),BG56),BG56))</f>
        <v>52</v>
      </c>
      <c r="BH57" s="41" t="n">
        <f aca="false">IF(AND(BD57=1,BD56=0),BE56,BH56)</f>
        <v>-0.0234128043712021</v>
      </c>
      <c r="BI57" s="40" t="n">
        <f aca="false">IF(AND(BD57=1,BD56=0),BF56,BI56)</f>
        <v>19.42</v>
      </c>
      <c r="BJ57" s="42" t="n">
        <f aca="false">IF(AND(BD57=1,BD56=0),BG56,BJ56)</f>
        <v>10</v>
      </c>
      <c r="BK57" s="42" t="n">
        <f aca="false">IF(AND(ISNUMBER(BG57),ISNUMBER(BJ57)),BG57-BJ57,"")</f>
        <v>42</v>
      </c>
      <c r="BL57" s="42" t="n">
        <f aca="false">IF(AND(BD57=1,N57&gt;N56,ISNUMBER(BH57),ISNUMBER(BK57)),IF(AND(BE57&gt;BH57,BF57&lt;BI57,BK57&gt;=p_GapMin,BK57&lt;=p_GapMax),1,0),0)</f>
        <v>0</v>
      </c>
      <c r="BM57" s="42" t="n">
        <f aca="false">IF(AND(BL57=1,E57&gt;BI57),1,0)</f>
        <v>0</v>
      </c>
      <c r="BN57" s="42" t="n">
        <f aca="false">IF(BL57=1,IF(BE57&gt;=BH57*0.5,1,0),0)</f>
        <v>0</v>
      </c>
      <c r="BO57" s="42" t="n">
        <f aca="true">IF(V57&gt;MIN(OFFSET(V57,-MIN(p_FiLb-1,ROW()-5),0,MIN(p_FiLb-1,ROW()-5),1)),1,0)</f>
        <v>1</v>
      </c>
      <c r="BP57" s="44" t="n">
        <f aca="true">IF(COUNTIF(OFFSET(V57,1-MIN(100,ROW()-4),0,MIN(100,ROW()-4),1),"&lt;0")&gt;=5,AVERAGEIF(OFFSET(V57,1-MIN(100,ROW()-4),0,MIN(100,ROW()-4),1),"&lt;0"),"")</f>
        <v>-598779.707974002</v>
      </c>
      <c r="BQ57" s="42" t="n">
        <f aca="false">IF(ISNUMBER(BP57),IF(AND(V57&lt;5*BP57,V57&gt;V56,E57&lt;AJ57),1,0),0)</f>
        <v>0</v>
      </c>
      <c r="BR57" s="44" t="n">
        <f aca="true">AVERAGE(OFFSET(F57,1-MIN(5,ROW()-4),0,MIN(5,ROW()-4),1))</f>
        <v>3570780</v>
      </c>
      <c r="BS57" s="42" t="n">
        <f aca="false">IFERROR(IF(MATCH(G57,周线!$A$5:$A$84,0)&lt;=1,"",INDEX(周线!$R$5:$R$84,MATCH(G57,周线!$A$5:$A$84,0)-1)),"")</f>
        <v>1</v>
      </c>
      <c r="BT57" s="42" t="n">
        <f aca="false">IFERROR(IF(MATCH(G57,周线!$A$5:$A$84,0)&lt;=1,"",INDEX(周线!$S$5:$S$84,MATCH(G57,周线!$A$5:$A$84,0)-1)),"")</f>
        <v>0</v>
      </c>
      <c r="BU57" s="42" t="n">
        <f aca="false">IFERROR(IF(MATCH(G57,周线!$A$5:$A$84,0)&lt;=1,"",INDEX(周线!$U$5:$U$84,MATCH(G57,周线!$A$5:$A$84,0)-1)),"")</f>
        <v>0</v>
      </c>
      <c r="BV57" s="42" t="n">
        <f aca="false">IF(AND(BS57=1,S57&lt;&gt;-1,V57&lt;0,BO57=1,E57&lt;=H57,E57&gt;=AJ57),1,0)</f>
        <v>0</v>
      </c>
      <c r="BW57" s="42" t="n">
        <f aca="false">BL57</f>
        <v>0</v>
      </c>
      <c r="BX57" s="42" t="n">
        <f aca="false">BQ57</f>
        <v>0</v>
      </c>
      <c r="BY57" s="42" t="n">
        <f aca="false">IF(BS57=1,10,0)+IF(BU57=1,5,IF(BU57=-1,0,3))+IF(BT57=1,5,0)+IF(AND(AE57&gt;AF57,AH57&gt;AH56),5,0)</f>
        <v>13</v>
      </c>
      <c r="BZ57" s="42" t="n">
        <f aca="false">IF(AND(E57&lt;=H57,E57&gt;=I57),10,IF(AND(E57&gt;=AJ57,E57&lt;I57),6,0))+IF(AND(V57&lt;0,BO57=1),8,0)+IF(AT57&lt;30,7,IF(AT57&lt;50,3,0))</f>
        <v>0</v>
      </c>
      <c r="CA57" s="42" t="n">
        <f aca="false">IF(AND(BV57=1,BW57=1),25,IF(BW57=1,22,IF(BV57=1,15,IF(BX57=1,12,0))))</f>
        <v>0</v>
      </c>
      <c r="CB57" s="42" t="n">
        <f aca="false">IF(W57&gt;0,6,0)+IF(F57&lt;BR57,4,0)</f>
        <v>10</v>
      </c>
      <c r="CC57" s="42" t="n">
        <f aca="false">IF(BC57&gt;=3,15,IF(BC57&gt;=p_RRmin,10,IF(BC57&gt;=1.5,4,0)))</f>
        <v>10</v>
      </c>
      <c r="CD57" s="42" t="n">
        <f aca="false">BY57+BZ57+CA57+CB57+CC57</f>
        <v>33</v>
      </c>
      <c r="CE57" s="42" t="n">
        <f aca="false">IF(AND(BS57&lt;&gt;1,BW57+BX57=0),1,0)</f>
        <v>0</v>
      </c>
      <c r="CF57" s="42" t="n">
        <f aca="false">IF(BU57=-1,1,0)</f>
        <v>0</v>
      </c>
      <c r="CG57" s="42" t="n">
        <f aca="false">IF(S57=-1,1,0)</f>
        <v>0</v>
      </c>
      <c r="CH57" s="42" t="n">
        <f aca="false">IF(BV57+BW57+BX57=0,1,0)</f>
        <v>1</v>
      </c>
      <c r="CI57" s="42" t="n">
        <f aca="false">IF(BC57&lt;p_RRmin,1,0)</f>
        <v>0</v>
      </c>
      <c r="CJ57" s="46" t="str">
        <f aca="false">IF(SUM(CE57:CI57)=0,IF(CD57&gt;=p_GradeA,"A",IF(CD57&gt;=p_GradeB,"B","C")),IF(AND(CI57=1,SUM(CE57:CH57)=0,CD57&gt;=p_GradeB),"B","C"))</f>
        <v>C</v>
      </c>
    </row>
    <row r="58" customFormat="false" ht="15" hidden="false" customHeight="false" outlineLevel="0" collapsed="false">
      <c r="A58" s="36" t="n">
        <v>45734</v>
      </c>
      <c r="B58" s="37" t="n">
        <v>24.41</v>
      </c>
      <c r="C58" s="37" t="n">
        <v>24.86</v>
      </c>
      <c r="D58" s="37" t="n">
        <v>24.27</v>
      </c>
      <c r="E58" s="37" t="n">
        <v>24.77</v>
      </c>
      <c r="F58" s="38" t="n">
        <v>3020800</v>
      </c>
      <c r="G58" s="39" t="n">
        <f aca="false">A58-WEEKDAY(A58,3)</f>
        <v>45733</v>
      </c>
      <c r="H58" s="40" t="n">
        <f aca="false">2/(p_EmaF+1)*E58+(1-2/(p_EmaF+1))*H57</f>
        <v>24.2609383674501</v>
      </c>
      <c r="I58" s="40" t="n">
        <f aca="false">2/(p_EmaS+1)*E58+(1-2/(p_EmaS+1))*I57</f>
        <v>23.9167130462962</v>
      </c>
      <c r="J58" s="41" t="n">
        <f aca="false">2/(p_MacdF+1)*E58+(1-2/(p_MacdF+1))*J57</f>
        <v>24.2769313183521</v>
      </c>
      <c r="K58" s="41" t="n">
        <f aca="false">2/(p_MacdS+1)*E58+(1-2/(p_MacdS+1))*K57</f>
        <v>23.9167130462962</v>
      </c>
      <c r="L58" s="41" t="n">
        <f aca="false">J58-K58</f>
        <v>0.360218272055857</v>
      </c>
      <c r="M58" s="41" t="n">
        <f aca="false">2/(p_MacdSig+1)*L58+(1-2/(p_MacdSig+1))*M57</f>
        <v>0.42554608954689</v>
      </c>
      <c r="N58" s="41" t="n">
        <f aca="false">L58-M58</f>
        <v>-0.0653278174910335</v>
      </c>
      <c r="O58" s="42" t="n">
        <f aca="false">IF(H58&gt;H57,1,0)</f>
        <v>1</v>
      </c>
      <c r="P58" s="42" t="n">
        <f aca="false">IF(H58&lt;H57,1,0)</f>
        <v>0</v>
      </c>
      <c r="Q58" s="42" t="n">
        <f aca="false">IF(N58&gt;N57,1,0)</f>
        <v>1</v>
      </c>
      <c r="R58" s="42" t="n">
        <f aca="false">IF(N58&lt;N57,1,0)</f>
        <v>0</v>
      </c>
      <c r="S58" s="42" t="n">
        <f aca="false">IF(AND(O58=1,Q58=1),1,IF(AND(P58=1,R58=1),-1,0))</f>
        <v>1</v>
      </c>
      <c r="T58" s="43" t="str">
        <f aca="false">IF(S58=1,"绿",IF(S58=-1,"红","蓝"))</f>
        <v>绿</v>
      </c>
      <c r="U58" s="44" t="n">
        <f aca="false">F58*(E58-E57)</f>
        <v>1027072</v>
      </c>
      <c r="V58" s="44" t="n">
        <f aca="false">2/(p_FiS+1)*U58+(1-2/(p_FiS+1))*V57</f>
        <v>736731.950646617</v>
      </c>
      <c r="W58" s="44" t="n">
        <f aca="false">2/(p_FiL+1)*U58+(1-2/(p_FiL+1))*W57</f>
        <v>274700.616143618</v>
      </c>
      <c r="X58" s="41" t="n">
        <f aca="false">MAX(C58-D58,ABS(C58-E57),ABS(D58-E57))</f>
        <v>0.59</v>
      </c>
      <c r="Y58" s="41" t="n">
        <f aca="true">AVERAGE(OFFSET(X58,1-MIN(p_AtrN,ROW()-4),0,MIN(p_AtrN,ROW()-4),1))</f>
        <v>0.541538461538462</v>
      </c>
      <c r="Z58" s="41" t="n">
        <f aca="false">IF(AND(C58-C57&gt;D57-D58,C58-C57&gt;0),C58-C57,0)</f>
        <v>0.149999999999999</v>
      </c>
      <c r="AA58" s="41" t="n">
        <f aca="false">IF(AND(D57-D58&gt;C58-C57,D57-D58&gt;0),D57-D58,0)</f>
        <v>0</v>
      </c>
      <c r="AB58" s="41" t="n">
        <f aca="false">2/(p_AdxN+1)*X58+(1-2/(p_AdxN+1))*AB57</f>
        <v>0.545609264526402</v>
      </c>
      <c r="AC58" s="41" t="n">
        <f aca="false">2/(p_AdxN+1)*Z58+(1-2/(p_AdxN+1))*AC57</f>
        <v>0.13270167593392</v>
      </c>
      <c r="AD58" s="41" t="n">
        <f aca="false">2/(p_AdxN+1)*AA58+(1-2/(p_AdxN+1))*AD57</f>
        <v>0.0989296894028024</v>
      </c>
      <c r="AE58" s="45" t="n">
        <f aca="false">100*AC58/AB58</f>
        <v>24.3217416861694</v>
      </c>
      <c r="AF58" s="45" t="n">
        <f aca="false">100*AD58/AB58</f>
        <v>18.1319665619452</v>
      </c>
      <c r="AG58" s="45" t="n">
        <f aca="false">IFERROR(100*ABS(AE58-AF58)/(AE58+AF58),0)</f>
        <v>14.5800576195816</v>
      </c>
      <c r="AH58" s="45" t="n">
        <f aca="false">2/(p_AdxN+1)*AG58+(1-2/(p_AdxN+1))*AH57</f>
        <v>23.2283585363756</v>
      </c>
      <c r="AI58" s="40" t="n">
        <f aca="false">I58*(1+p_ChPct)</f>
        <v>25.351715829074</v>
      </c>
      <c r="AJ58" s="40" t="n">
        <f aca="false">I58*(1-p_ChPct)</f>
        <v>22.4817102635184</v>
      </c>
      <c r="AK58" s="40" t="n">
        <f aca="false">I58+1*Y58</f>
        <v>24.4582515078347</v>
      </c>
      <c r="AL58" s="40" t="n">
        <f aca="false">I58+2*Y58</f>
        <v>24.9997899693731</v>
      </c>
      <c r="AM58" s="40" t="n">
        <f aca="false">I58+3*Y58</f>
        <v>25.5413284309116</v>
      </c>
      <c r="AN58" s="40" t="n">
        <f aca="false">I58-1*Y58</f>
        <v>23.3751745847577</v>
      </c>
      <c r="AO58" s="40" t="n">
        <f aca="false">I58-2*Y58</f>
        <v>22.8336361232193</v>
      </c>
      <c r="AP58" s="40" t="n">
        <f aca="false">I58-3*Y58</f>
        <v>22.2920976616808</v>
      </c>
      <c r="AQ58" s="40" t="n">
        <f aca="true">MAX(OFFSET(C58,1-MIN(p_StochN,ROW()-4),0,MIN(p_StochN,ROW()-4),1))</f>
        <v>24.86</v>
      </c>
      <c r="AR58" s="40" t="n">
        <f aca="true">MIN(OFFSET(D58,1-MIN(p_StochN,ROW()-4),0,MIN(p_StochN,ROW()-4),1))</f>
        <v>23.94</v>
      </c>
      <c r="AS58" s="45" t="n">
        <f aca="false">IF(AQ58=AR58,50,100*(E58-AR58)/(AQ58-AR58))</f>
        <v>90.2173913043478</v>
      </c>
      <c r="AT58" s="45" t="n">
        <f aca="true">AVERAGE(OFFSET(AS58,1-MIN(p_StochSm,ROW()-4),0,MIN(p_StochSm,ROW()-4),1))</f>
        <v>86.0376713999902</v>
      </c>
      <c r="AU58" s="45" t="n">
        <f aca="true">AVERAGE(OFFSET(AT58,1-MIN(p_StochSm,ROW()-4),0,MIN(p_StochSm,ROW()-4),1))</f>
        <v>84.4555051318337</v>
      </c>
      <c r="AV58" s="41" t="n">
        <f aca="false">MAX(0,H58-D58)</f>
        <v>0</v>
      </c>
      <c r="AW58" s="41" t="n">
        <f aca="true">IF(COUNTIF(OFFSET(AV58,1-MIN(p_PenLb,ROW()-4),0,MIN(p_PenLb,ROW()-4),1),"&gt;0")&gt;0,SUM(OFFSET(AV58,1-MIN(p_PenLb,ROW()-4),0,MIN(p_PenLb,ROW()-4),1))/COUNTIF(OFFSET(AV58,1-MIN(p_PenLb,ROW()-4),0,MIN(p_PenLb,ROW()-4),1),"&gt;0"),0.5*Y58)</f>
        <v>0.419196791781924</v>
      </c>
      <c r="AX58" s="41" t="n">
        <f aca="false">2*H58-H57</f>
        <v>24.3457819728751</v>
      </c>
      <c r="AY58" s="40" t="n">
        <f aca="false">ROUND(MAX(AX58-AW58,0.01),2)</f>
        <v>23.93</v>
      </c>
      <c r="AZ58" s="40" t="n">
        <f aca="true">IF(MIN(p_StopLb,ROW()-4)&lt;2,D58,SMALL(OFFSET(D58,1-MIN(p_StopLb,ROW()-4),0,MIN(p_StopLb,ROW()-4),1),2))</f>
        <v>23.27</v>
      </c>
      <c r="BA58" s="40" t="n">
        <f aca="false">IF(MOD(ROUND(ROUNDDOWN(MIN(AZ58-0.01,AY58-p_StopAtr*Y58),2)*100,0),50)=0,ROUNDDOWN(MIN(AZ58-0.01,AY58-p_StopAtr*Y58),2)-0.01,ROUNDDOWN(MIN(AZ58-0.01,AY58-p_StopAtr*Y58),2))</f>
        <v>23.26</v>
      </c>
      <c r="BB58" s="40" t="n">
        <f aca="false">ROUND(AI58,2)</f>
        <v>25.35</v>
      </c>
      <c r="BC58" s="40" t="n">
        <f aca="false">IF(AY58-BA58&gt;0,(BB58-AY58)/(AY58-BA58),0)</f>
        <v>2.11940298507464</v>
      </c>
      <c r="BD58" s="42" t="n">
        <f aca="false">IF(N58&lt;0,1,0)</f>
        <v>1</v>
      </c>
      <c r="BE58" s="41" t="n">
        <f aca="false">IF(AND(BD58=1,BD57=0),N58,IF(BD58=1,MIN(BE57,N58),BE57))</f>
        <v>-0.267100964273217</v>
      </c>
      <c r="BF58" s="40" t="n">
        <f aca="false">IF(AND(BD58=1,BD57=0),D58,IF(BD58=1,MIN(BF57,D58),BF57))</f>
        <v>23.24</v>
      </c>
      <c r="BG58" s="42" t="n">
        <f aca="false">IF(AND(BD58=1,BD57=0),ROW(),IF(BD58=1,IF(N58&lt;BE57,ROW(),BG57),BG57))</f>
        <v>52</v>
      </c>
      <c r="BH58" s="41" t="n">
        <f aca="false">IF(AND(BD58=1,BD57=0),BE57,BH57)</f>
        <v>-0.0234128043712021</v>
      </c>
      <c r="BI58" s="40" t="n">
        <f aca="false">IF(AND(BD58=1,BD57=0),BF57,BI57)</f>
        <v>19.42</v>
      </c>
      <c r="BJ58" s="42" t="n">
        <f aca="false">IF(AND(BD58=1,BD57=0),BG57,BJ57)</f>
        <v>10</v>
      </c>
      <c r="BK58" s="42" t="n">
        <f aca="false">IF(AND(ISNUMBER(BG58),ISNUMBER(BJ58)),BG58-BJ58,"")</f>
        <v>42</v>
      </c>
      <c r="BL58" s="42" t="n">
        <f aca="false">IF(AND(BD58=1,N58&gt;N57,ISNUMBER(BH58),ISNUMBER(BK58)),IF(AND(BE58&gt;BH58,BF58&lt;BI58,BK58&gt;=p_GapMin,BK58&lt;=p_GapMax),1,0),0)</f>
        <v>0</v>
      </c>
      <c r="BM58" s="42" t="n">
        <f aca="false">IF(AND(BL58=1,E58&gt;BI58),1,0)</f>
        <v>0</v>
      </c>
      <c r="BN58" s="42" t="n">
        <f aca="false">IF(BL58=1,IF(BE58&gt;=BH58*0.5,1,0),0)</f>
        <v>0</v>
      </c>
      <c r="BO58" s="42" t="n">
        <f aca="true">IF(V58&gt;MIN(OFFSET(V58,-MIN(p_FiLb-1,ROW()-5),0,MIN(p_FiLb-1,ROW()-5),1)),1,0)</f>
        <v>1</v>
      </c>
      <c r="BP58" s="44" t="n">
        <f aca="true">IF(COUNTIF(OFFSET(V58,1-MIN(100,ROW()-4),0,MIN(100,ROW()-4),1),"&lt;0")&gt;=5,AVERAGEIF(OFFSET(V58,1-MIN(100,ROW()-4),0,MIN(100,ROW()-4),1),"&lt;0"),"")</f>
        <v>-598779.707974002</v>
      </c>
      <c r="BQ58" s="42" t="n">
        <f aca="false">IF(ISNUMBER(BP58),IF(AND(V58&lt;5*BP58,V58&gt;V57,E58&lt;AJ58),1,0),0)</f>
        <v>0</v>
      </c>
      <c r="BR58" s="44" t="n">
        <f aca="true">AVERAGE(OFFSET(F58,1-MIN(5,ROW()-4),0,MIN(5,ROW()-4),1))</f>
        <v>3334900</v>
      </c>
      <c r="BS58" s="42" t="n">
        <f aca="false">IFERROR(IF(MATCH(G58,周线!$A$5:$A$84,0)&lt;=1,"",INDEX(周线!$R$5:$R$84,MATCH(G58,周线!$A$5:$A$84,0)-1)),"")</f>
        <v>1</v>
      </c>
      <c r="BT58" s="42" t="n">
        <f aca="false">IFERROR(IF(MATCH(G58,周线!$A$5:$A$84,0)&lt;=1,"",INDEX(周线!$S$5:$S$84,MATCH(G58,周线!$A$5:$A$84,0)-1)),"")</f>
        <v>0</v>
      </c>
      <c r="BU58" s="42" t="n">
        <f aca="false">IFERROR(IF(MATCH(G58,周线!$A$5:$A$84,0)&lt;=1,"",INDEX(周线!$U$5:$U$84,MATCH(G58,周线!$A$5:$A$84,0)-1)),"")</f>
        <v>0</v>
      </c>
      <c r="BV58" s="42" t="n">
        <f aca="false">IF(AND(BS58=1,S58&lt;&gt;-1,V58&lt;0,BO58=1,E58&lt;=H58,E58&gt;=AJ58),1,0)</f>
        <v>0</v>
      </c>
      <c r="BW58" s="42" t="n">
        <f aca="false">BL58</f>
        <v>0</v>
      </c>
      <c r="BX58" s="42" t="n">
        <f aca="false">BQ58</f>
        <v>0</v>
      </c>
      <c r="BY58" s="42" t="n">
        <f aca="false">IF(BS58=1,10,0)+IF(BU58=1,5,IF(BU58=-1,0,3))+IF(BT58=1,5,0)+IF(AND(AE58&gt;AF58,AH58&gt;AH57),5,0)</f>
        <v>13</v>
      </c>
      <c r="BZ58" s="42" t="n">
        <f aca="false">IF(AND(E58&lt;=H58,E58&gt;=I58),10,IF(AND(E58&gt;=AJ58,E58&lt;I58),6,0))+IF(AND(V58&lt;0,BO58=1),8,0)+IF(AT58&lt;30,7,IF(AT58&lt;50,3,0))</f>
        <v>0</v>
      </c>
      <c r="CA58" s="42" t="n">
        <f aca="false">IF(AND(BV58=1,BW58=1),25,IF(BW58=1,22,IF(BV58=1,15,IF(BX58=1,12,0))))</f>
        <v>0</v>
      </c>
      <c r="CB58" s="42" t="n">
        <f aca="false">IF(W58&gt;0,6,0)+IF(F58&lt;BR58,4,0)</f>
        <v>10</v>
      </c>
      <c r="CC58" s="42" t="n">
        <f aca="false">IF(BC58&gt;=3,15,IF(BC58&gt;=p_RRmin,10,IF(BC58&gt;=1.5,4,0)))</f>
        <v>10</v>
      </c>
      <c r="CD58" s="42" t="n">
        <f aca="false">BY58+BZ58+CA58+CB58+CC58</f>
        <v>33</v>
      </c>
      <c r="CE58" s="42" t="n">
        <f aca="false">IF(AND(BS58&lt;&gt;1,BW58+BX58=0),1,0)</f>
        <v>0</v>
      </c>
      <c r="CF58" s="42" t="n">
        <f aca="false">IF(BU58=-1,1,0)</f>
        <v>0</v>
      </c>
      <c r="CG58" s="42" t="n">
        <f aca="false">IF(S58=-1,1,0)</f>
        <v>0</v>
      </c>
      <c r="CH58" s="42" t="n">
        <f aca="false">IF(BV58+BW58+BX58=0,1,0)</f>
        <v>1</v>
      </c>
      <c r="CI58" s="42" t="n">
        <f aca="false">IF(BC58&lt;p_RRmin,1,0)</f>
        <v>0</v>
      </c>
      <c r="CJ58" s="46" t="str">
        <f aca="false">IF(SUM(CE58:CI58)=0,IF(CD58&gt;=p_GradeA,"A",IF(CD58&gt;=p_GradeB,"B","C")),IF(AND(CI58=1,SUM(CE58:CH58)=0,CD58&gt;=p_GradeB),"B","C"))</f>
        <v>C</v>
      </c>
    </row>
    <row r="59" customFormat="false" ht="15" hidden="false" customHeight="false" outlineLevel="0" collapsed="false">
      <c r="A59" s="36" t="n">
        <v>45735</v>
      </c>
      <c r="B59" s="37" t="n">
        <v>24.73</v>
      </c>
      <c r="C59" s="37" t="n">
        <v>24.81</v>
      </c>
      <c r="D59" s="37" t="n">
        <v>24.53</v>
      </c>
      <c r="E59" s="37" t="n">
        <v>24.7</v>
      </c>
      <c r="F59" s="38" t="n">
        <v>2764300</v>
      </c>
      <c r="G59" s="39" t="n">
        <f aca="false">A59-WEEKDAY(A59,3)</f>
        <v>45733</v>
      </c>
      <c r="H59" s="40" t="n">
        <f aca="false">2/(p_EmaF+1)*E59+(1-2/(p_EmaF+1))*H58</f>
        <v>24.3236614578144</v>
      </c>
      <c r="I59" s="40" t="n">
        <f aca="false">2/(p_EmaS+1)*E59+(1-2/(p_EmaS+1))*I58</f>
        <v>23.9747343021261</v>
      </c>
      <c r="J59" s="41" t="n">
        <f aca="false">2/(p_MacdF+1)*E59+(1-2/(p_MacdF+1))*J58</f>
        <v>24.3420188078364</v>
      </c>
      <c r="K59" s="41" t="n">
        <f aca="false">2/(p_MacdS+1)*E59+(1-2/(p_MacdS+1))*K58</f>
        <v>23.9747343021261</v>
      </c>
      <c r="L59" s="41" t="n">
        <f aca="false">J59-K59</f>
        <v>0.367284505710245</v>
      </c>
      <c r="M59" s="41" t="n">
        <f aca="false">2/(p_MacdSig+1)*L59+(1-2/(p_MacdSig+1))*M58</f>
        <v>0.413893772779561</v>
      </c>
      <c r="N59" s="41" t="n">
        <f aca="false">L59-M59</f>
        <v>-0.0466092670693162</v>
      </c>
      <c r="O59" s="42" t="n">
        <f aca="false">IF(H59&gt;H58,1,0)</f>
        <v>1</v>
      </c>
      <c r="P59" s="42" t="n">
        <f aca="false">IF(H59&lt;H58,1,0)</f>
        <v>0</v>
      </c>
      <c r="Q59" s="42" t="n">
        <f aca="false">IF(N59&gt;N58,1,0)</f>
        <v>1</v>
      </c>
      <c r="R59" s="42" t="n">
        <f aca="false">IF(N59&lt;N58,1,0)</f>
        <v>0</v>
      </c>
      <c r="S59" s="42" t="n">
        <f aca="false">IF(AND(O59=1,Q59=1),1,IF(AND(P59=1,R59=1),-1,0))</f>
        <v>1</v>
      </c>
      <c r="T59" s="43" t="str">
        <f aca="false">IF(S59=1,"绿",IF(S59=-1,"红","蓝"))</f>
        <v>绿</v>
      </c>
      <c r="U59" s="44" t="n">
        <f aca="false">F59*(E59-E58)</f>
        <v>-193501.000000001</v>
      </c>
      <c r="V59" s="44" t="n">
        <f aca="false">2/(p_FiS+1)*U59+(1-2/(p_FiS+1))*V58</f>
        <v>116576.650215539</v>
      </c>
      <c r="W59" s="44" t="n">
        <f aca="false">2/(p_FiL+1)*U59+(1-2/(p_FiL+1))*W58</f>
        <v>207814.670980244</v>
      </c>
      <c r="X59" s="41" t="n">
        <f aca="false">MAX(C59-D59,ABS(C59-E58),ABS(D59-E58))</f>
        <v>0.279999999999998</v>
      </c>
      <c r="Y59" s="41" t="n">
        <f aca="true">AVERAGE(OFFSET(X59,1-MIN(p_AtrN,ROW()-4),0,MIN(p_AtrN,ROW()-4),1))</f>
        <v>0.527692307692308</v>
      </c>
      <c r="Z59" s="41" t="n">
        <f aca="false">IF(AND(C59-C58&gt;D58-D59,C59-C58&gt;0),C59-C58,0)</f>
        <v>0</v>
      </c>
      <c r="AA59" s="41" t="n">
        <f aca="false">IF(AND(D58-D59&gt;C59-C58,D58-D59&gt;0),D58-D59,0)</f>
        <v>0</v>
      </c>
      <c r="AB59" s="41" t="n">
        <f aca="false">2/(p_AdxN+1)*X59+(1-2/(p_AdxN+1))*AB58</f>
        <v>0.507665083879772</v>
      </c>
      <c r="AC59" s="41" t="n">
        <f aca="false">2/(p_AdxN+1)*Z59+(1-2/(p_AdxN+1))*AC58</f>
        <v>0.113744293657646</v>
      </c>
      <c r="AD59" s="41" t="n">
        <f aca="false">2/(p_AdxN+1)*AA59+(1-2/(p_AdxN+1))*AD58</f>
        <v>0.0847968766309735</v>
      </c>
      <c r="AE59" s="45" t="n">
        <f aca="false">100*AC59/AB59</f>
        <v>22.4053804899025</v>
      </c>
      <c r="AF59" s="45" t="n">
        <f aca="false">100*AD59/AB59</f>
        <v>16.7033107699515</v>
      </c>
      <c r="AG59" s="45" t="n">
        <f aca="false">IFERROR(100*ABS(AE59-AF59)/(AE59+AF59),0)</f>
        <v>14.5800576195816</v>
      </c>
      <c r="AH59" s="45" t="n">
        <f aca="false">2/(p_AdxN+1)*AG59+(1-2/(p_AdxN+1))*AH58</f>
        <v>21.9928869768336</v>
      </c>
      <c r="AI59" s="40" t="n">
        <f aca="false">I59*(1+p_ChPct)</f>
        <v>25.4132183602537</v>
      </c>
      <c r="AJ59" s="40" t="n">
        <f aca="false">I59*(1-p_ChPct)</f>
        <v>22.5362502439986</v>
      </c>
      <c r="AK59" s="40" t="n">
        <f aca="false">I59+1*Y59</f>
        <v>24.5024266098184</v>
      </c>
      <c r="AL59" s="40" t="n">
        <f aca="false">I59+2*Y59</f>
        <v>25.0301189175107</v>
      </c>
      <c r="AM59" s="40" t="n">
        <f aca="false">I59+3*Y59</f>
        <v>25.557811225203</v>
      </c>
      <c r="AN59" s="40" t="n">
        <f aca="false">I59-1*Y59</f>
        <v>23.4470419944338</v>
      </c>
      <c r="AO59" s="40" t="n">
        <f aca="false">I59-2*Y59</f>
        <v>22.9193496867415</v>
      </c>
      <c r="AP59" s="40" t="n">
        <f aca="false">I59-3*Y59</f>
        <v>22.3916573790492</v>
      </c>
      <c r="AQ59" s="40" t="n">
        <f aca="true">MAX(OFFSET(C59,1-MIN(p_StochN,ROW()-4),0,MIN(p_StochN,ROW()-4),1))</f>
        <v>24.86</v>
      </c>
      <c r="AR59" s="40" t="n">
        <f aca="true">MIN(OFFSET(D59,1-MIN(p_StochN,ROW()-4),0,MIN(p_StochN,ROW()-4),1))</f>
        <v>23.94</v>
      </c>
      <c r="AS59" s="45" t="n">
        <f aca="false">IF(AQ59=AR59,50,100*(E59-AR59)/(AQ59-AR59))</f>
        <v>82.6086956521739</v>
      </c>
      <c r="AT59" s="45" t="n">
        <f aca="true">AVERAGE(OFFSET(AS59,1-MIN(p_StochSm,ROW()-4),0,MIN(p_StochSm,ROW()-4),1))</f>
        <v>84.0284487385936</v>
      </c>
      <c r="AU59" s="45" t="n">
        <f aca="true">AVERAGE(OFFSET(AT59,1-MIN(p_StochSm,ROW()-4),0,MIN(p_StochSm,ROW()-4),1))</f>
        <v>84.6872102669204</v>
      </c>
      <c r="AV59" s="41" t="n">
        <f aca="false">MAX(0,H59-D59)</f>
        <v>0</v>
      </c>
      <c r="AW59" s="41" t="n">
        <f aca="true">IF(COUNTIF(OFFSET(AV59,1-MIN(p_PenLb,ROW()-4),0,MIN(p_PenLb,ROW()-4),1),"&gt;0")&gt;0,SUM(OFFSET(AV59,1-MIN(p_PenLb,ROW()-4),0,MIN(p_PenLb,ROW()-4),1))/COUNTIF(OFFSET(AV59,1-MIN(p_PenLb,ROW()-4),0,MIN(p_PenLb,ROW()-4),1),"&gt;0"),0.5*Y59)</f>
        <v>0.419196791781924</v>
      </c>
      <c r="AX59" s="41" t="n">
        <f aca="false">2*H59-H58</f>
        <v>24.3863845481787</v>
      </c>
      <c r="AY59" s="40" t="n">
        <f aca="false">ROUND(MAX(AX59-AW59,0.01),2)</f>
        <v>23.97</v>
      </c>
      <c r="AZ59" s="40" t="n">
        <f aca="true">IF(MIN(p_StopLb,ROW()-4)&lt;2,D59,SMALL(OFFSET(D59,1-MIN(p_StopLb,ROW()-4),0,MIN(p_StopLb,ROW()-4),1),2))</f>
        <v>23.27</v>
      </c>
      <c r="BA59" s="40" t="n">
        <f aca="false">IF(MOD(ROUND(ROUNDDOWN(MIN(AZ59-0.01,AY59-p_StopAtr*Y59),2)*100,0),50)=0,ROUNDDOWN(MIN(AZ59-0.01,AY59-p_StopAtr*Y59),2)-0.01,ROUNDDOWN(MIN(AZ59-0.01,AY59-p_StopAtr*Y59),2))</f>
        <v>23.26</v>
      </c>
      <c r="BB59" s="40" t="n">
        <f aca="false">ROUND(AI59,2)</f>
        <v>25.41</v>
      </c>
      <c r="BC59" s="40" t="n">
        <f aca="false">IF(AY59-BA59&gt;0,(BB59-AY59)/(AY59-BA59),0)</f>
        <v>2.02816901408452</v>
      </c>
      <c r="BD59" s="42" t="n">
        <f aca="false">IF(N59&lt;0,1,0)</f>
        <v>1</v>
      </c>
      <c r="BE59" s="41" t="n">
        <f aca="false">IF(AND(BD59=1,BD58=0),N59,IF(BD59=1,MIN(BE58,N59),BE58))</f>
        <v>-0.267100964273217</v>
      </c>
      <c r="BF59" s="40" t="n">
        <f aca="false">IF(AND(BD59=1,BD58=0),D59,IF(BD59=1,MIN(BF58,D59),BF58))</f>
        <v>23.24</v>
      </c>
      <c r="BG59" s="42" t="n">
        <f aca="false">IF(AND(BD59=1,BD58=0),ROW(),IF(BD59=1,IF(N59&lt;BE58,ROW(),BG58),BG58))</f>
        <v>52</v>
      </c>
      <c r="BH59" s="41" t="n">
        <f aca="false">IF(AND(BD59=1,BD58=0),BE58,BH58)</f>
        <v>-0.0234128043712021</v>
      </c>
      <c r="BI59" s="40" t="n">
        <f aca="false">IF(AND(BD59=1,BD58=0),BF58,BI58)</f>
        <v>19.42</v>
      </c>
      <c r="BJ59" s="42" t="n">
        <f aca="false">IF(AND(BD59=1,BD58=0),BG58,BJ58)</f>
        <v>10</v>
      </c>
      <c r="BK59" s="42" t="n">
        <f aca="false">IF(AND(ISNUMBER(BG59),ISNUMBER(BJ59)),BG59-BJ59,"")</f>
        <v>42</v>
      </c>
      <c r="BL59" s="42" t="n">
        <f aca="false">IF(AND(BD59=1,N59&gt;N58,ISNUMBER(BH59),ISNUMBER(BK59)),IF(AND(BE59&gt;BH59,BF59&lt;BI59,BK59&gt;=p_GapMin,BK59&lt;=p_GapMax),1,0),0)</f>
        <v>0</v>
      </c>
      <c r="BM59" s="42" t="n">
        <f aca="false">IF(AND(BL59=1,E59&gt;BI59),1,0)</f>
        <v>0</v>
      </c>
      <c r="BN59" s="42" t="n">
        <f aca="false">IF(BL59=1,IF(BE59&gt;=BH59*0.5,1,0),0)</f>
        <v>0</v>
      </c>
      <c r="BO59" s="42" t="n">
        <f aca="true">IF(V59&gt;MIN(OFFSET(V59,-MIN(p_FiLb-1,ROW()-5),0,MIN(p_FiLb-1,ROW()-5),1)),1,0)</f>
        <v>1</v>
      </c>
      <c r="BP59" s="44" t="n">
        <f aca="true">IF(COUNTIF(OFFSET(V59,1-MIN(100,ROW()-4),0,MIN(100,ROW()-4),1),"&lt;0")&gt;=5,AVERAGEIF(OFFSET(V59,1-MIN(100,ROW()-4),0,MIN(100,ROW()-4),1),"&lt;0"),"")</f>
        <v>-598779.707974002</v>
      </c>
      <c r="BQ59" s="42" t="n">
        <f aca="false">IF(ISNUMBER(BP59),IF(AND(V59&lt;5*BP59,V59&gt;V58,E59&lt;AJ59),1,0),0)</f>
        <v>0</v>
      </c>
      <c r="BR59" s="44" t="n">
        <f aca="true">AVERAGE(OFFSET(F59,1-MIN(5,ROW()-4),0,MIN(5,ROW()-4),1))</f>
        <v>3069580</v>
      </c>
      <c r="BS59" s="42" t="n">
        <f aca="false">IFERROR(IF(MATCH(G59,周线!$A$5:$A$84,0)&lt;=1,"",INDEX(周线!$R$5:$R$84,MATCH(G59,周线!$A$5:$A$84,0)-1)),"")</f>
        <v>1</v>
      </c>
      <c r="BT59" s="42" t="n">
        <f aca="false">IFERROR(IF(MATCH(G59,周线!$A$5:$A$84,0)&lt;=1,"",INDEX(周线!$S$5:$S$84,MATCH(G59,周线!$A$5:$A$84,0)-1)),"")</f>
        <v>0</v>
      </c>
      <c r="BU59" s="42" t="n">
        <f aca="false">IFERROR(IF(MATCH(G59,周线!$A$5:$A$84,0)&lt;=1,"",INDEX(周线!$U$5:$U$84,MATCH(G59,周线!$A$5:$A$84,0)-1)),"")</f>
        <v>0</v>
      </c>
      <c r="BV59" s="42" t="n">
        <f aca="false">IF(AND(BS59=1,S59&lt;&gt;-1,V59&lt;0,BO59=1,E59&lt;=H59,E59&gt;=AJ59),1,0)</f>
        <v>0</v>
      </c>
      <c r="BW59" s="42" t="n">
        <f aca="false">BL59</f>
        <v>0</v>
      </c>
      <c r="BX59" s="42" t="n">
        <f aca="false">BQ59</f>
        <v>0</v>
      </c>
      <c r="BY59" s="42" t="n">
        <f aca="false">IF(BS59=1,10,0)+IF(BU59=1,5,IF(BU59=-1,0,3))+IF(BT59=1,5,0)+IF(AND(AE59&gt;AF59,AH59&gt;AH58),5,0)</f>
        <v>13</v>
      </c>
      <c r="BZ59" s="42" t="n">
        <f aca="false">IF(AND(E59&lt;=H59,E59&gt;=I59),10,IF(AND(E59&gt;=AJ59,E59&lt;I59),6,0))+IF(AND(V59&lt;0,BO59=1),8,0)+IF(AT59&lt;30,7,IF(AT59&lt;50,3,0))</f>
        <v>0</v>
      </c>
      <c r="CA59" s="42" t="n">
        <f aca="false">IF(AND(BV59=1,BW59=1),25,IF(BW59=1,22,IF(BV59=1,15,IF(BX59=1,12,0))))</f>
        <v>0</v>
      </c>
      <c r="CB59" s="42" t="n">
        <f aca="false">IF(W59&gt;0,6,0)+IF(F59&lt;BR59,4,0)</f>
        <v>10</v>
      </c>
      <c r="CC59" s="42" t="n">
        <f aca="false">IF(BC59&gt;=3,15,IF(BC59&gt;=p_RRmin,10,IF(BC59&gt;=1.5,4,0)))</f>
        <v>10</v>
      </c>
      <c r="CD59" s="42" t="n">
        <f aca="false">BY59+BZ59+CA59+CB59+CC59</f>
        <v>33</v>
      </c>
      <c r="CE59" s="42" t="n">
        <f aca="false">IF(AND(BS59&lt;&gt;1,BW59+BX59=0),1,0)</f>
        <v>0</v>
      </c>
      <c r="CF59" s="42" t="n">
        <f aca="false">IF(BU59=-1,1,0)</f>
        <v>0</v>
      </c>
      <c r="CG59" s="42" t="n">
        <f aca="false">IF(S59=-1,1,0)</f>
        <v>0</v>
      </c>
      <c r="CH59" s="42" t="n">
        <f aca="false">IF(BV59+BW59+BX59=0,1,0)</f>
        <v>1</v>
      </c>
      <c r="CI59" s="42" t="n">
        <f aca="false">IF(BC59&lt;p_RRmin,1,0)</f>
        <v>0</v>
      </c>
      <c r="CJ59" s="46" t="str">
        <f aca="false">IF(SUM(CE59:CI59)=0,IF(CD59&gt;=p_GradeA,"A",IF(CD59&gt;=p_GradeB,"B","C")),IF(AND(CI59=1,SUM(CE59:CH59)=0,CD59&gt;=p_GradeB),"B","C"))</f>
        <v>C</v>
      </c>
    </row>
    <row r="60" customFormat="false" ht="15" hidden="false" customHeight="false" outlineLevel="0" collapsed="false">
      <c r="A60" s="36" t="n">
        <v>45736</v>
      </c>
      <c r="B60" s="37" t="n">
        <v>24.72</v>
      </c>
      <c r="C60" s="37" t="n">
        <v>25</v>
      </c>
      <c r="D60" s="37" t="n">
        <v>24.24</v>
      </c>
      <c r="E60" s="37" t="n">
        <v>24.54</v>
      </c>
      <c r="F60" s="38" t="n">
        <v>3233500</v>
      </c>
      <c r="G60" s="39" t="n">
        <f aca="false">A60-WEEKDAY(A60,3)</f>
        <v>45733</v>
      </c>
      <c r="H60" s="40" t="n">
        <f aca="false">2/(p_EmaF+1)*E60+(1-2/(p_EmaF+1))*H59</f>
        <v>24.3545669638409</v>
      </c>
      <c r="I60" s="40" t="n">
        <f aca="false">2/(p_EmaS+1)*E60+(1-2/(p_EmaS+1))*I59</f>
        <v>24.016605835302</v>
      </c>
      <c r="J60" s="41" t="n">
        <f aca="false">2/(p_MacdF+1)*E60+(1-2/(p_MacdF+1))*J59</f>
        <v>24.3724774527846</v>
      </c>
      <c r="K60" s="41" t="n">
        <f aca="false">2/(p_MacdS+1)*E60+(1-2/(p_MacdS+1))*K59</f>
        <v>24.016605835302</v>
      </c>
      <c r="L60" s="41" t="n">
        <f aca="false">J60-K60</f>
        <v>0.355871617482656</v>
      </c>
      <c r="M60" s="41" t="n">
        <f aca="false">2/(p_MacdSig+1)*L60+(1-2/(p_MacdSig+1))*M59</f>
        <v>0.40228934172018</v>
      </c>
      <c r="N60" s="41" t="n">
        <f aca="false">L60-M60</f>
        <v>-0.0464177242375243</v>
      </c>
      <c r="O60" s="42" t="n">
        <f aca="false">IF(H60&gt;H59,1,0)</f>
        <v>1</v>
      </c>
      <c r="P60" s="42" t="n">
        <f aca="false">IF(H60&lt;H59,1,0)</f>
        <v>0</v>
      </c>
      <c r="Q60" s="42" t="n">
        <f aca="false">IF(N60&gt;N59,1,0)</f>
        <v>1</v>
      </c>
      <c r="R60" s="42" t="n">
        <f aca="false">IF(N60&lt;N59,1,0)</f>
        <v>0</v>
      </c>
      <c r="S60" s="42" t="n">
        <f aca="false">IF(AND(O60=1,Q60=1),1,IF(AND(P60=1,R60=1),-1,0))</f>
        <v>1</v>
      </c>
      <c r="T60" s="43" t="str">
        <f aca="false">IF(S60=1,"绿",IF(S60=-1,"红","蓝"))</f>
        <v>绿</v>
      </c>
      <c r="U60" s="44" t="n">
        <f aca="false">F60*(E60-E59)</f>
        <v>-517360</v>
      </c>
      <c r="V60" s="44" t="n">
        <f aca="false">2/(p_FiS+1)*U60+(1-2/(p_FiS+1))*V59</f>
        <v>-306047.783261487</v>
      </c>
      <c r="W60" s="44" t="n">
        <f aca="false">2/(p_FiL+1)*U60+(1-2/(p_FiL+1))*W59</f>
        <v>104218.289411637</v>
      </c>
      <c r="X60" s="41" t="n">
        <f aca="false">MAX(C60-D60,ABS(C60-E59),ABS(D60-E59))</f>
        <v>0.760000000000002</v>
      </c>
      <c r="Y60" s="41" t="n">
        <f aca="true">AVERAGE(OFFSET(X60,1-MIN(p_AtrN,ROW()-4),0,MIN(p_AtrN,ROW()-4),1))</f>
        <v>0.563846153846154</v>
      </c>
      <c r="Z60" s="41" t="n">
        <f aca="false">IF(AND(C60-C59&gt;D59-D60,C60-C59&gt;0),C60-C59,0)</f>
        <v>0</v>
      </c>
      <c r="AA60" s="41" t="n">
        <f aca="false">IF(AND(D59-D60&gt;C60-C59,D59-D60&gt;0),D59-D60,0)</f>
        <v>0.290000000000003</v>
      </c>
      <c r="AB60" s="41" t="n">
        <f aca="false">2/(p_AdxN+1)*X60+(1-2/(p_AdxN+1))*AB59</f>
        <v>0.543712929039805</v>
      </c>
      <c r="AC60" s="41" t="n">
        <f aca="false">2/(p_AdxN+1)*Z60+(1-2/(p_AdxN+1))*AC59</f>
        <v>0.0974951088494107</v>
      </c>
      <c r="AD60" s="41" t="n">
        <f aca="false">2/(p_AdxN+1)*AA60+(1-2/(p_AdxN+1))*AD59</f>
        <v>0.114111608540835</v>
      </c>
      <c r="AE60" s="45" t="n">
        <f aca="false">100*AC60/AB60</f>
        <v>17.9313574576177</v>
      </c>
      <c r="AF60" s="45" t="n">
        <f aca="false">100*AD60/AB60</f>
        <v>20.9874738020954</v>
      </c>
      <c r="AG60" s="45" t="n">
        <f aca="false">IFERROR(100*ABS(AE60-AF60)/(AE60+AF60),0)</f>
        <v>7.85253884959612</v>
      </c>
      <c r="AH60" s="45" t="n">
        <f aca="false">2/(p_AdxN+1)*AG60+(1-2/(p_AdxN+1))*AH59</f>
        <v>19.9728372443711</v>
      </c>
      <c r="AI60" s="40" t="n">
        <f aca="false">I60*(1+p_ChPct)</f>
        <v>25.4576021854201</v>
      </c>
      <c r="AJ60" s="40" t="n">
        <f aca="false">I60*(1-p_ChPct)</f>
        <v>22.5756094851838</v>
      </c>
      <c r="AK60" s="40" t="n">
        <f aca="false">I60+1*Y60</f>
        <v>24.5804519891481</v>
      </c>
      <c r="AL60" s="40" t="n">
        <f aca="false">I60+2*Y60</f>
        <v>25.1442981429943</v>
      </c>
      <c r="AM60" s="40" t="n">
        <f aca="false">I60+3*Y60</f>
        <v>25.7081442968404</v>
      </c>
      <c r="AN60" s="40" t="n">
        <f aca="false">I60-1*Y60</f>
        <v>23.4527596814558</v>
      </c>
      <c r="AO60" s="40" t="n">
        <f aca="false">I60-2*Y60</f>
        <v>22.8889135276097</v>
      </c>
      <c r="AP60" s="40" t="n">
        <f aca="false">I60-3*Y60</f>
        <v>22.3250673737635</v>
      </c>
      <c r="AQ60" s="40" t="n">
        <f aca="true">MAX(OFFSET(C60,1-MIN(p_StochN,ROW()-4),0,MIN(p_StochN,ROW()-4),1))</f>
        <v>25</v>
      </c>
      <c r="AR60" s="40" t="n">
        <f aca="true">MIN(OFFSET(D60,1-MIN(p_StochN,ROW()-4),0,MIN(p_StochN,ROW()-4),1))</f>
        <v>23.94</v>
      </c>
      <c r="AS60" s="45" t="n">
        <f aca="false">IF(AQ60=AR60,50,100*(E60-AR60)/(AQ60-AR60))</f>
        <v>56.6037735849055</v>
      </c>
      <c r="AT60" s="45" t="n">
        <f aca="true">AVERAGE(OFFSET(AS60,1-MIN(p_StochSm,ROW()-4),0,MIN(p_StochSm,ROW()-4),1))</f>
        <v>76.4766201804757</v>
      </c>
      <c r="AU60" s="45" t="n">
        <f aca="true">AVERAGE(OFFSET(AT60,1-MIN(p_StochSm,ROW()-4),0,MIN(p_StochSm,ROW()-4),1))</f>
        <v>82.1809134396865</v>
      </c>
      <c r="AV60" s="41" t="n">
        <f aca="false">MAX(0,H60-D60)</f>
        <v>0.114566963840925</v>
      </c>
      <c r="AW60" s="41" t="n">
        <f aca="true">IF(COUNTIF(OFFSET(AV60,1-MIN(p_PenLb,ROW()-4),0,MIN(p_PenLb,ROW()-4),1),"&gt;0")&gt;0,SUM(OFFSET(AV60,1-MIN(p_PenLb,ROW()-4),0,MIN(p_PenLb,ROW()-4),1))/COUNTIF(OFFSET(AV60,1-MIN(p_PenLb,ROW()-4),0,MIN(p_PenLb,ROW()-4),1),"&gt;0"),0.5*Y60)</f>
        <v>0.385349033121813</v>
      </c>
      <c r="AX60" s="41" t="n">
        <f aca="false">2*H60-H59</f>
        <v>24.3854724698674</v>
      </c>
      <c r="AY60" s="40" t="n">
        <f aca="false">ROUND(MAX(AX60-AW60,0.01),2)</f>
        <v>24</v>
      </c>
      <c r="AZ60" s="40" t="n">
        <f aca="true">IF(MIN(p_StopLb,ROW()-4)&lt;2,D60,SMALL(OFFSET(D60,1-MIN(p_StopLb,ROW()-4),0,MIN(p_StopLb,ROW()-4),1),2))</f>
        <v>23.27</v>
      </c>
      <c r="BA60" s="40" t="n">
        <f aca="false">IF(MOD(ROUND(ROUNDDOWN(MIN(AZ60-0.01,AY60-p_StopAtr*Y60),2)*100,0),50)=0,ROUNDDOWN(MIN(AZ60-0.01,AY60-p_StopAtr*Y60),2)-0.01,ROUNDDOWN(MIN(AZ60-0.01,AY60-p_StopAtr*Y60),2))</f>
        <v>23.26</v>
      </c>
      <c r="BB60" s="40" t="n">
        <f aca="false">ROUND(AI60,2)</f>
        <v>25.46</v>
      </c>
      <c r="BC60" s="40" t="n">
        <f aca="false">IF(AY60-BA60&gt;0,(BB60-AY60)/(AY60-BA60),0)</f>
        <v>1.97297297297298</v>
      </c>
      <c r="BD60" s="42" t="n">
        <f aca="false">IF(N60&lt;0,1,0)</f>
        <v>1</v>
      </c>
      <c r="BE60" s="41" t="n">
        <f aca="false">IF(AND(BD60=1,BD59=0),N60,IF(BD60=1,MIN(BE59,N60),BE59))</f>
        <v>-0.267100964273217</v>
      </c>
      <c r="BF60" s="40" t="n">
        <f aca="false">IF(AND(BD60=1,BD59=0),D60,IF(BD60=1,MIN(BF59,D60),BF59))</f>
        <v>23.24</v>
      </c>
      <c r="BG60" s="42" t="n">
        <f aca="false">IF(AND(BD60=1,BD59=0),ROW(),IF(BD60=1,IF(N60&lt;BE59,ROW(),BG59),BG59))</f>
        <v>52</v>
      </c>
      <c r="BH60" s="41" t="n">
        <f aca="false">IF(AND(BD60=1,BD59=0),BE59,BH59)</f>
        <v>-0.0234128043712021</v>
      </c>
      <c r="BI60" s="40" t="n">
        <f aca="false">IF(AND(BD60=1,BD59=0),BF59,BI59)</f>
        <v>19.42</v>
      </c>
      <c r="BJ60" s="42" t="n">
        <f aca="false">IF(AND(BD60=1,BD59=0),BG59,BJ59)</f>
        <v>10</v>
      </c>
      <c r="BK60" s="42" t="n">
        <f aca="false">IF(AND(ISNUMBER(BG60),ISNUMBER(BJ60)),BG60-BJ60,"")</f>
        <v>42</v>
      </c>
      <c r="BL60" s="42" t="n">
        <f aca="false">IF(AND(BD60=1,N60&gt;N59,ISNUMBER(BH60),ISNUMBER(BK60)),IF(AND(BE60&gt;BH60,BF60&lt;BI60,BK60&gt;=p_GapMin,BK60&lt;=p_GapMax),1,0),0)</f>
        <v>0</v>
      </c>
      <c r="BM60" s="42" t="n">
        <f aca="false">IF(AND(BL60=1,E60&gt;BI60),1,0)</f>
        <v>0</v>
      </c>
      <c r="BN60" s="42" t="n">
        <f aca="false">IF(BL60=1,IF(BE60&gt;=BH60*0.5,1,0),0)</f>
        <v>0</v>
      </c>
      <c r="BO60" s="42" t="n">
        <f aca="true">IF(V60&gt;MIN(OFFSET(V60,-MIN(p_FiLb-1,ROW()-5),0,MIN(p_FiLb-1,ROW()-5),1)),1,0)</f>
        <v>1</v>
      </c>
      <c r="BP60" s="44" t="n">
        <f aca="true">IF(COUNTIF(OFFSET(V60,1-MIN(100,ROW()-4),0,MIN(100,ROW()-4),1),"&lt;0")&gt;=5,AVERAGEIF(OFFSET(V60,1-MIN(100,ROW()-4),0,MIN(100,ROW()-4),1),"&lt;0"),"")</f>
        <v>-584143.111738376</v>
      </c>
      <c r="BQ60" s="42" t="n">
        <f aca="false">IF(ISNUMBER(BP60),IF(AND(V60&lt;5*BP60,V60&gt;V59,E60&lt;AJ60),1,0),0)</f>
        <v>0</v>
      </c>
      <c r="BR60" s="44" t="n">
        <f aca="true">AVERAGE(OFFSET(F60,1-MIN(5,ROW()-4),0,MIN(5,ROW()-4),1))</f>
        <v>3176960</v>
      </c>
      <c r="BS60" s="42" t="n">
        <f aca="false">IFERROR(IF(MATCH(G60,周线!$A$5:$A$84,0)&lt;=1,"",INDEX(周线!$R$5:$R$84,MATCH(G60,周线!$A$5:$A$84,0)-1)),"")</f>
        <v>1</v>
      </c>
      <c r="BT60" s="42" t="n">
        <f aca="false">IFERROR(IF(MATCH(G60,周线!$A$5:$A$84,0)&lt;=1,"",INDEX(周线!$S$5:$S$84,MATCH(G60,周线!$A$5:$A$84,0)-1)),"")</f>
        <v>0</v>
      </c>
      <c r="BU60" s="42" t="n">
        <f aca="false">IFERROR(IF(MATCH(G60,周线!$A$5:$A$84,0)&lt;=1,"",INDEX(周线!$U$5:$U$84,MATCH(G60,周线!$A$5:$A$84,0)-1)),"")</f>
        <v>0</v>
      </c>
      <c r="BV60" s="42" t="n">
        <f aca="false">IF(AND(BS60=1,S60&lt;&gt;-1,V60&lt;0,BO60=1,E60&lt;=H60,E60&gt;=AJ60),1,0)</f>
        <v>0</v>
      </c>
      <c r="BW60" s="42" t="n">
        <f aca="false">BL60</f>
        <v>0</v>
      </c>
      <c r="BX60" s="42" t="n">
        <f aca="false">BQ60</f>
        <v>0</v>
      </c>
      <c r="BY60" s="42" t="n">
        <f aca="false">IF(BS60=1,10,0)+IF(BU60=1,5,IF(BU60=-1,0,3))+IF(BT60=1,5,0)+IF(AND(AE60&gt;AF60,AH60&gt;AH59),5,0)</f>
        <v>13</v>
      </c>
      <c r="BZ60" s="42" t="n">
        <f aca="false">IF(AND(E60&lt;=H60,E60&gt;=I60),10,IF(AND(E60&gt;=AJ60,E60&lt;I60),6,0))+IF(AND(V60&lt;0,BO60=1),8,0)+IF(AT60&lt;30,7,IF(AT60&lt;50,3,0))</f>
        <v>8</v>
      </c>
      <c r="CA60" s="42" t="n">
        <f aca="false">IF(AND(BV60=1,BW60=1),25,IF(BW60=1,22,IF(BV60=1,15,IF(BX60=1,12,0))))</f>
        <v>0</v>
      </c>
      <c r="CB60" s="42" t="n">
        <f aca="false">IF(W60&gt;0,6,0)+IF(F60&lt;BR60,4,0)</f>
        <v>6</v>
      </c>
      <c r="CC60" s="42" t="n">
        <f aca="false">IF(BC60&gt;=3,15,IF(BC60&gt;=p_RRmin,10,IF(BC60&gt;=1.5,4,0)))</f>
        <v>4</v>
      </c>
      <c r="CD60" s="42" t="n">
        <f aca="false">BY60+BZ60+CA60+CB60+CC60</f>
        <v>31</v>
      </c>
      <c r="CE60" s="42" t="n">
        <f aca="false">IF(AND(BS60&lt;&gt;1,BW60+BX60=0),1,0)</f>
        <v>0</v>
      </c>
      <c r="CF60" s="42" t="n">
        <f aca="false">IF(BU60=-1,1,0)</f>
        <v>0</v>
      </c>
      <c r="CG60" s="42" t="n">
        <f aca="false">IF(S60=-1,1,0)</f>
        <v>0</v>
      </c>
      <c r="CH60" s="42" t="n">
        <f aca="false">IF(BV60+BW60+BX60=0,1,0)</f>
        <v>1</v>
      </c>
      <c r="CI60" s="42" t="n">
        <f aca="false">IF(BC60&lt;p_RRmin,1,0)</f>
        <v>1</v>
      </c>
      <c r="CJ60" s="46" t="str">
        <f aca="false">IF(SUM(CE60:CI60)=0,IF(CD60&gt;=p_GradeA,"A",IF(CD60&gt;=p_GradeB,"B","C")),IF(AND(CI60=1,SUM(CE60:CH60)=0,CD60&gt;=p_GradeB),"B","C"))</f>
        <v>C</v>
      </c>
    </row>
    <row r="61" customFormat="false" ht="15" hidden="false" customHeight="false" outlineLevel="0" collapsed="false">
      <c r="A61" s="36" t="n">
        <v>45737</v>
      </c>
      <c r="B61" s="37" t="n">
        <v>24.52</v>
      </c>
      <c r="C61" s="37" t="n">
        <v>24.79</v>
      </c>
      <c r="D61" s="37" t="n">
        <v>24.39</v>
      </c>
      <c r="E61" s="37" t="n">
        <v>24.67</v>
      </c>
      <c r="F61" s="38" t="n">
        <v>4305400</v>
      </c>
      <c r="G61" s="39" t="n">
        <f aca="false">A61-WEEKDAY(A61,3)</f>
        <v>45733</v>
      </c>
      <c r="H61" s="40" t="n">
        <f aca="false">2/(p_EmaF+1)*E61+(1-2/(p_EmaF+1))*H60</f>
        <v>24.3996288261494</v>
      </c>
      <c r="I61" s="40" t="n">
        <f aca="false">2/(p_EmaS+1)*E61+(1-2/(p_EmaS+1))*I60</f>
        <v>24.0650054030574</v>
      </c>
      <c r="J61" s="41" t="n">
        <f aca="false">2/(p_MacdF+1)*E61+(1-2/(p_MacdF+1))*J60</f>
        <v>24.4182501523562</v>
      </c>
      <c r="K61" s="41" t="n">
        <f aca="false">2/(p_MacdS+1)*E61+(1-2/(p_MacdS+1))*K60</f>
        <v>24.0650054030574</v>
      </c>
      <c r="L61" s="41" t="n">
        <f aca="false">J61-K61</f>
        <v>0.353244749298845</v>
      </c>
      <c r="M61" s="41" t="n">
        <f aca="false">2/(p_MacdSig+1)*L61+(1-2/(p_MacdSig+1))*M60</f>
        <v>0.392480423235913</v>
      </c>
      <c r="N61" s="41" t="n">
        <f aca="false">L61-M61</f>
        <v>-0.0392356739370678</v>
      </c>
      <c r="O61" s="42" t="n">
        <f aca="false">IF(H61&gt;H60,1,0)</f>
        <v>1</v>
      </c>
      <c r="P61" s="42" t="n">
        <f aca="false">IF(H61&lt;H60,1,0)</f>
        <v>0</v>
      </c>
      <c r="Q61" s="42" t="n">
        <f aca="false">IF(N61&gt;N60,1,0)</f>
        <v>1</v>
      </c>
      <c r="R61" s="42" t="n">
        <f aca="false">IF(N61&lt;N60,1,0)</f>
        <v>0</v>
      </c>
      <c r="S61" s="42" t="n">
        <f aca="false">IF(AND(O61=1,Q61=1),1,IF(AND(P61=1,R61=1),-1,0))</f>
        <v>1</v>
      </c>
      <c r="T61" s="43" t="str">
        <f aca="false">IF(S61=1,"绿",IF(S61=-1,"红","蓝"))</f>
        <v>绿</v>
      </c>
      <c r="U61" s="44" t="n">
        <f aca="false">F61*(E61-E60)</f>
        <v>559702.000000011</v>
      </c>
      <c r="V61" s="44" t="n">
        <f aca="false">2/(p_FiS+1)*U61+(1-2/(p_FiS+1))*V60</f>
        <v>271118.738912845</v>
      </c>
      <c r="W61" s="44" t="n">
        <f aca="false">2/(p_FiL+1)*U61+(1-2/(p_FiL+1))*W60</f>
        <v>169287.390924262</v>
      </c>
      <c r="X61" s="41" t="n">
        <f aca="false">MAX(C61-D61,ABS(C61-E60),ABS(D61-E60))</f>
        <v>0.399999999999999</v>
      </c>
      <c r="Y61" s="41" t="n">
        <f aca="true">AVERAGE(OFFSET(X61,1-MIN(p_AtrN,ROW()-4),0,MIN(p_AtrN,ROW()-4),1))</f>
        <v>0.561538461538462</v>
      </c>
      <c r="Z61" s="41" t="n">
        <f aca="false">IF(AND(C61-C60&gt;D60-D61,C61-C60&gt;0),C61-C60,0)</f>
        <v>0</v>
      </c>
      <c r="AA61" s="41" t="n">
        <f aca="false">IF(AND(D60-D61&gt;C61-C60,D60-D61&gt;0),D60-D61,0)</f>
        <v>0</v>
      </c>
      <c r="AB61" s="41" t="n">
        <f aca="false">2/(p_AdxN+1)*X61+(1-2/(p_AdxN+1))*AB60</f>
        <v>0.523182510605547</v>
      </c>
      <c r="AC61" s="41" t="n">
        <f aca="false">2/(p_AdxN+1)*Z61+(1-2/(p_AdxN+1))*AC60</f>
        <v>0.0835672361566378</v>
      </c>
      <c r="AD61" s="41" t="n">
        <f aca="false">2/(p_AdxN+1)*AA61+(1-2/(p_AdxN+1))*AD60</f>
        <v>0.0978099501778584</v>
      </c>
      <c r="AE61" s="45" t="n">
        <f aca="false">100*AC61/AB61</f>
        <v>15.9728650064993</v>
      </c>
      <c r="AF61" s="45" t="n">
        <f aca="false">100*AD61/AB61</f>
        <v>18.6951872807541</v>
      </c>
      <c r="AG61" s="45" t="n">
        <f aca="false">IFERROR(100*ABS(AE61-AF61)/(AE61+AF61),0)</f>
        <v>7.85253884959611</v>
      </c>
      <c r="AH61" s="45" t="n">
        <f aca="false">2/(p_AdxN+1)*AG61+(1-2/(p_AdxN+1))*AH60</f>
        <v>18.2413660451176</v>
      </c>
      <c r="AI61" s="40" t="n">
        <f aca="false">I61*(1+p_ChPct)</f>
        <v>25.5089057272408</v>
      </c>
      <c r="AJ61" s="40" t="n">
        <f aca="false">I61*(1-p_ChPct)</f>
        <v>22.6211050788739</v>
      </c>
      <c r="AK61" s="40" t="n">
        <f aca="false">I61+1*Y61</f>
        <v>24.6265438645958</v>
      </c>
      <c r="AL61" s="40" t="n">
        <f aca="false">I61+2*Y61</f>
        <v>25.1880823261343</v>
      </c>
      <c r="AM61" s="40" t="n">
        <f aca="false">I61+3*Y61</f>
        <v>25.7496207876728</v>
      </c>
      <c r="AN61" s="40" t="n">
        <f aca="false">I61-1*Y61</f>
        <v>23.5034669415189</v>
      </c>
      <c r="AO61" s="40" t="n">
        <f aca="false">I61-2*Y61</f>
        <v>22.9419284799804</v>
      </c>
      <c r="AP61" s="40" t="n">
        <f aca="false">I61-3*Y61</f>
        <v>22.380390018442</v>
      </c>
      <c r="AQ61" s="40" t="n">
        <f aca="true">MAX(OFFSET(C61,1-MIN(p_StochN,ROW()-4),0,MIN(p_StochN,ROW()-4),1))</f>
        <v>25</v>
      </c>
      <c r="AR61" s="40" t="n">
        <f aca="true">MIN(OFFSET(D61,1-MIN(p_StochN,ROW()-4),0,MIN(p_StochN,ROW()-4),1))</f>
        <v>24.12</v>
      </c>
      <c r="AS61" s="45" t="n">
        <f aca="false">IF(AQ61=AR61,50,100*(E61-AR61)/(AQ61-AR61))</f>
        <v>62.5000000000002</v>
      </c>
      <c r="AT61" s="45" t="n">
        <f aca="true">AVERAGE(OFFSET(AS61,1-MIN(p_StochSm,ROW()-4),0,MIN(p_StochSm,ROW()-4),1))</f>
        <v>67.2374897456932</v>
      </c>
      <c r="AU61" s="45" t="n">
        <f aca="true">AVERAGE(OFFSET(AT61,1-MIN(p_StochSm,ROW()-4),0,MIN(p_StochSm,ROW()-4),1))</f>
        <v>75.9141862215875</v>
      </c>
      <c r="AV61" s="41" t="n">
        <f aca="false">MAX(0,H61-D61)</f>
        <v>0.00962882614936333</v>
      </c>
      <c r="AW61" s="41" t="n">
        <f aca="true">IF(COUNTIF(OFFSET(AV61,1-MIN(p_PenLb,ROW()-4),0,MIN(p_PenLb,ROW()-4),1),"&gt;0")&gt;0,SUM(OFFSET(AV61,1-MIN(p_PenLb,ROW()-4),0,MIN(p_PenLb,ROW()-4),1))/COUNTIF(OFFSET(AV61,1-MIN(p_PenLb,ROW()-4),0,MIN(p_PenLb,ROW()-4),1),"&gt;0"),0.5*Y61)</f>
        <v>0.347777012424568</v>
      </c>
      <c r="AX61" s="41" t="n">
        <f aca="false">2*H61-H60</f>
        <v>24.4446906884578</v>
      </c>
      <c r="AY61" s="40" t="n">
        <f aca="false">ROUND(MAX(AX61-AW61,0.01),2)</f>
        <v>24.1</v>
      </c>
      <c r="AZ61" s="40" t="n">
        <f aca="true">IF(MIN(p_StopLb,ROW()-4)&lt;2,D61,SMALL(OFFSET(D61,1-MIN(p_StopLb,ROW()-4),0,MIN(p_StopLb,ROW()-4),1),2))</f>
        <v>23.36</v>
      </c>
      <c r="BA61" s="40" t="n">
        <f aca="false">IF(MOD(ROUND(ROUNDDOWN(MIN(AZ61-0.01,AY61-p_StopAtr*Y61),2)*100,0),50)=0,ROUNDDOWN(MIN(AZ61-0.01,AY61-p_StopAtr*Y61),2)-0.01,ROUNDDOWN(MIN(AZ61-0.01,AY61-p_StopAtr*Y61),2))</f>
        <v>23.35</v>
      </c>
      <c r="BB61" s="40" t="n">
        <f aca="false">ROUND(AI61,2)</f>
        <v>25.51</v>
      </c>
      <c r="BC61" s="40" t="n">
        <f aca="false">IF(AY61-BA61&gt;0,(BB61-AY61)/(AY61-BA61),0)</f>
        <v>1.88</v>
      </c>
      <c r="BD61" s="42" t="n">
        <f aca="false">IF(N61&lt;0,1,0)</f>
        <v>1</v>
      </c>
      <c r="BE61" s="41" t="n">
        <f aca="false">IF(AND(BD61=1,BD60=0),N61,IF(BD61=1,MIN(BE60,N61),BE60))</f>
        <v>-0.267100964273217</v>
      </c>
      <c r="BF61" s="40" t="n">
        <f aca="false">IF(AND(BD61=1,BD60=0),D61,IF(BD61=1,MIN(BF60,D61),BF60))</f>
        <v>23.24</v>
      </c>
      <c r="BG61" s="42" t="n">
        <f aca="false">IF(AND(BD61=1,BD60=0),ROW(),IF(BD61=1,IF(N61&lt;BE60,ROW(),BG60),BG60))</f>
        <v>52</v>
      </c>
      <c r="BH61" s="41" t="n">
        <f aca="false">IF(AND(BD61=1,BD60=0),BE60,BH60)</f>
        <v>-0.0234128043712021</v>
      </c>
      <c r="BI61" s="40" t="n">
        <f aca="false">IF(AND(BD61=1,BD60=0),BF60,BI60)</f>
        <v>19.42</v>
      </c>
      <c r="BJ61" s="42" t="n">
        <f aca="false">IF(AND(BD61=1,BD60=0),BG60,BJ60)</f>
        <v>10</v>
      </c>
      <c r="BK61" s="42" t="n">
        <f aca="false">IF(AND(ISNUMBER(BG61),ISNUMBER(BJ61)),BG61-BJ61,"")</f>
        <v>42</v>
      </c>
      <c r="BL61" s="42" t="n">
        <f aca="false">IF(AND(BD61=1,N61&gt;N60,ISNUMBER(BH61),ISNUMBER(BK61)),IF(AND(BE61&gt;BH61,BF61&lt;BI61,BK61&gt;=p_GapMin,BK61&lt;=p_GapMax),1,0),0)</f>
        <v>0</v>
      </c>
      <c r="BM61" s="42" t="n">
        <f aca="false">IF(AND(BL61=1,E61&gt;BI61),1,0)</f>
        <v>0</v>
      </c>
      <c r="BN61" s="42" t="n">
        <f aca="false">IF(BL61=1,IF(BE61&gt;=BH61*0.5,1,0),0)</f>
        <v>0</v>
      </c>
      <c r="BO61" s="42" t="n">
        <f aca="true">IF(V61&gt;MIN(OFFSET(V61,-MIN(p_FiLb-1,ROW()-5),0,MIN(p_FiLb-1,ROW()-5),1)),1,0)</f>
        <v>1</v>
      </c>
      <c r="BP61" s="44" t="n">
        <f aca="true">IF(COUNTIF(OFFSET(V61,1-MIN(100,ROW()-4),0,MIN(100,ROW()-4),1),"&lt;0")&gt;=5,AVERAGEIF(OFFSET(V61,1-MIN(100,ROW()-4),0,MIN(100,ROW()-4),1),"&lt;0"),"")</f>
        <v>-584143.111738376</v>
      </c>
      <c r="BQ61" s="42" t="n">
        <f aca="false">IF(ISNUMBER(BP61),IF(AND(V61&lt;5*BP61,V61&gt;V60,E61&lt;AJ61),1,0),0)</f>
        <v>0</v>
      </c>
      <c r="BR61" s="44" t="n">
        <f aca="true">AVERAGE(OFFSET(F61,1-MIN(5,ROW()-4),0,MIN(5,ROW()-4),1))</f>
        <v>3358020</v>
      </c>
      <c r="BS61" s="42" t="n">
        <f aca="false">IFERROR(IF(MATCH(G61,周线!$A$5:$A$84,0)&lt;=1,"",INDEX(周线!$R$5:$R$84,MATCH(G61,周线!$A$5:$A$84,0)-1)),"")</f>
        <v>1</v>
      </c>
      <c r="BT61" s="42" t="n">
        <f aca="false">IFERROR(IF(MATCH(G61,周线!$A$5:$A$84,0)&lt;=1,"",INDEX(周线!$S$5:$S$84,MATCH(G61,周线!$A$5:$A$84,0)-1)),"")</f>
        <v>0</v>
      </c>
      <c r="BU61" s="42" t="n">
        <f aca="false">IFERROR(IF(MATCH(G61,周线!$A$5:$A$84,0)&lt;=1,"",INDEX(周线!$U$5:$U$84,MATCH(G61,周线!$A$5:$A$84,0)-1)),"")</f>
        <v>0</v>
      </c>
      <c r="BV61" s="42" t="n">
        <f aca="false">IF(AND(BS61=1,S61&lt;&gt;-1,V61&lt;0,BO61=1,E61&lt;=H61,E61&gt;=AJ61),1,0)</f>
        <v>0</v>
      </c>
      <c r="BW61" s="42" t="n">
        <f aca="false">BL61</f>
        <v>0</v>
      </c>
      <c r="BX61" s="42" t="n">
        <f aca="false">BQ61</f>
        <v>0</v>
      </c>
      <c r="BY61" s="42" t="n">
        <f aca="false">IF(BS61=1,10,0)+IF(BU61=1,5,IF(BU61=-1,0,3))+IF(BT61=1,5,0)+IF(AND(AE61&gt;AF61,AH61&gt;AH60),5,0)</f>
        <v>13</v>
      </c>
      <c r="BZ61" s="42" t="n">
        <f aca="false">IF(AND(E61&lt;=H61,E61&gt;=I61),10,IF(AND(E61&gt;=AJ61,E61&lt;I61),6,0))+IF(AND(V61&lt;0,BO61=1),8,0)+IF(AT61&lt;30,7,IF(AT61&lt;50,3,0))</f>
        <v>0</v>
      </c>
      <c r="CA61" s="42" t="n">
        <f aca="false">IF(AND(BV61=1,BW61=1),25,IF(BW61=1,22,IF(BV61=1,15,IF(BX61=1,12,0))))</f>
        <v>0</v>
      </c>
      <c r="CB61" s="42" t="n">
        <f aca="false">IF(W61&gt;0,6,0)+IF(F61&lt;BR61,4,0)</f>
        <v>6</v>
      </c>
      <c r="CC61" s="42" t="n">
        <f aca="false">IF(BC61&gt;=3,15,IF(BC61&gt;=p_RRmin,10,IF(BC61&gt;=1.5,4,0)))</f>
        <v>4</v>
      </c>
      <c r="CD61" s="42" t="n">
        <f aca="false">BY61+BZ61+CA61+CB61+CC61</f>
        <v>23</v>
      </c>
      <c r="CE61" s="42" t="n">
        <f aca="false">IF(AND(BS61&lt;&gt;1,BW61+BX61=0),1,0)</f>
        <v>0</v>
      </c>
      <c r="CF61" s="42" t="n">
        <f aca="false">IF(BU61=-1,1,0)</f>
        <v>0</v>
      </c>
      <c r="CG61" s="42" t="n">
        <f aca="false">IF(S61=-1,1,0)</f>
        <v>0</v>
      </c>
      <c r="CH61" s="42" t="n">
        <f aca="false">IF(BV61+BW61+BX61=0,1,0)</f>
        <v>1</v>
      </c>
      <c r="CI61" s="42" t="n">
        <f aca="false">IF(BC61&lt;p_RRmin,1,0)</f>
        <v>1</v>
      </c>
      <c r="CJ61" s="46" t="str">
        <f aca="false">IF(SUM(CE61:CI61)=0,IF(CD61&gt;=p_GradeA,"A",IF(CD61&gt;=p_GradeB,"B","C")),IF(AND(CI61=1,SUM(CE61:CH61)=0,CD61&gt;=p_GradeB),"B","C"))</f>
        <v>C</v>
      </c>
    </row>
    <row r="62" customFormat="false" ht="15" hidden="false" customHeight="false" outlineLevel="0" collapsed="false">
      <c r="A62" s="36" t="n">
        <v>45740</v>
      </c>
      <c r="B62" s="37" t="n">
        <v>24.74</v>
      </c>
      <c r="C62" s="37" t="n">
        <v>25.1</v>
      </c>
      <c r="D62" s="37" t="n">
        <v>24.6</v>
      </c>
      <c r="E62" s="37" t="n">
        <v>25.03</v>
      </c>
      <c r="F62" s="38" t="n">
        <v>3913400</v>
      </c>
      <c r="G62" s="39" t="n">
        <f aca="false">A62-WEEKDAY(A62,3)</f>
        <v>45740</v>
      </c>
      <c r="H62" s="40" t="n">
        <f aca="false">2/(p_EmaF+1)*E62+(1-2/(p_EmaF+1))*H61</f>
        <v>24.4896818509852</v>
      </c>
      <c r="I62" s="40" t="n">
        <f aca="false">2/(p_EmaS+1)*E62+(1-2/(p_EmaS+1))*I61</f>
        <v>24.1364864843124</v>
      </c>
      <c r="J62" s="41" t="n">
        <f aca="false">2/(p_MacdF+1)*E62+(1-2/(p_MacdF+1))*J61</f>
        <v>24.5123655135322</v>
      </c>
      <c r="K62" s="41" t="n">
        <f aca="false">2/(p_MacdS+1)*E62+(1-2/(p_MacdS+1))*K61</f>
        <v>24.1364864843124</v>
      </c>
      <c r="L62" s="41" t="n">
        <f aca="false">J62-K62</f>
        <v>0.375879029219803</v>
      </c>
      <c r="M62" s="41" t="n">
        <f aca="false">2/(p_MacdSig+1)*L62+(1-2/(p_MacdSig+1))*M61</f>
        <v>0.389160144432691</v>
      </c>
      <c r="N62" s="41" t="n">
        <f aca="false">L62-M62</f>
        <v>-0.0132811152128882</v>
      </c>
      <c r="O62" s="42" t="n">
        <f aca="false">IF(H62&gt;H61,1,0)</f>
        <v>1</v>
      </c>
      <c r="P62" s="42" t="n">
        <f aca="false">IF(H62&lt;H61,1,0)</f>
        <v>0</v>
      </c>
      <c r="Q62" s="42" t="n">
        <f aca="false">IF(N62&gt;N61,1,0)</f>
        <v>1</v>
      </c>
      <c r="R62" s="42" t="n">
        <f aca="false">IF(N62&lt;N61,1,0)</f>
        <v>0</v>
      </c>
      <c r="S62" s="42" t="n">
        <f aca="false">IF(AND(O62=1,Q62=1),1,IF(AND(P62=1,R62=1),-1,0))</f>
        <v>1</v>
      </c>
      <c r="T62" s="43" t="str">
        <f aca="false">IF(S62=1,"绿",IF(S62=-1,"红","蓝"))</f>
        <v>绿</v>
      </c>
      <c r="U62" s="44" t="n">
        <f aca="false">F62*(E62-E61)</f>
        <v>1408824</v>
      </c>
      <c r="V62" s="44" t="n">
        <f aca="false">2/(p_FiS+1)*U62+(1-2/(p_FiS+1))*V61</f>
        <v>1029588.91297095</v>
      </c>
      <c r="W62" s="44" t="n">
        <f aca="false">2/(p_FiL+1)*U62+(1-2/(p_FiL+1))*W61</f>
        <v>346364.049363653</v>
      </c>
      <c r="X62" s="41" t="n">
        <f aca="false">MAX(C62-D62,ABS(C62-E61),ABS(D62-E61))</f>
        <v>0.5</v>
      </c>
      <c r="Y62" s="41" t="n">
        <f aca="true">AVERAGE(OFFSET(X62,1-MIN(p_AtrN,ROW()-4),0,MIN(p_AtrN,ROW()-4),1))</f>
        <v>0.541538461538462</v>
      </c>
      <c r="Z62" s="41" t="n">
        <f aca="false">IF(AND(C62-C61&gt;D61-D62,C62-C61&gt;0),C62-C61,0)</f>
        <v>0.310000000000002</v>
      </c>
      <c r="AA62" s="41" t="n">
        <f aca="false">IF(AND(D61-D62&gt;C62-C61,D61-D62&gt;0),D61-D62,0)</f>
        <v>0</v>
      </c>
      <c r="AB62" s="41" t="n">
        <f aca="false">2/(p_AdxN+1)*X62+(1-2/(p_AdxN+1))*AB61</f>
        <v>0.519870723376183</v>
      </c>
      <c r="AC62" s="41" t="n">
        <f aca="false">2/(p_AdxN+1)*Z62+(1-2/(p_AdxN+1))*AC61</f>
        <v>0.115914773848547</v>
      </c>
      <c r="AD62" s="41" t="n">
        <f aca="false">2/(p_AdxN+1)*AA62+(1-2/(p_AdxN+1))*AD61</f>
        <v>0.0838371001524501</v>
      </c>
      <c r="AE62" s="45" t="n">
        <f aca="false">100*AC62/AB62</f>
        <v>22.2968458573248</v>
      </c>
      <c r="AF62" s="45" t="n">
        <f aca="false">100*AD62/AB62</f>
        <v>16.1265284584577</v>
      </c>
      <c r="AG62" s="45" t="n">
        <f aca="false">IFERROR(100*ABS(AE62-AF62)/(AE62+AF62),0)</f>
        <v>16.0587598271728</v>
      </c>
      <c r="AH62" s="45" t="n">
        <f aca="false">2/(p_AdxN+1)*AG62+(1-2/(p_AdxN+1))*AH61</f>
        <v>17.9295651568397</v>
      </c>
      <c r="AI62" s="40" t="n">
        <f aca="false">I62*(1+p_ChPct)</f>
        <v>25.5846756733711</v>
      </c>
      <c r="AJ62" s="40" t="n">
        <f aca="false">I62*(1-p_ChPct)</f>
        <v>22.6882972952536</v>
      </c>
      <c r="AK62" s="40" t="n">
        <f aca="false">I62+1*Y62</f>
        <v>24.6780249458508</v>
      </c>
      <c r="AL62" s="40" t="n">
        <f aca="false">I62+2*Y62</f>
        <v>25.2195634073893</v>
      </c>
      <c r="AM62" s="40" t="n">
        <f aca="false">I62+3*Y62</f>
        <v>25.7611018689278</v>
      </c>
      <c r="AN62" s="40" t="n">
        <f aca="false">I62-1*Y62</f>
        <v>23.5949480227739</v>
      </c>
      <c r="AO62" s="40" t="n">
        <f aca="false">I62-2*Y62</f>
        <v>23.0534095612355</v>
      </c>
      <c r="AP62" s="40" t="n">
        <f aca="false">I62-3*Y62</f>
        <v>22.511871099697</v>
      </c>
      <c r="AQ62" s="40" t="n">
        <f aca="true">MAX(OFFSET(C62,1-MIN(p_StochN,ROW()-4),0,MIN(p_StochN,ROW()-4),1))</f>
        <v>25.1</v>
      </c>
      <c r="AR62" s="40" t="n">
        <f aca="true">MIN(OFFSET(D62,1-MIN(p_StochN,ROW()-4),0,MIN(p_StochN,ROW()-4),1))</f>
        <v>24.24</v>
      </c>
      <c r="AS62" s="45" t="n">
        <f aca="false">IF(AQ62=AR62,50,100*(E62-AR62)/(AQ62-AR62))</f>
        <v>91.8604651162791</v>
      </c>
      <c r="AT62" s="45" t="n">
        <f aca="true">AVERAGE(OFFSET(AS62,1-MIN(p_StochSm,ROW()-4),0,MIN(p_StochSm,ROW()-4),1))</f>
        <v>70.3214129003949</v>
      </c>
      <c r="AU62" s="45" t="n">
        <f aca="true">AVERAGE(OFFSET(AT62,1-MIN(p_StochSm,ROW()-4),0,MIN(p_StochSm,ROW()-4),1))</f>
        <v>71.3451742755213</v>
      </c>
      <c r="AV62" s="41" t="n">
        <f aca="false">MAX(0,H62-D62)</f>
        <v>0</v>
      </c>
      <c r="AW62" s="41" t="n">
        <f aca="true">IF(COUNTIF(OFFSET(AV62,1-MIN(p_PenLb,ROW()-4),0,MIN(p_PenLb,ROW()-4),1),"&gt;0")&gt;0,SUM(OFFSET(AV62,1-MIN(p_PenLb,ROW()-4),0,MIN(p_PenLb,ROW()-4),1))/COUNTIF(OFFSET(AV62,1-MIN(p_PenLb,ROW()-4),0,MIN(p_PenLb,ROW()-4),1),"&gt;0"),0.5*Y62)</f>
        <v>0.347777012424568</v>
      </c>
      <c r="AX62" s="41" t="n">
        <f aca="false">2*H62-H61</f>
        <v>24.579734875821</v>
      </c>
      <c r="AY62" s="40" t="n">
        <f aca="false">ROUND(MAX(AX62-AW62,0.01),2)</f>
        <v>24.23</v>
      </c>
      <c r="AZ62" s="40" t="n">
        <f aca="true">IF(MIN(p_StopLb,ROW()-4)&lt;2,D62,SMALL(OFFSET(D62,1-MIN(p_StopLb,ROW()-4),0,MIN(p_StopLb,ROW()-4),1),2))</f>
        <v>23.94</v>
      </c>
      <c r="BA62" s="40" t="n">
        <f aca="false">IF(MOD(ROUND(ROUNDDOWN(MIN(AZ62-0.01,AY62-p_StopAtr*Y62),2)*100,0),50)=0,ROUNDDOWN(MIN(AZ62-0.01,AY62-p_StopAtr*Y62),2)-0.01,ROUNDDOWN(MIN(AZ62-0.01,AY62-p_StopAtr*Y62),2))</f>
        <v>23.68</v>
      </c>
      <c r="BB62" s="40" t="n">
        <f aca="false">ROUND(AI62,2)</f>
        <v>25.58</v>
      </c>
      <c r="BC62" s="40" t="n">
        <f aca="false">IF(AY62-BA62&gt;0,(BB62-AY62)/(AY62-BA62),0)</f>
        <v>2.45454545454545</v>
      </c>
      <c r="BD62" s="42" t="n">
        <f aca="false">IF(N62&lt;0,1,0)</f>
        <v>1</v>
      </c>
      <c r="BE62" s="41" t="n">
        <f aca="false">IF(AND(BD62=1,BD61=0),N62,IF(BD62=1,MIN(BE61,N62),BE61))</f>
        <v>-0.267100964273217</v>
      </c>
      <c r="BF62" s="40" t="n">
        <f aca="false">IF(AND(BD62=1,BD61=0),D62,IF(BD62=1,MIN(BF61,D62),BF61))</f>
        <v>23.24</v>
      </c>
      <c r="BG62" s="42" t="n">
        <f aca="false">IF(AND(BD62=1,BD61=0),ROW(),IF(BD62=1,IF(N62&lt;BE61,ROW(),BG61),BG61))</f>
        <v>52</v>
      </c>
      <c r="BH62" s="41" t="n">
        <f aca="false">IF(AND(BD62=1,BD61=0),BE61,BH61)</f>
        <v>-0.0234128043712021</v>
      </c>
      <c r="BI62" s="40" t="n">
        <f aca="false">IF(AND(BD62=1,BD61=0),BF61,BI61)</f>
        <v>19.42</v>
      </c>
      <c r="BJ62" s="42" t="n">
        <f aca="false">IF(AND(BD62=1,BD61=0),BG61,BJ61)</f>
        <v>10</v>
      </c>
      <c r="BK62" s="42" t="n">
        <f aca="false">IF(AND(ISNUMBER(BG62),ISNUMBER(BJ62)),BG62-BJ62,"")</f>
        <v>42</v>
      </c>
      <c r="BL62" s="42" t="n">
        <f aca="false">IF(AND(BD62=1,N62&gt;N61,ISNUMBER(BH62),ISNUMBER(BK62)),IF(AND(BE62&gt;BH62,BF62&lt;BI62,BK62&gt;=p_GapMin,BK62&lt;=p_GapMax),1,0),0)</f>
        <v>0</v>
      </c>
      <c r="BM62" s="42" t="n">
        <f aca="false">IF(AND(BL62=1,E62&gt;BI62),1,0)</f>
        <v>0</v>
      </c>
      <c r="BN62" s="42" t="n">
        <f aca="false">IF(BL62=1,IF(BE62&gt;=BH62*0.5,1,0),0)</f>
        <v>0</v>
      </c>
      <c r="BO62" s="42" t="n">
        <f aca="true">IF(V62&gt;MIN(OFFSET(V62,-MIN(p_FiLb-1,ROW()-5),0,MIN(p_FiLb-1,ROW()-5),1)),1,0)</f>
        <v>1</v>
      </c>
      <c r="BP62" s="44" t="n">
        <f aca="true">IF(COUNTIF(OFFSET(V62,1-MIN(100,ROW()-4),0,MIN(100,ROW()-4),1),"&lt;0")&gt;=5,AVERAGEIF(OFFSET(V62,1-MIN(100,ROW()-4),0,MIN(100,ROW()-4),1),"&lt;0"),"")</f>
        <v>-584143.111738376</v>
      </c>
      <c r="BQ62" s="42" t="n">
        <f aca="false">IF(ISNUMBER(BP62),IF(AND(V62&lt;5*BP62,V62&gt;V61,E62&lt;AJ62),1,0),0)</f>
        <v>0</v>
      </c>
      <c r="BR62" s="44" t="n">
        <f aca="true">AVERAGE(OFFSET(F62,1-MIN(5,ROW()-4),0,MIN(5,ROW()-4),1))</f>
        <v>3447480</v>
      </c>
      <c r="BS62" s="42" t="n">
        <f aca="false">IFERROR(IF(MATCH(G62,周线!$A$5:$A$84,0)&lt;=1,"",INDEX(周线!$R$5:$R$84,MATCH(G62,周线!$A$5:$A$84,0)-1)),"")</f>
        <v>1</v>
      </c>
      <c r="BT62" s="42" t="n">
        <f aca="false">IFERROR(IF(MATCH(G62,周线!$A$5:$A$84,0)&lt;=1,"",INDEX(周线!$S$5:$S$84,MATCH(G62,周线!$A$5:$A$84,0)-1)),"")</f>
        <v>0</v>
      </c>
      <c r="BU62" s="42" t="n">
        <f aca="false">IFERROR(IF(MATCH(G62,周线!$A$5:$A$84,0)&lt;=1,"",INDEX(周线!$U$5:$U$84,MATCH(G62,周线!$A$5:$A$84,0)-1)),"")</f>
        <v>0</v>
      </c>
      <c r="BV62" s="42" t="n">
        <f aca="false">IF(AND(BS62=1,S62&lt;&gt;-1,V62&lt;0,BO62=1,E62&lt;=H62,E62&gt;=AJ62),1,0)</f>
        <v>0</v>
      </c>
      <c r="BW62" s="42" t="n">
        <f aca="false">BL62</f>
        <v>0</v>
      </c>
      <c r="BX62" s="42" t="n">
        <f aca="false">BQ62</f>
        <v>0</v>
      </c>
      <c r="BY62" s="42" t="n">
        <f aca="false">IF(BS62=1,10,0)+IF(BU62=1,5,IF(BU62=-1,0,3))+IF(BT62=1,5,0)+IF(AND(AE62&gt;AF62,AH62&gt;AH61),5,0)</f>
        <v>13</v>
      </c>
      <c r="BZ62" s="42" t="n">
        <f aca="false">IF(AND(E62&lt;=H62,E62&gt;=I62),10,IF(AND(E62&gt;=AJ62,E62&lt;I62),6,0))+IF(AND(V62&lt;0,BO62=1),8,0)+IF(AT62&lt;30,7,IF(AT62&lt;50,3,0))</f>
        <v>0</v>
      </c>
      <c r="CA62" s="42" t="n">
        <f aca="false">IF(AND(BV62=1,BW62=1),25,IF(BW62=1,22,IF(BV62=1,15,IF(BX62=1,12,0))))</f>
        <v>0</v>
      </c>
      <c r="CB62" s="42" t="n">
        <f aca="false">IF(W62&gt;0,6,0)+IF(F62&lt;BR62,4,0)</f>
        <v>6</v>
      </c>
      <c r="CC62" s="42" t="n">
        <f aca="false">IF(BC62&gt;=3,15,IF(BC62&gt;=p_RRmin,10,IF(BC62&gt;=1.5,4,0)))</f>
        <v>10</v>
      </c>
      <c r="CD62" s="42" t="n">
        <f aca="false">BY62+BZ62+CA62+CB62+CC62</f>
        <v>29</v>
      </c>
      <c r="CE62" s="42" t="n">
        <f aca="false">IF(AND(BS62&lt;&gt;1,BW62+BX62=0),1,0)</f>
        <v>0</v>
      </c>
      <c r="CF62" s="42" t="n">
        <f aca="false">IF(BU62=-1,1,0)</f>
        <v>0</v>
      </c>
      <c r="CG62" s="42" t="n">
        <f aca="false">IF(S62=-1,1,0)</f>
        <v>0</v>
      </c>
      <c r="CH62" s="42" t="n">
        <f aca="false">IF(BV62+BW62+BX62=0,1,0)</f>
        <v>1</v>
      </c>
      <c r="CI62" s="42" t="n">
        <f aca="false">IF(BC62&lt;p_RRmin,1,0)</f>
        <v>0</v>
      </c>
      <c r="CJ62" s="46" t="str">
        <f aca="false">IF(SUM(CE62:CI62)=0,IF(CD62&gt;=p_GradeA,"A",IF(CD62&gt;=p_GradeB,"B","C")),IF(AND(CI62=1,SUM(CE62:CH62)=0,CD62&gt;=p_GradeB),"B","C"))</f>
        <v>C</v>
      </c>
    </row>
    <row r="63" customFormat="false" ht="15" hidden="false" customHeight="false" outlineLevel="0" collapsed="false">
      <c r="A63" s="36" t="n">
        <v>45741</v>
      </c>
      <c r="B63" s="37" t="n">
        <v>24.87</v>
      </c>
      <c r="C63" s="37" t="n">
        <v>24.98</v>
      </c>
      <c r="D63" s="37" t="n">
        <v>24.79</v>
      </c>
      <c r="E63" s="37" t="n">
        <v>24.87</v>
      </c>
      <c r="F63" s="38" t="n">
        <v>3106300</v>
      </c>
      <c r="G63" s="39" t="n">
        <f aca="false">A63-WEEKDAY(A63,3)</f>
        <v>45740</v>
      </c>
      <c r="H63" s="40" t="n">
        <f aca="false">2/(p_EmaF+1)*E63+(1-2/(p_EmaF+1))*H62</f>
        <v>24.5440130151301</v>
      </c>
      <c r="I63" s="40" t="n">
        <f aca="false">2/(p_EmaS+1)*E63+(1-2/(p_EmaS+1))*I62</f>
        <v>24.1908208188078</v>
      </c>
      <c r="J63" s="41" t="n">
        <f aca="false">2/(p_MacdF+1)*E63+(1-2/(p_MacdF+1))*J62</f>
        <v>24.567386203758</v>
      </c>
      <c r="K63" s="41" t="n">
        <f aca="false">2/(p_MacdS+1)*E63+(1-2/(p_MacdS+1))*K62</f>
        <v>24.1908208188078</v>
      </c>
      <c r="L63" s="41" t="n">
        <f aca="false">J63-K63</f>
        <v>0.376565384950244</v>
      </c>
      <c r="M63" s="41" t="n">
        <f aca="false">2/(p_MacdSig+1)*L63+(1-2/(p_MacdSig+1))*M62</f>
        <v>0.386641192536202</v>
      </c>
      <c r="N63" s="41" t="n">
        <f aca="false">L63-M63</f>
        <v>-0.0100758075859581</v>
      </c>
      <c r="O63" s="42" t="n">
        <f aca="false">IF(H63&gt;H62,1,0)</f>
        <v>1</v>
      </c>
      <c r="P63" s="42" t="n">
        <f aca="false">IF(H63&lt;H62,1,0)</f>
        <v>0</v>
      </c>
      <c r="Q63" s="42" t="n">
        <f aca="false">IF(N63&gt;N62,1,0)</f>
        <v>1</v>
      </c>
      <c r="R63" s="42" t="n">
        <f aca="false">IF(N63&lt;N62,1,0)</f>
        <v>0</v>
      </c>
      <c r="S63" s="42" t="n">
        <f aca="false">IF(AND(O63=1,Q63=1),1,IF(AND(P63=1,R63=1),-1,0))</f>
        <v>1</v>
      </c>
      <c r="T63" s="43" t="str">
        <f aca="false">IF(S63=1,"绿",IF(S63=-1,"红","蓝"))</f>
        <v>绿</v>
      </c>
      <c r="U63" s="44" t="n">
        <f aca="false">F63*(E63-E62)</f>
        <v>-497008</v>
      </c>
      <c r="V63" s="44" t="n">
        <f aca="false">2/(p_FiS+1)*U63+(1-2/(p_FiS+1))*V62</f>
        <v>11857.6376569819</v>
      </c>
      <c r="W63" s="44" t="n">
        <f aca="false">2/(p_FiL+1)*U63+(1-2/(p_FiL+1))*W62</f>
        <v>225882.328025988</v>
      </c>
      <c r="X63" s="41" t="n">
        <f aca="false">MAX(C63-D63,ABS(C63-E62),ABS(D63-E62))</f>
        <v>0.240000000000002</v>
      </c>
      <c r="Y63" s="41" t="n">
        <f aca="true">AVERAGE(OFFSET(X63,1-MIN(p_AtrN,ROW()-4),0,MIN(p_AtrN,ROW()-4),1))</f>
        <v>0.532307692307693</v>
      </c>
      <c r="Z63" s="41" t="n">
        <f aca="false">IF(AND(C63-C62&gt;D62-D63,C63-C62&gt;0),C63-C62,0)</f>
        <v>0</v>
      </c>
      <c r="AA63" s="41" t="n">
        <f aca="false">IF(AND(D62-D63&gt;C63-C62,D62-D63&gt;0),D62-D63,0)</f>
        <v>0</v>
      </c>
      <c r="AB63" s="41" t="n">
        <f aca="false">2/(p_AdxN+1)*X63+(1-2/(p_AdxN+1))*AB62</f>
        <v>0.4798891914653</v>
      </c>
      <c r="AC63" s="41" t="n">
        <f aca="false">2/(p_AdxN+1)*Z63+(1-2/(p_AdxN+1))*AC62</f>
        <v>0.0993555204416117</v>
      </c>
      <c r="AD63" s="41" t="n">
        <f aca="false">2/(p_AdxN+1)*AA63+(1-2/(p_AdxN+1))*AD62</f>
        <v>0.0718603715592429</v>
      </c>
      <c r="AE63" s="45" t="n">
        <f aca="false">100*AC63/AB63</f>
        <v>20.7038462646425</v>
      </c>
      <c r="AF63" s="45" t="n">
        <f aca="false">100*AD63/AB63</f>
        <v>14.9743675909481</v>
      </c>
      <c r="AG63" s="45" t="n">
        <f aca="false">IFERROR(100*ABS(AE63-AF63)/(AE63+AF63),0)</f>
        <v>16.0587598271728</v>
      </c>
      <c r="AH63" s="45" t="n">
        <f aca="false">2/(p_AdxN+1)*AG63+(1-2/(p_AdxN+1))*AH62</f>
        <v>17.6623072526016</v>
      </c>
      <c r="AI63" s="40" t="n">
        <f aca="false">I63*(1+p_ChPct)</f>
        <v>25.6422700679362</v>
      </c>
      <c r="AJ63" s="40" t="n">
        <f aca="false">I63*(1-p_ChPct)</f>
        <v>22.7393715696793</v>
      </c>
      <c r="AK63" s="40" t="n">
        <f aca="false">I63+1*Y63</f>
        <v>24.7231285111155</v>
      </c>
      <c r="AL63" s="40" t="n">
        <f aca="false">I63+2*Y63</f>
        <v>25.2554362034231</v>
      </c>
      <c r="AM63" s="40" t="n">
        <f aca="false">I63+3*Y63</f>
        <v>25.7877438957308</v>
      </c>
      <c r="AN63" s="40" t="n">
        <f aca="false">I63-1*Y63</f>
        <v>23.6585131265001</v>
      </c>
      <c r="AO63" s="40" t="n">
        <f aca="false">I63-2*Y63</f>
        <v>23.1262054341924</v>
      </c>
      <c r="AP63" s="40" t="n">
        <f aca="false">I63-3*Y63</f>
        <v>22.5938977418847</v>
      </c>
      <c r="AQ63" s="40" t="n">
        <f aca="true">MAX(OFFSET(C63,1-MIN(p_StochN,ROW()-4),0,MIN(p_StochN,ROW()-4),1))</f>
        <v>25.1</v>
      </c>
      <c r="AR63" s="40" t="n">
        <f aca="true">MIN(OFFSET(D63,1-MIN(p_StochN,ROW()-4),0,MIN(p_StochN,ROW()-4),1))</f>
        <v>24.24</v>
      </c>
      <c r="AS63" s="45" t="n">
        <f aca="false">IF(AQ63=AR63,50,100*(E63-AR63)/(AQ63-AR63))</f>
        <v>73.2558139534884</v>
      </c>
      <c r="AT63" s="45" t="n">
        <f aca="true">AVERAGE(OFFSET(AS63,1-MIN(p_StochSm,ROW()-4),0,MIN(p_StochSm,ROW()-4),1))</f>
        <v>75.8720930232559</v>
      </c>
      <c r="AU63" s="45" t="n">
        <f aca="true">AVERAGE(OFFSET(AT63,1-MIN(p_StochSm,ROW()-4),0,MIN(p_StochSm,ROW()-4),1))</f>
        <v>71.1436652231147</v>
      </c>
      <c r="AV63" s="41" t="n">
        <f aca="false">MAX(0,H63-D63)</f>
        <v>0</v>
      </c>
      <c r="AW63" s="41" t="n">
        <f aca="true">IF(COUNTIF(OFFSET(AV63,1-MIN(p_PenLb,ROW()-4),0,MIN(p_PenLb,ROW()-4),1),"&gt;0")&gt;0,SUM(OFFSET(AV63,1-MIN(p_PenLb,ROW()-4),0,MIN(p_PenLb,ROW()-4),1))/COUNTIF(OFFSET(AV63,1-MIN(p_PenLb,ROW()-4),0,MIN(p_PenLb,ROW()-4),1),"&gt;0"),0.5*Y63)</f>
        <v>0.347777012424568</v>
      </c>
      <c r="AX63" s="41" t="n">
        <f aca="false">2*H63-H62</f>
        <v>24.5983441792751</v>
      </c>
      <c r="AY63" s="40" t="n">
        <f aca="false">ROUND(MAX(AX63-AW63,0.01),2)</f>
        <v>24.25</v>
      </c>
      <c r="AZ63" s="40" t="n">
        <f aca="true">IF(MIN(p_StopLb,ROW()-4)&lt;2,D63,SMALL(OFFSET(D63,1-MIN(p_StopLb,ROW()-4),0,MIN(p_StopLb,ROW()-4),1),2))</f>
        <v>24.01</v>
      </c>
      <c r="BA63" s="40" t="n">
        <f aca="false">IF(MOD(ROUND(ROUNDDOWN(MIN(AZ63-0.01,AY63-p_StopAtr*Y63),2)*100,0),50)=0,ROUNDDOWN(MIN(AZ63-0.01,AY63-p_StopAtr*Y63),2)-0.01,ROUNDDOWN(MIN(AZ63-0.01,AY63-p_StopAtr*Y63),2))</f>
        <v>23.71</v>
      </c>
      <c r="BB63" s="40" t="n">
        <f aca="false">ROUND(AI63,2)</f>
        <v>25.64</v>
      </c>
      <c r="BC63" s="40" t="n">
        <f aca="false">IF(AY63-BA63&gt;0,(BB63-AY63)/(AY63-BA63),0)</f>
        <v>2.57407407407408</v>
      </c>
      <c r="BD63" s="42" t="n">
        <f aca="false">IF(N63&lt;0,1,0)</f>
        <v>1</v>
      </c>
      <c r="BE63" s="41" t="n">
        <f aca="false">IF(AND(BD63=1,BD62=0),N63,IF(BD63=1,MIN(BE62,N63),BE62))</f>
        <v>-0.267100964273217</v>
      </c>
      <c r="BF63" s="40" t="n">
        <f aca="false">IF(AND(BD63=1,BD62=0),D63,IF(BD63=1,MIN(BF62,D63),BF62))</f>
        <v>23.24</v>
      </c>
      <c r="BG63" s="42" t="n">
        <f aca="false">IF(AND(BD63=1,BD62=0),ROW(),IF(BD63=1,IF(N63&lt;BE62,ROW(),BG62),BG62))</f>
        <v>52</v>
      </c>
      <c r="BH63" s="41" t="n">
        <f aca="false">IF(AND(BD63=1,BD62=0),BE62,BH62)</f>
        <v>-0.0234128043712021</v>
      </c>
      <c r="BI63" s="40" t="n">
        <f aca="false">IF(AND(BD63=1,BD62=0),BF62,BI62)</f>
        <v>19.42</v>
      </c>
      <c r="BJ63" s="42" t="n">
        <f aca="false">IF(AND(BD63=1,BD62=0),BG62,BJ62)</f>
        <v>10</v>
      </c>
      <c r="BK63" s="42" t="n">
        <f aca="false">IF(AND(ISNUMBER(BG63),ISNUMBER(BJ63)),BG63-BJ63,"")</f>
        <v>42</v>
      </c>
      <c r="BL63" s="42" t="n">
        <f aca="false">IF(AND(BD63=1,N63&gt;N62,ISNUMBER(BH63),ISNUMBER(BK63)),IF(AND(BE63&gt;BH63,BF63&lt;BI63,BK63&gt;=p_GapMin,BK63&lt;=p_GapMax),1,0),0)</f>
        <v>0</v>
      </c>
      <c r="BM63" s="42" t="n">
        <f aca="false">IF(AND(BL63=1,E63&gt;BI63),1,0)</f>
        <v>0</v>
      </c>
      <c r="BN63" s="42" t="n">
        <f aca="false">IF(BL63=1,IF(BE63&gt;=BH63*0.5,1,0),0)</f>
        <v>0</v>
      </c>
      <c r="BO63" s="42" t="n">
        <f aca="true">IF(V63&gt;MIN(OFFSET(V63,-MIN(p_FiLb-1,ROW()-5),0,MIN(p_FiLb-1,ROW()-5),1)),1,0)</f>
        <v>1</v>
      </c>
      <c r="BP63" s="44" t="n">
        <f aca="true">IF(COUNTIF(OFFSET(V63,1-MIN(100,ROW()-4),0,MIN(100,ROW()-4),1),"&lt;0")&gt;=5,AVERAGEIF(OFFSET(V63,1-MIN(100,ROW()-4),0,MIN(100,ROW()-4),1),"&lt;0"),"")</f>
        <v>-584143.111738376</v>
      </c>
      <c r="BQ63" s="42" t="n">
        <f aca="false">IF(ISNUMBER(BP63),IF(AND(V63&lt;5*BP63,V63&gt;V62,E63&lt;AJ63),1,0),0)</f>
        <v>0</v>
      </c>
      <c r="BR63" s="44" t="n">
        <f aca="true">AVERAGE(OFFSET(F63,1-MIN(5,ROW()-4),0,MIN(5,ROW()-4),1))</f>
        <v>3464580</v>
      </c>
      <c r="BS63" s="42" t="n">
        <f aca="false">IFERROR(IF(MATCH(G63,周线!$A$5:$A$84,0)&lt;=1,"",INDEX(周线!$R$5:$R$84,MATCH(G63,周线!$A$5:$A$84,0)-1)),"")</f>
        <v>1</v>
      </c>
      <c r="BT63" s="42" t="n">
        <f aca="false">IFERROR(IF(MATCH(G63,周线!$A$5:$A$84,0)&lt;=1,"",INDEX(周线!$S$5:$S$84,MATCH(G63,周线!$A$5:$A$84,0)-1)),"")</f>
        <v>0</v>
      </c>
      <c r="BU63" s="42" t="n">
        <f aca="false">IFERROR(IF(MATCH(G63,周线!$A$5:$A$84,0)&lt;=1,"",INDEX(周线!$U$5:$U$84,MATCH(G63,周线!$A$5:$A$84,0)-1)),"")</f>
        <v>0</v>
      </c>
      <c r="BV63" s="42" t="n">
        <f aca="false">IF(AND(BS63=1,S63&lt;&gt;-1,V63&lt;0,BO63=1,E63&lt;=H63,E63&gt;=AJ63),1,0)</f>
        <v>0</v>
      </c>
      <c r="BW63" s="42" t="n">
        <f aca="false">BL63</f>
        <v>0</v>
      </c>
      <c r="BX63" s="42" t="n">
        <f aca="false">BQ63</f>
        <v>0</v>
      </c>
      <c r="BY63" s="42" t="n">
        <f aca="false">IF(BS63=1,10,0)+IF(BU63=1,5,IF(BU63=-1,0,3))+IF(BT63=1,5,0)+IF(AND(AE63&gt;AF63,AH63&gt;AH62),5,0)</f>
        <v>13</v>
      </c>
      <c r="BZ63" s="42" t="n">
        <f aca="false">IF(AND(E63&lt;=H63,E63&gt;=I63),10,IF(AND(E63&gt;=AJ63,E63&lt;I63),6,0))+IF(AND(V63&lt;0,BO63=1),8,0)+IF(AT63&lt;30,7,IF(AT63&lt;50,3,0))</f>
        <v>0</v>
      </c>
      <c r="CA63" s="42" t="n">
        <f aca="false">IF(AND(BV63=1,BW63=1),25,IF(BW63=1,22,IF(BV63=1,15,IF(BX63=1,12,0))))</f>
        <v>0</v>
      </c>
      <c r="CB63" s="42" t="n">
        <f aca="false">IF(W63&gt;0,6,0)+IF(F63&lt;BR63,4,0)</f>
        <v>10</v>
      </c>
      <c r="CC63" s="42" t="n">
        <f aca="false">IF(BC63&gt;=3,15,IF(BC63&gt;=p_RRmin,10,IF(BC63&gt;=1.5,4,0)))</f>
        <v>10</v>
      </c>
      <c r="CD63" s="42" t="n">
        <f aca="false">BY63+BZ63+CA63+CB63+CC63</f>
        <v>33</v>
      </c>
      <c r="CE63" s="42" t="n">
        <f aca="false">IF(AND(BS63&lt;&gt;1,BW63+BX63=0),1,0)</f>
        <v>0</v>
      </c>
      <c r="CF63" s="42" t="n">
        <f aca="false">IF(BU63=-1,1,0)</f>
        <v>0</v>
      </c>
      <c r="CG63" s="42" t="n">
        <f aca="false">IF(S63=-1,1,0)</f>
        <v>0</v>
      </c>
      <c r="CH63" s="42" t="n">
        <f aca="false">IF(BV63+BW63+BX63=0,1,0)</f>
        <v>1</v>
      </c>
      <c r="CI63" s="42" t="n">
        <f aca="false">IF(BC63&lt;p_RRmin,1,0)</f>
        <v>0</v>
      </c>
      <c r="CJ63" s="46" t="str">
        <f aca="false">IF(SUM(CE63:CI63)=0,IF(CD63&gt;=p_GradeA,"A",IF(CD63&gt;=p_GradeB,"B","C")),IF(AND(CI63=1,SUM(CE63:CH63)=0,CD63&gt;=p_GradeB),"B","C"))</f>
        <v>C</v>
      </c>
    </row>
    <row r="64" customFormat="false" ht="15" hidden="false" customHeight="false" outlineLevel="0" collapsed="false">
      <c r="A64" s="36" t="n">
        <v>45742</v>
      </c>
      <c r="B64" s="37" t="n">
        <v>24.98</v>
      </c>
      <c r="C64" s="37" t="n">
        <v>25.1</v>
      </c>
      <c r="D64" s="37" t="n">
        <v>24.17</v>
      </c>
      <c r="E64" s="37" t="n">
        <v>24.34</v>
      </c>
      <c r="F64" s="38" t="n">
        <v>5157100</v>
      </c>
      <c r="G64" s="39" t="n">
        <f aca="false">A64-WEEKDAY(A64,3)</f>
        <v>45740</v>
      </c>
      <c r="H64" s="40" t="n">
        <f aca="false">2/(p_EmaF+1)*E64+(1-2/(p_EmaF+1))*H63</f>
        <v>24.514868298683</v>
      </c>
      <c r="I64" s="40" t="n">
        <f aca="false">2/(p_EmaS+1)*E64+(1-2/(p_EmaS+1))*I63</f>
        <v>24.2018711285257</v>
      </c>
      <c r="J64" s="41" t="n">
        <f aca="false">2/(p_MacdF+1)*E64+(1-2/(p_MacdF+1))*J63</f>
        <v>24.5324037108722</v>
      </c>
      <c r="K64" s="41" t="n">
        <f aca="false">2/(p_MacdS+1)*E64+(1-2/(p_MacdS+1))*K63</f>
        <v>24.2018711285257</v>
      </c>
      <c r="L64" s="41" t="n">
        <f aca="false">J64-K64</f>
        <v>0.330532582346457</v>
      </c>
      <c r="M64" s="41" t="n">
        <f aca="false">2/(p_MacdSig+1)*L64+(1-2/(p_MacdSig+1))*M63</f>
        <v>0.375419470498253</v>
      </c>
      <c r="N64" s="41" t="n">
        <f aca="false">L64-M64</f>
        <v>-0.0448868881517956</v>
      </c>
      <c r="O64" s="42" t="n">
        <f aca="false">IF(H64&gt;H63,1,0)</f>
        <v>0</v>
      </c>
      <c r="P64" s="42" t="n">
        <f aca="false">IF(H64&lt;H63,1,0)</f>
        <v>1</v>
      </c>
      <c r="Q64" s="42" t="n">
        <f aca="false">IF(N64&gt;N63,1,0)</f>
        <v>0</v>
      </c>
      <c r="R64" s="42" t="n">
        <f aca="false">IF(N64&lt;N63,1,0)</f>
        <v>1</v>
      </c>
      <c r="S64" s="42" t="n">
        <f aca="false">IF(AND(O64=1,Q64=1),1,IF(AND(P64=1,R64=1),-1,0))</f>
        <v>-1</v>
      </c>
      <c r="T64" s="43" t="str">
        <f aca="false">IF(S64=1,"绿",IF(S64=-1,"红","蓝"))</f>
        <v>红</v>
      </c>
      <c r="U64" s="44" t="n">
        <f aca="false">F64*(E64-E63)</f>
        <v>-2733263.00000001</v>
      </c>
      <c r="V64" s="44" t="n">
        <f aca="false">2/(p_FiS+1)*U64+(1-2/(p_FiS+1))*V63</f>
        <v>-1818222.78744768</v>
      </c>
      <c r="W64" s="44" t="n">
        <f aca="false">2/(p_FiL+1)*U64+(1-2/(p_FiL+1))*W63</f>
        <v>-196852.718834868</v>
      </c>
      <c r="X64" s="41" t="n">
        <f aca="false">MAX(C64-D64,ABS(C64-E63),ABS(D64-E63))</f>
        <v>0.93</v>
      </c>
      <c r="Y64" s="41" t="n">
        <f aca="true">AVERAGE(OFFSET(X64,1-MIN(p_AtrN,ROW()-4),0,MIN(p_AtrN,ROW()-4),1))</f>
        <v>0.515384615384615</v>
      </c>
      <c r="Z64" s="41" t="n">
        <f aca="false">IF(AND(C64-C63&gt;D63-D64,C64-C63&gt;0),C64-C63,0)</f>
        <v>0</v>
      </c>
      <c r="AA64" s="41" t="n">
        <f aca="false">IF(AND(D63-D64&gt;C64-C63,D63-D64&gt;0),D63-D64,0)</f>
        <v>0.619999999999997</v>
      </c>
      <c r="AB64" s="41" t="n">
        <f aca="false">2/(p_AdxN+1)*X64+(1-2/(p_AdxN+1))*AB63</f>
        <v>0.544190735541686</v>
      </c>
      <c r="AC64" s="41" t="n">
        <f aca="false">2/(p_AdxN+1)*Z64+(1-2/(p_AdxN+1))*AC63</f>
        <v>0.0851618746642386</v>
      </c>
      <c r="AD64" s="41" t="n">
        <f aca="false">2/(p_AdxN+1)*AA64+(1-2/(p_AdxN+1))*AD63</f>
        <v>0.150166032765065</v>
      </c>
      <c r="AE64" s="45" t="n">
        <f aca="false">100*AC64/AB64</f>
        <v>15.6492694752454</v>
      </c>
      <c r="AF64" s="45" t="n">
        <f aca="false">100*AD64/AB64</f>
        <v>27.5943750890191</v>
      </c>
      <c r="AG64" s="45" t="n">
        <f aca="false">IFERROR(100*ABS(AE64-AF64)/(AE64+AF64),0)</f>
        <v>27.6228003771099</v>
      </c>
      <c r="AH64" s="45" t="n">
        <f aca="false">2/(p_AdxN+1)*AG64+(1-2/(p_AdxN+1))*AH63</f>
        <v>19.0852348418171</v>
      </c>
      <c r="AI64" s="40" t="n">
        <f aca="false">I64*(1+p_ChPct)</f>
        <v>25.6539833962372</v>
      </c>
      <c r="AJ64" s="40" t="n">
        <f aca="false">I64*(1-p_ChPct)</f>
        <v>22.7497588608142</v>
      </c>
      <c r="AK64" s="40" t="n">
        <f aca="false">I64+1*Y64</f>
        <v>24.7172557439103</v>
      </c>
      <c r="AL64" s="40" t="n">
        <f aca="false">I64+2*Y64</f>
        <v>25.2326403592949</v>
      </c>
      <c r="AM64" s="40" t="n">
        <f aca="false">I64+3*Y64</f>
        <v>25.7480249746795</v>
      </c>
      <c r="AN64" s="40" t="n">
        <f aca="false">I64-1*Y64</f>
        <v>23.6864865131411</v>
      </c>
      <c r="AO64" s="40" t="n">
        <f aca="false">I64-2*Y64</f>
        <v>23.1711018977565</v>
      </c>
      <c r="AP64" s="40" t="n">
        <f aca="false">I64-3*Y64</f>
        <v>22.6557172823719</v>
      </c>
      <c r="AQ64" s="40" t="n">
        <f aca="true">MAX(OFFSET(C64,1-MIN(p_StochN,ROW()-4),0,MIN(p_StochN,ROW()-4),1))</f>
        <v>25.1</v>
      </c>
      <c r="AR64" s="40" t="n">
        <f aca="true">MIN(OFFSET(D64,1-MIN(p_StochN,ROW()-4),0,MIN(p_StochN,ROW()-4),1))</f>
        <v>24.17</v>
      </c>
      <c r="AS64" s="45" t="n">
        <f aca="false">IF(AQ64=AR64,50,100*(E64-AR64)/(AQ64-AR64))</f>
        <v>18.2795698924729</v>
      </c>
      <c r="AT64" s="45" t="n">
        <f aca="true">AVERAGE(OFFSET(AS64,1-MIN(p_StochSm,ROW()-4),0,MIN(p_StochSm,ROW()-4),1))</f>
        <v>61.1319496540801</v>
      </c>
      <c r="AU64" s="45" t="n">
        <f aca="true">AVERAGE(OFFSET(AT64,1-MIN(p_StochSm,ROW()-4),0,MIN(p_StochSm,ROW()-4),1))</f>
        <v>69.108485192577</v>
      </c>
      <c r="AV64" s="41" t="n">
        <f aca="false">MAX(0,H64-D64)</f>
        <v>0.344868298682982</v>
      </c>
      <c r="AW64" s="41" t="n">
        <f aca="true">IF(COUNTIF(OFFSET(AV64,1-MIN(p_PenLb,ROW()-4),0,MIN(p_PenLb,ROW()-4),1),"&gt;0")&gt;0,SUM(OFFSET(AV64,1-MIN(p_PenLb,ROW()-4),0,MIN(p_PenLb,ROW()-4),1))/COUNTIF(OFFSET(AV64,1-MIN(p_PenLb,ROW()-4),0,MIN(p_PenLb,ROW()-4),1),"&gt;0"),0.5*Y64)</f>
        <v>0.347512583902606</v>
      </c>
      <c r="AX64" s="41" t="n">
        <f aca="false">2*H64-H63</f>
        <v>24.4857235822358</v>
      </c>
      <c r="AY64" s="40" t="n">
        <f aca="false">ROUND(MAX(AX64-AW64,0.01),2)</f>
        <v>24.14</v>
      </c>
      <c r="AZ64" s="40" t="n">
        <f aca="true">IF(MIN(p_StopLb,ROW()-4)&lt;2,D64,SMALL(OFFSET(D64,1-MIN(p_StopLb,ROW()-4),0,MIN(p_StopLb,ROW()-4),1),2))</f>
        <v>24.12</v>
      </c>
      <c r="BA64" s="40" t="n">
        <f aca="false">IF(MOD(ROUND(ROUNDDOWN(MIN(AZ64-0.01,AY64-p_StopAtr*Y64),2)*100,0),50)=0,ROUNDDOWN(MIN(AZ64-0.01,AY64-p_StopAtr*Y64),2)-0.01,ROUNDDOWN(MIN(AZ64-0.01,AY64-p_StopAtr*Y64),2))</f>
        <v>23.62</v>
      </c>
      <c r="BB64" s="40" t="n">
        <f aca="false">ROUND(AI64,2)</f>
        <v>25.65</v>
      </c>
      <c r="BC64" s="40" t="n">
        <f aca="false">IF(AY64-BA64&gt;0,(BB64-AY64)/(AY64-BA64),0)</f>
        <v>2.90384615384615</v>
      </c>
      <c r="BD64" s="42" t="n">
        <f aca="false">IF(N64&lt;0,1,0)</f>
        <v>1</v>
      </c>
      <c r="BE64" s="41" t="n">
        <f aca="false">IF(AND(BD64=1,BD63=0),N64,IF(BD64=1,MIN(BE63,N64),BE63))</f>
        <v>-0.267100964273217</v>
      </c>
      <c r="BF64" s="40" t="n">
        <f aca="false">IF(AND(BD64=1,BD63=0),D64,IF(BD64=1,MIN(BF63,D64),BF63))</f>
        <v>23.24</v>
      </c>
      <c r="BG64" s="42" t="n">
        <f aca="false">IF(AND(BD64=1,BD63=0),ROW(),IF(BD64=1,IF(N64&lt;BE63,ROW(),BG63),BG63))</f>
        <v>52</v>
      </c>
      <c r="BH64" s="41" t="n">
        <f aca="false">IF(AND(BD64=1,BD63=0),BE63,BH63)</f>
        <v>-0.0234128043712021</v>
      </c>
      <c r="BI64" s="40" t="n">
        <f aca="false">IF(AND(BD64=1,BD63=0),BF63,BI63)</f>
        <v>19.42</v>
      </c>
      <c r="BJ64" s="42" t="n">
        <f aca="false">IF(AND(BD64=1,BD63=0),BG63,BJ63)</f>
        <v>10</v>
      </c>
      <c r="BK64" s="42" t="n">
        <f aca="false">IF(AND(ISNUMBER(BG64),ISNUMBER(BJ64)),BG64-BJ64,"")</f>
        <v>42</v>
      </c>
      <c r="BL64" s="42" t="n">
        <f aca="false">IF(AND(BD64=1,N64&gt;N63,ISNUMBER(BH64),ISNUMBER(BK64)),IF(AND(BE64&gt;BH64,BF64&lt;BI64,BK64&gt;=p_GapMin,BK64&lt;=p_GapMax),1,0),0)</f>
        <v>0</v>
      </c>
      <c r="BM64" s="42" t="n">
        <f aca="false">IF(AND(BL64=1,E64&gt;BI64),1,0)</f>
        <v>0</v>
      </c>
      <c r="BN64" s="42" t="n">
        <f aca="false">IF(BL64=1,IF(BE64&gt;=BH64*0.5,1,0),0)</f>
        <v>0</v>
      </c>
      <c r="BO64" s="42" t="n">
        <f aca="true">IF(V64&gt;MIN(OFFSET(V64,-MIN(p_FiLb-1,ROW()-5),0,MIN(p_FiLb-1,ROW()-5),1)),1,0)</f>
        <v>1</v>
      </c>
      <c r="BP64" s="44" t="n">
        <f aca="true">IF(COUNTIF(OFFSET(V64,1-MIN(100,ROW()-4),0,MIN(100,ROW()-4),1),"&lt;0")&gt;=5,AVERAGEIF(OFFSET(V64,1-MIN(100,ROW()-4),0,MIN(100,ROW()-4),1),"&lt;0"),"")</f>
        <v>-642908.810581676</v>
      </c>
      <c r="BQ64" s="42" t="n">
        <f aca="false">IF(ISNUMBER(BP64),IF(AND(V64&lt;5*BP64,V64&gt;V63,E64&lt;AJ64),1,0),0)</f>
        <v>0</v>
      </c>
      <c r="BR64" s="44" t="n">
        <f aca="true">AVERAGE(OFFSET(F64,1-MIN(5,ROW()-4),0,MIN(5,ROW()-4),1))</f>
        <v>3943140</v>
      </c>
      <c r="BS64" s="42" t="n">
        <f aca="false">IFERROR(IF(MATCH(G64,周线!$A$5:$A$84,0)&lt;=1,"",INDEX(周线!$R$5:$R$84,MATCH(G64,周线!$A$5:$A$84,0)-1)),"")</f>
        <v>1</v>
      </c>
      <c r="BT64" s="42" t="n">
        <f aca="false">IFERROR(IF(MATCH(G64,周线!$A$5:$A$84,0)&lt;=1,"",INDEX(周线!$S$5:$S$84,MATCH(G64,周线!$A$5:$A$84,0)-1)),"")</f>
        <v>0</v>
      </c>
      <c r="BU64" s="42" t="n">
        <f aca="false">IFERROR(IF(MATCH(G64,周线!$A$5:$A$84,0)&lt;=1,"",INDEX(周线!$U$5:$U$84,MATCH(G64,周线!$A$5:$A$84,0)-1)),"")</f>
        <v>0</v>
      </c>
      <c r="BV64" s="42" t="n">
        <f aca="false">IF(AND(BS64=1,S64&lt;&gt;-1,V64&lt;0,BO64=1,E64&lt;=H64,E64&gt;=AJ64),1,0)</f>
        <v>0</v>
      </c>
      <c r="BW64" s="42" t="n">
        <f aca="false">BL64</f>
        <v>0</v>
      </c>
      <c r="BX64" s="42" t="n">
        <f aca="false">BQ64</f>
        <v>0</v>
      </c>
      <c r="BY64" s="42" t="n">
        <f aca="false">IF(BS64=1,10,0)+IF(BU64=1,5,IF(BU64=-1,0,3))+IF(BT64=1,5,0)+IF(AND(AE64&gt;AF64,AH64&gt;AH63),5,0)</f>
        <v>13</v>
      </c>
      <c r="BZ64" s="42" t="n">
        <f aca="false">IF(AND(E64&lt;=H64,E64&gt;=I64),10,IF(AND(E64&gt;=AJ64,E64&lt;I64),6,0))+IF(AND(V64&lt;0,BO64=1),8,0)+IF(AT64&lt;30,7,IF(AT64&lt;50,3,0))</f>
        <v>18</v>
      </c>
      <c r="CA64" s="42" t="n">
        <f aca="false">IF(AND(BV64=1,BW64=1),25,IF(BW64=1,22,IF(BV64=1,15,IF(BX64=1,12,0))))</f>
        <v>0</v>
      </c>
      <c r="CB64" s="42" t="n">
        <f aca="false">IF(W64&gt;0,6,0)+IF(F64&lt;BR64,4,0)</f>
        <v>0</v>
      </c>
      <c r="CC64" s="42" t="n">
        <f aca="false">IF(BC64&gt;=3,15,IF(BC64&gt;=p_RRmin,10,IF(BC64&gt;=1.5,4,0)))</f>
        <v>10</v>
      </c>
      <c r="CD64" s="42" t="n">
        <f aca="false">BY64+BZ64+CA64+CB64+CC64</f>
        <v>41</v>
      </c>
      <c r="CE64" s="42" t="n">
        <f aca="false">IF(AND(BS64&lt;&gt;1,BW64+BX64=0),1,0)</f>
        <v>0</v>
      </c>
      <c r="CF64" s="42" t="n">
        <f aca="false">IF(BU64=-1,1,0)</f>
        <v>0</v>
      </c>
      <c r="CG64" s="42" t="n">
        <f aca="false">IF(S64=-1,1,0)</f>
        <v>1</v>
      </c>
      <c r="CH64" s="42" t="n">
        <f aca="false">IF(BV64+BW64+BX64=0,1,0)</f>
        <v>1</v>
      </c>
      <c r="CI64" s="42" t="n">
        <f aca="false">IF(BC64&lt;p_RRmin,1,0)</f>
        <v>0</v>
      </c>
      <c r="CJ64" s="46" t="str">
        <f aca="false">IF(SUM(CE64:CI64)=0,IF(CD64&gt;=p_GradeA,"A",IF(CD64&gt;=p_GradeB,"B","C")),IF(AND(CI64=1,SUM(CE64:CH64)=0,CD64&gt;=p_GradeB),"B","C"))</f>
        <v>C</v>
      </c>
    </row>
    <row r="65" customFormat="false" ht="15" hidden="false" customHeight="false" outlineLevel="0" collapsed="false">
      <c r="A65" s="36" t="n">
        <v>45743</v>
      </c>
      <c r="B65" s="37" t="n">
        <v>24.34</v>
      </c>
      <c r="C65" s="37" t="n">
        <v>24.78</v>
      </c>
      <c r="D65" s="37" t="n">
        <v>24.05</v>
      </c>
      <c r="E65" s="37" t="n">
        <v>24.4</v>
      </c>
      <c r="F65" s="38" t="n">
        <v>3838700</v>
      </c>
      <c r="G65" s="39" t="n">
        <f aca="false">A65-WEEKDAY(A65,3)</f>
        <v>45740</v>
      </c>
      <c r="H65" s="40" t="n">
        <f aca="false">2/(p_EmaF+1)*E65+(1-2/(p_EmaF+1))*H64</f>
        <v>24.4984585417283</v>
      </c>
      <c r="I65" s="40" t="n">
        <f aca="false">2/(p_EmaS+1)*E65+(1-2/(p_EmaS+1))*I64</f>
        <v>24.2165473412275</v>
      </c>
      <c r="J65" s="41" t="n">
        <f aca="false">2/(p_MacdF+1)*E65+(1-2/(p_MacdF+1))*J64</f>
        <v>24.5120339091995</v>
      </c>
      <c r="K65" s="41" t="n">
        <f aca="false">2/(p_MacdS+1)*E65+(1-2/(p_MacdS+1))*K64</f>
        <v>24.2165473412275</v>
      </c>
      <c r="L65" s="41" t="n">
        <f aca="false">J65-K65</f>
        <v>0.295486567972016</v>
      </c>
      <c r="M65" s="41" t="n">
        <f aca="false">2/(p_MacdSig+1)*L65+(1-2/(p_MacdSig+1))*M64</f>
        <v>0.359432889993006</v>
      </c>
      <c r="N65" s="41" t="n">
        <f aca="false">L65-M65</f>
        <v>-0.063946322020989</v>
      </c>
      <c r="O65" s="42" t="n">
        <f aca="false">IF(H65&gt;H64,1,0)</f>
        <v>0</v>
      </c>
      <c r="P65" s="42" t="n">
        <f aca="false">IF(H65&lt;H64,1,0)</f>
        <v>1</v>
      </c>
      <c r="Q65" s="42" t="n">
        <f aca="false">IF(N65&gt;N64,1,0)</f>
        <v>0</v>
      </c>
      <c r="R65" s="42" t="n">
        <f aca="false">IF(N65&lt;N64,1,0)</f>
        <v>1</v>
      </c>
      <c r="S65" s="42" t="n">
        <f aca="false">IF(AND(O65=1,Q65=1),1,IF(AND(P65=1,R65=1),-1,0))</f>
        <v>-1</v>
      </c>
      <c r="T65" s="43" t="str">
        <f aca="false">IF(S65=1,"绿",IF(S65=-1,"红","蓝"))</f>
        <v>红</v>
      </c>
      <c r="U65" s="44" t="n">
        <f aca="false">F65*(E65-E64)</f>
        <v>230321.999999995</v>
      </c>
      <c r="V65" s="44" t="n">
        <f aca="false">2/(p_FiS+1)*U65+(1-2/(p_FiS+1))*V64</f>
        <v>-452526.262482562</v>
      </c>
      <c r="W65" s="44" t="n">
        <f aca="false">2/(p_FiL+1)*U65+(1-2/(p_FiL+1))*W64</f>
        <v>-135827.759001316</v>
      </c>
      <c r="X65" s="41" t="n">
        <f aca="false">MAX(C65-D65,ABS(C65-E64),ABS(D65-E64))</f>
        <v>0.73</v>
      </c>
      <c r="Y65" s="41" t="n">
        <f aca="true">AVERAGE(OFFSET(X65,1-MIN(p_AtrN,ROW()-4),0,MIN(p_AtrN,ROW()-4),1))</f>
        <v>0.546923076923077</v>
      </c>
      <c r="Z65" s="41" t="n">
        <f aca="false">IF(AND(C65-C64&gt;D64-D65,C65-C64&gt;0),C65-C64,0)</f>
        <v>0</v>
      </c>
      <c r="AA65" s="41" t="n">
        <f aca="false">IF(AND(D64-D65&gt;C65-C64,D64-D65&gt;0),D64-D65,0)</f>
        <v>0.120000000000001</v>
      </c>
      <c r="AB65" s="41" t="n">
        <f aca="false">2/(p_AdxN+1)*X65+(1-2/(p_AdxN+1))*AB64</f>
        <v>0.570734916178588</v>
      </c>
      <c r="AC65" s="41" t="n">
        <f aca="false">2/(p_AdxN+1)*Z65+(1-2/(p_AdxN+1))*AC64</f>
        <v>0.0729958925693474</v>
      </c>
      <c r="AD65" s="41" t="n">
        <f aca="false">2/(p_AdxN+1)*AA65+(1-2/(p_AdxN+1))*AD64</f>
        <v>0.145856599512913</v>
      </c>
      <c r="AE65" s="45" t="n">
        <f aca="false">100*AC65/AB65</f>
        <v>12.7898067036267</v>
      </c>
      <c r="AF65" s="45" t="n">
        <f aca="false">100*AD65/AB65</f>
        <v>25.5559271700968</v>
      </c>
      <c r="AG65" s="45" t="n">
        <f aca="false">IFERROR(100*ABS(AE65-AF65)/(AE65+AF65),0)</f>
        <v>33.2921531988676</v>
      </c>
      <c r="AH65" s="45" t="n">
        <f aca="false">2/(p_AdxN+1)*AG65+(1-2/(p_AdxN+1))*AH64</f>
        <v>21.11479460711</v>
      </c>
      <c r="AI65" s="40" t="n">
        <f aca="false">I65*(1+p_ChPct)</f>
        <v>25.6695401817012</v>
      </c>
      <c r="AJ65" s="40" t="n">
        <f aca="false">I65*(1-p_ChPct)</f>
        <v>22.7635545007539</v>
      </c>
      <c r="AK65" s="40" t="n">
        <f aca="false">I65+1*Y65</f>
        <v>24.7634704181506</v>
      </c>
      <c r="AL65" s="40" t="n">
        <f aca="false">I65+2*Y65</f>
        <v>25.3103934950737</v>
      </c>
      <c r="AM65" s="40" t="n">
        <f aca="false">I65+3*Y65</f>
        <v>25.8573165719967</v>
      </c>
      <c r="AN65" s="40" t="n">
        <f aca="false">I65-1*Y65</f>
        <v>23.6696242643044</v>
      </c>
      <c r="AO65" s="40" t="n">
        <f aca="false">I65-2*Y65</f>
        <v>23.1227011873813</v>
      </c>
      <c r="AP65" s="40" t="n">
        <f aca="false">I65-3*Y65</f>
        <v>22.5757781104583</v>
      </c>
      <c r="AQ65" s="40" t="n">
        <f aca="true">MAX(OFFSET(C65,1-MIN(p_StochN,ROW()-4),0,MIN(p_StochN,ROW()-4),1))</f>
        <v>25.1</v>
      </c>
      <c r="AR65" s="40" t="n">
        <f aca="true">MIN(OFFSET(D65,1-MIN(p_StochN,ROW()-4),0,MIN(p_StochN,ROW()-4),1))</f>
        <v>24.05</v>
      </c>
      <c r="AS65" s="45" t="n">
        <f aca="false">IF(AQ65=AR65,50,100*(E65-AR65)/(AQ65-AR65))</f>
        <v>33.3333333333331</v>
      </c>
      <c r="AT65" s="45" t="n">
        <f aca="true">AVERAGE(OFFSET(AS65,1-MIN(p_StochSm,ROW()-4),0,MIN(p_StochSm,ROW()-4),1))</f>
        <v>41.6229057264315</v>
      </c>
      <c r="AU65" s="45" t="n">
        <f aca="true">AVERAGE(OFFSET(AT65,1-MIN(p_StochSm,ROW()-4),0,MIN(p_StochSm,ROW()-4),1))</f>
        <v>59.5423161345892</v>
      </c>
      <c r="AV65" s="41" t="n">
        <f aca="false">MAX(0,H65-D65)</f>
        <v>0.448458541728272</v>
      </c>
      <c r="AW65" s="41" t="n">
        <f aca="true">IF(COUNTIF(OFFSET(AV65,1-MIN(p_PenLb,ROW()-4),0,MIN(p_PenLb,ROW()-4),1),"&gt;0")&gt;0,SUM(OFFSET(AV65,1-MIN(p_PenLb,ROW()-4),0,MIN(p_PenLb,ROW()-4),1))/COUNTIF(OFFSET(AV65,1-MIN(p_PenLb,ROW()-4),0,MIN(p_PenLb,ROW()-4),1),"&gt;0"),0.5*Y65)</f>
        <v>0.355924747054745</v>
      </c>
      <c r="AX65" s="41" t="n">
        <f aca="false">2*H65-H64</f>
        <v>24.4820487847736</v>
      </c>
      <c r="AY65" s="40" t="n">
        <f aca="false">ROUND(MAX(AX65-AW65,0.01),2)</f>
        <v>24.13</v>
      </c>
      <c r="AZ65" s="40" t="n">
        <f aca="true">IF(MIN(p_StopLb,ROW()-4)&lt;2,D65,SMALL(OFFSET(D65,1-MIN(p_StopLb,ROW()-4),0,MIN(p_StopLb,ROW()-4),1),2))</f>
        <v>24.05</v>
      </c>
      <c r="BA65" s="40" t="n">
        <f aca="false">IF(MOD(ROUND(ROUNDDOWN(MIN(AZ65-0.01,AY65-p_StopAtr*Y65),2)*100,0),50)=0,ROUNDDOWN(MIN(AZ65-0.01,AY65-p_StopAtr*Y65),2)-0.01,ROUNDDOWN(MIN(AZ65-0.01,AY65-p_StopAtr*Y65),2))</f>
        <v>23.58</v>
      </c>
      <c r="BB65" s="40" t="n">
        <f aca="false">ROUND(AI65,2)</f>
        <v>25.67</v>
      </c>
      <c r="BC65" s="40" t="n">
        <f aca="false">IF(AY65-BA65&gt;0,(BB65-AY65)/(AY65-BA65),0)</f>
        <v>2.8</v>
      </c>
      <c r="BD65" s="42" t="n">
        <f aca="false">IF(N65&lt;0,1,0)</f>
        <v>1</v>
      </c>
      <c r="BE65" s="41" t="n">
        <f aca="false">IF(AND(BD65=1,BD64=0),N65,IF(BD65=1,MIN(BE64,N65),BE64))</f>
        <v>-0.267100964273217</v>
      </c>
      <c r="BF65" s="40" t="n">
        <f aca="false">IF(AND(BD65=1,BD64=0),D65,IF(BD65=1,MIN(BF64,D65),BF64))</f>
        <v>23.24</v>
      </c>
      <c r="BG65" s="42" t="n">
        <f aca="false">IF(AND(BD65=1,BD64=0),ROW(),IF(BD65=1,IF(N65&lt;BE64,ROW(),BG64),BG64))</f>
        <v>52</v>
      </c>
      <c r="BH65" s="41" t="n">
        <f aca="false">IF(AND(BD65=1,BD64=0),BE64,BH64)</f>
        <v>-0.0234128043712021</v>
      </c>
      <c r="BI65" s="40" t="n">
        <f aca="false">IF(AND(BD65=1,BD64=0),BF64,BI64)</f>
        <v>19.42</v>
      </c>
      <c r="BJ65" s="42" t="n">
        <f aca="false">IF(AND(BD65=1,BD64=0),BG64,BJ64)</f>
        <v>10</v>
      </c>
      <c r="BK65" s="42" t="n">
        <f aca="false">IF(AND(ISNUMBER(BG65),ISNUMBER(BJ65)),BG65-BJ65,"")</f>
        <v>42</v>
      </c>
      <c r="BL65" s="42" t="n">
        <f aca="false">IF(AND(BD65=1,N65&gt;N64,ISNUMBER(BH65),ISNUMBER(BK65)),IF(AND(BE65&gt;BH65,BF65&lt;BI65,BK65&gt;=p_GapMin,BK65&lt;=p_GapMax),1,0),0)</f>
        <v>0</v>
      </c>
      <c r="BM65" s="42" t="n">
        <f aca="false">IF(AND(BL65=1,E65&gt;BI65),1,0)</f>
        <v>0</v>
      </c>
      <c r="BN65" s="42" t="n">
        <f aca="false">IF(BL65=1,IF(BE65&gt;=BH65*0.5,1,0),0)</f>
        <v>0</v>
      </c>
      <c r="BO65" s="42" t="n">
        <f aca="true">IF(V65&gt;MIN(OFFSET(V65,-MIN(p_FiLb-1,ROW()-5),0,MIN(p_FiLb-1,ROW()-5),1)),1,0)</f>
        <v>1</v>
      </c>
      <c r="BP65" s="44" t="n">
        <f aca="true">IF(COUNTIF(OFFSET(V65,1-MIN(100,ROW()-4),0,MIN(100,ROW()-4),1),"&lt;0")&gt;=5,AVERAGEIF(OFFSET(V65,1-MIN(100,ROW()-4),0,MIN(100,ROW()-4),1),"&lt;0"),"")</f>
        <v>-634255.058395353</v>
      </c>
      <c r="BQ65" s="42" t="n">
        <f aca="false">IF(ISNUMBER(BP65),IF(AND(V65&lt;5*BP65,V65&gt;V64,E65&lt;AJ65),1,0),0)</f>
        <v>0</v>
      </c>
      <c r="BR65" s="44" t="n">
        <f aca="true">AVERAGE(OFFSET(F65,1-MIN(5,ROW()-4),0,MIN(5,ROW()-4),1))</f>
        <v>4064180</v>
      </c>
      <c r="BS65" s="42" t="n">
        <f aca="false">IFERROR(IF(MATCH(G65,周线!$A$5:$A$84,0)&lt;=1,"",INDEX(周线!$R$5:$R$84,MATCH(G65,周线!$A$5:$A$84,0)-1)),"")</f>
        <v>1</v>
      </c>
      <c r="BT65" s="42" t="n">
        <f aca="false">IFERROR(IF(MATCH(G65,周线!$A$5:$A$84,0)&lt;=1,"",INDEX(周线!$S$5:$S$84,MATCH(G65,周线!$A$5:$A$84,0)-1)),"")</f>
        <v>0</v>
      </c>
      <c r="BU65" s="42" t="n">
        <f aca="false">IFERROR(IF(MATCH(G65,周线!$A$5:$A$84,0)&lt;=1,"",INDEX(周线!$U$5:$U$84,MATCH(G65,周线!$A$5:$A$84,0)-1)),"")</f>
        <v>0</v>
      </c>
      <c r="BV65" s="42" t="n">
        <f aca="false">IF(AND(BS65=1,S65&lt;&gt;-1,V65&lt;0,BO65=1,E65&lt;=H65,E65&gt;=AJ65),1,0)</f>
        <v>0</v>
      </c>
      <c r="BW65" s="42" t="n">
        <f aca="false">BL65</f>
        <v>0</v>
      </c>
      <c r="BX65" s="42" t="n">
        <f aca="false">BQ65</f>
        <v>0</v>
      </c>
      <c r="BY65" s="42" t="n">
        <f aca="false">IF(BS65=1,10,0)+IF(BU65=1,5,IF(BU65=-1,0,3))+IF(BT65=1,5,0)+IF(AND(AE65&gt;AF65,AH65&gt;AH64),5,0)</f>
        <v>13</v>
      </c>
      <c r="BZ65" s="42" t="n">
        <f aca="false">IF(AND(E65&lt;=H65,E65&gt;=I65),10,IF(AND(E65&gt;=AJ65,E65&lt;I65),6,0))+IF(AND(V65&lt;0,BO65=1),8,0)+IF(AT65&lt;30,7,IF(AT65&lt;50,3,0))</f>
        <v>21</v>
      </c>
      <c r="CA65" s="42" t="n">
        <f aca="false">IF(AND(BV65=1,BW65=1),25,IF(BW65=1,22,IF(BV65=1,15,IF(BX65=1,12,0))))</f>
        <v>0</v>
      </c>
      <c r="CB65" s="42" t="n">
        <f aca="false">IF(W65&gt;0,6,0)+IF(F65&lt;BR65,4,0)</f>
        <v>4</v>
      </c>
      <c r="CC65" s="42" t="n">
        <f aca="false">IF(BC65&gt;=3,15,IF(BC65&gt;=p_RRmin,10,IF(BC65&gt;=1.5,4,0)))</f>
        <v>10</v>
      </c>
      <c r="CD65" s="42" t="n">
        <f aca="false">BY65+BZ65+CA65+CB65+CC65</f>
        <v>48</v>
      </c>
      <c r="CE65" s="42" t="n">
        <f aca="false">IF(AND(BS65&lt;&gt;1,BW65+BX65=0),1,0)</f>
        <v>0</v>
      </c>
      <c r="CF65" s="42" t="n">
        <f aca="false">IF(BU65=-1,1,0)</f>
        <v>0</v>
      </c>
      <c r="CG65" s="42" t="n">
        <f aca="false">IF(S65=-1,1,0)</f>
        <v>1</v>
      </c>
      <c r="CH65" s="42" t="n">
        <f aca="false">IF(BV65+BW65+BX65=0,1,0)</f>
        <v>1</v>
      </c>
      <c r="CI65" s="42" t="n">
        <f aca="false">IF(BC65&lt;p_RRmin,1,0)</f>
        <v>0</v>
      </c>
      <c r="CJ65" s="46" t="str">
        <f aca="false">IF(SUM(CE65:CI65)=0,IF(CD65&gt;=p_GradeA,"A",IF(CD65&gt;=p_GradeB,"B","C")),IF(AND(CI65=1,SUM(CE65:CH65)=0,CD65&gt;=p_GradeB),"B","C"))</f>
        <v>C</v>
      </c>
    </row>
    <row r="66" customFormat="false" ht="15" hidden="false" customHeight="false" outlineLevel="0" collapsed="false">
      <c r="A66" s="36" t="n">
        <v>45744</v>
      </c>
      <c r="B66" s="37" t="n">
        <v>24.32</v>
      </c>
      <c r="C66" s="37" t="n">
        <v>24.73</v>
      </c>
      <c r="D66" s="37" t="n">
        <v>24.26</v>
      </c>
      <c r="E66" s="37" t="n">
        <v>24.53</v>
      </c>
      <c r="F66" s="38" t="n">
        <v>2962500</v>
      </c>
      <c r="G66" s="39" t="n">
        <f aca="false">A66-WEEKDAY(A66,3)</f>
        <v>45740</v>
      </c>
      <c r="H66" s="40" t="n">
        <f aca="false">2/(p_EmaF+1)*E66+(1-2/(p_EmaF+1))*H65</f>
        <v>24.5029644643385</v>
      </c>
      <c r="I66" s="40" t="n">
        <f aca="false">2/(p_EmaS+1)*E66+(1-2/(p_EmaS+1))*I65</f>
        <v>24.2397660566921</v>
      </c>
      <c r="J66" s="41" t="n">
        <f aca="false">2/(p_MacdF+1)*E66+(1-2/(p_MacdF+1))*J65</f>
        <v>24.5147979231688</v>
      </c>
      <c r="K66" s="41" t="n">
        <f aca="false">2/(p_MacdS+1)*E66+(1-2/(p_MacdS+1))*K65</f>
        <v>24.2397660566921</v>
      </c>
      <c r="L66" s="41" t="n">
        <f aca="false">J66-K66</f>
        <v>0.275031866476692</v>
      </c>
      <c r="M66" s="41" t="n">
        <f aca="false">2/(p_MacdSig+1)*L66+(1-2/(p_MacdSig+1))*M65</f>
        <v>0.342552685289743</v>
      </c>
      <c r="N66" s="41" t="n">
        <f aca="false">L66-M66</f>
        <v>-0.0675208188130512</v>
      </c>
      <c r="O66" s="42" t="n">
        <f aca="false">IF(H66&gt;H65,1,0)</f>
        <v>1</v>
      </c>
      <c r="P66" s="42" t="n">
        <f aca="false">IF(H66&lt;H65,1,0)</f>
        <v>0</v>
      </c>
      <c r="Q66" s="42" t="n">
        <f aca="false">IF(N66&gt;N65,1,0)</f>
        <v>0</v>
      </c>
      <c r="R66" s="42" t="n">
        <f aca="false">IF(N66&lt;N65,1,0)</f>
        <v>1</v>
      </c>
      <c r="S66" s="42" t="n">
        <f aca="false">IF(AND(O66=1,Q66=1),1,IF(AND(P66=1,R66=1),-1,0))</f>
        <v>0</v>
      </c>
      <c r="T66" s="43" t="str">
        <f aca="false">IF(S66=1,"绿",IF(S66=-1,"红","蓝"))</f>
        <v>蓝</v>
      </c>
      <c r="U66" s="44" t="n">
        <f aca="false">F66*(E66-E65)</f>
        <v>385125.000000008</v>
      </c>
      <c r="V66" s="44" t="n">
        <f aca="false">2/(p_FiS+1)*U66+(1-2/(p_FiS+1))*V65</f>
        <v>105907.912505818</v>
      </c>
      <c r="W66" s="44" t="n">
        <f aca="false">2/(p_FiL+1)*U66+(1-2/(p_FiL+1))*W65</f>
        <v>-61405.9362868414</v>
      </c>
      <c r="X66" s="41" t="n">
        <f aca="false">MAX(C66-D66,ABS(C66-E65),ABS(D66-E65))</f>
        <v>0.469999999999999</v>
      </c>
      <c r="Y66" s="41" t="n">
        <f aca="true">AVERAGE(OFFSET(X66,1-MIN(p_AtrN,ROW()-4),0,MIN(p_AtrN,ROW()-4),1))</f>
        <v>0.53</v>
      </c>
      <c r="Z66" s="41" t="n">
        <f aca="false">IF(AND(C66-C65&gt;D65-D66,C66-C65&gt;0),C66-C65,0)</f>
        <v>0</v>
      </c>
      <c r="AA66" s="41" t="n">
        <f aca="false">IF(AND(D65-D66&gt;C66-C65,D65-D66&gt;0),D65-D66,0)</f>
        <v>0</v>
      </c>
      <c r="AB66" s="41" t="n">
        <f aca="false">2/(p_AdxN+1)*X66+(1-2/(p_AdxN+1))*AB65</f>
        <v>0.556344213867361</v>
      </c>
      <c r="AC66" s="41" t="n">
        <f aca="false">2/(p_AdxN+1)*Z66+(1-2/(p_AdxN+1))*AC65</f>
        <v>0.0625679079165835</v>
      </c>
      <c r="AD66" s="41" t="n">
        <f aca="false">2/(p_AdxN+1)*AA66+(1-2/(p_AdxN+1))*AD65</f>
        <v>0.12501994243964</v>
      </c>
      <c r="AE66" s="45" t="n">
        <f aca="false">100*AC66/AB66</f>
        <v>11.246258405682</v>
      </c>
      <c r="AF66" s="45" t="n">
        <f aca="false">100*AD66/AB66</f>
        <v>22.4716891671396</v>
      </c>
      <c r="AG66" s="45" t="n">
        <f aca="false">IFERROR(100*ABS(AE66-AF66)/(AE66+AF66),0)</f>
        <v>33.2921531988676</v>
      </c>
      <c r="AH66" s="45" t="n">
        <f aca="false">2/(p_AdxN+1)*AG66+(1-2/(p_AdxN+1))*AH65</f>
        <v>22.8544172630754</v>
      </c>
      <c r="AI66" s="40" t="n">
        <f aca="false">I66*(1+p_ChPct)</f>
        <v>25.6941520200937</v>
      </c>
      <c r="AJ66" s="40" t="n">
        <f aca="false">I66*(1-p_ChPct)</f>
        <v>22.7853800932906</v>
      </c>
      <c r="AK66" s="40" t="n">
        <f aca="false">I66+1*Y66</f>
        <v>24.7697660566921</v>
      </c>
      <c r="AL66" s="40" t="n">
        <f aca="false">I66+2*Y66</f>
        <v>25.2997660566921</v>
      </c>
      <c r="AM66" s="40" t="n">
        <f aca="false">I66+3*Y66</f>
        <v>25.8297660566921</v>
      </c>
      <c r="AN66" s="40" t="n">
        <f aca="false">I66-1*Y66</f>
        <v>23.7097660566921</v>
      </c>
      <c r="AO66" s="40" t="n">
        <f aca="false">I66-2*Y66</f>
        <v>23.1797660566921</v>
      </c>
      <c r="AP66" s="40" t="n">
        <f aca="false">I66-3*Y66</f>
        <v>22.6497660566921</v>
      </c>
      <c r="AQ66" s="40" t="n">
        <f aca="true">MAX(OFFSET(C66,1-MIN(p_StochN,ROW()-4),0,MIN(p_StochN,ROW()-4),1))</f>
        <v>25.1</v>
      </c>
      <c r="AR66" s="40" t="n">
        <f aca="true">MIN(OFFSET(D66,1-MIN(p_StochN,ROW()-4),0,MIN(p_StochN,ROW()-4),1))</f>
        <v>24.05</v>
      </c>
      <c r="AS66" s="45" t="n">
        <f aca="false">IF(AQ66=AR66,50,100*(E66-AR66)/(AQ66-AR66))</f>
        <v>45.7142857142857</v>
      </c>
      <c r="AT66" s="45" t="n">
        <f aca="true">AVERAGE(OFFSET(AS66,1-MIN(p_StochSm,ROW()-4),0,MIN(p_StochSm,ROW()-4),1))</f>
        <v>32.4423963133639</v>
      </c>
      <c r="AU66" s="45" t="n">
        <f aca="true">AVERAGE(OFFSET(AT66,1-MIN(p_StochSm,ROW()-4),0,MIN(p_StochSm,ROW()-4),1))</f>
        <v>45.0657505646252</v>
      </c>
      <c r="AV66" s="41" t="n">
        <f aca="false">MAX(0,H66-D66)</f>
        <v>0.24296446433852</v>
      </c>
      <c r="AW66" s="41" t="n">
        <f aca="true">IF(COUNTIF(OFFSET(AV66,1-MIN(p_PenLb,ROW()-4),0,MIN(p_PenLb,ROW()-4),1),"&gt;0")&gt;0,SUM(OFFSET(AV66,1-MIN(p_PenLb,ROW()-4),0,MIN(p_PenLb,ROW()-4),1))/COUNTIF(OFFSET(AV66,1-MIN(p_PenLb,ROW()-4),0,MIN(p_PenLb,ROW()-4),1),"&gt;0"),0.5*Y66)</f>
        <v>0.347235494538112</v>
      </c>
      <c r="AX66" s="41" t="n">
        <f aca="false">2*H66-H65</f>
        <v>24.5074703869488</v>
      </c>
      <c r="AY66" s="40" t="n">
        <f aca="false">ROUND(MAX(AX66-AW66,0.01),2)</f>
        <v>24.16</v>
      </c>
      <c r="AZ66" s="40" t="n">
        <f aca="true">IF(MIN(p_StopLb,ROW()-4)&lt;2,D66,SMALL(OFFSET(D66,1-MIN(p_StopLb,ROW()-4),0,MIN(p_StopLb,ROW()-4),1),2))</f>
        <v>24.12</v>
      </c>
      <c r="BA66" s="40" t="n">
        <f aca="false">IF(MOD(ROUND(ROUNDDOWN(MIN(AZ66-0.01,AY66-p_StopAtr*Y66),2)*100,0),50)=0,ROUNDDOWN(MIN(AZ66-0.01,AY66-p_StopAtr*Y66),2)-0.01,ROUNDDOWN(MIN(AZ66-0.01,AY66-p_StopAtr*Y66),2))</f>
        <v>23.63</v>
      </c>
      <c r="BB66" s="40" t="n">
        <f aca="false">ROUND(AI66,2)</f>
        <v>25.69</v>
      </c>
      <c r="BC66" s="40" t="n">
        <f aca="false">IF(AY66-BA66&gt;0,(BB66-AY66)/(AY66-BA66),0)</f>
        <v>2.88679245283018</v>
      </c>
      <c r="BD66" s="42" t="n">
        <f aca="false">IF(N66&lt;0,1,0)</f>
        <v>1</v>
      </c>
      <c r="BE66" s="41" t="n">
        <f aca="false">IF(AND(BD66=1,BD65=0),N66,IF(BD66=1,MIN(BE65,N66),BE65))</f>
        <v>-0.267100964273217</v>
      </c>
      <c r="BF66" s="40" t="n">
        <f aca="false">IF(AND(BD66=1,BD65=0),D66,IF(BD66=1,MIN(BF65,D66),BF65))</f>
        <v>23.24</v>
      </c>
      <c r="BG66" s="42" t="n">
        <f aca="false">IF(AND(BD66=1,BD65=0),ROW(),IF(BD66=1,IF(N66&lt;BE65,ROW(),BG65),BG65))</f>
        <v>52</v>
      </c>
      <c r="BH66" s="41" t="n">
        <f aca="false">IF(AND(BD66=1,BD65=0),BE65,BH65)</f>
        <v>-0.0234128043712021</v>
      </c>
      <c r="BI66" s="40" t="n">
        <f aca="false">IF(AND(BD66=1,BD65=0),BF65,BI65)</f>
        <v>19.42</v>
      </c>
      <c r="BJ66" s="42" t="n">
        <f aca="false">IF(AND(BD66=1,BD65=0),BG65,BJ65)</f>
        <v>10</v>
      </c>
      <c r="BK66" s="42" t="n">
        <f aca="false">IF(AND(ISNUMBER(BG66),ISNUMBER(BJ66)),BG66-BJ66,"")</f>
        <v>42</v>
      </c>
      <c r="BL66" s="42" t="n">
        <f aca="false">IF(AND(BD66=1,N66&gt;N65,ISNUMBER(BH66),ISNUMBER(BK66)),IF(AND(BE66&gt;BH66,BF66&lt;BI66,BK66&gt;=p_GapMin,BK66&lt;=p_GapMax),1,0),0)</f>
        <v>0</v>
      </c>
      <c r="BM66" s="42" t="n">
        <f aca="false">IF(AND(BL66=1,E66&gt;BI66),1,0)</f>
        <v>0</v>
      </c>
      <c r="BN66" s="42" t="n">
        <f aca="false">IF(BL66=1,IF(BE66&gt;=BH66*0.5,1,0),0)</f>
        <v>0</v>
      </c>
      <c r="BO66" s="42" t="n">
        <f aca="true">IF(V66&gt;MIN(OFFSET(V66,-MIN(p_FiLb-1,ROW()-5),0,MIN(p_FiLb-1,ROW()-5),1)),1,0)</f>
        <v>1</v>
      </c>
      <c r="BP66" s="44" t="n">
        <f aca="true">IF(COUNTIF(OFFSET(V66,1-MIN(100,ROW()-4),0,MIN(100,ROW()-4),1),"&lt;0")&gt;=5,AVERAGEIF(OFFSET(V66,1-MIN(100,ROW()-4),0,MIN(100,ROW()-4),1),"&lt;0"),"")</f>
        <v>-634255.058395353</v>
      </c>
      <c r="BQ66" s="42" t="n">
        <f aca="false">IF(ISNUMBER(BP66),IF(AND(V66&lt;5*BP66,V66&gt;V65,E66&lt;AJ66),1,0),0)</f>
        <v>0</v>
      </c>
      <c r="BR66" s="44" t="n">
        <f aca="true">AVERAGE(OFFSET(F66,1-MIN(5,ROW()-4),0,MIN(5,ROW()-4),1))</f>
        <v>3795600</v>
      </c>
      <c r="BS66" s="42" t="n">
        <f aca="false">IFERROR(IF(MATCH(G66,周线!$A$5:$A$84,0)&lt;=1,"",INDEX(周线!$R$5:$R$84,MATCH(G66,周线!$A$5:$A$84,0)-1)),"")</f>
        <v>1</v>
      </c>
      <c r="BT66" s="42" t="n">
        <f aca="false">IFERROR(IF(MATCH(G66,周线!$A$5:$A$84,0)&lt;=1,"",INDEX(周线!$S$5:$S$84,MATCH(G66,周线!$A$5:$A$84,0)-1)),"")</f>
        <v>0</v>
      </c>
      <c r="BU66" s="42" t="n">
        <f aca="false">IFERROR(IF(MATCH(G66,周线!$A$5:$A$84,0)&lt;=1,"",INDEX(周线!$U$5:$U$84,MATCH(G66,周线!$A$5:$A$84,0)-1)),"")</f>
        <v>0</v>
      </c>
      <c r="BV66" s="42" t="n">
        <f aca="false">IF(AND(BS66=1,S66&lt;&gt;-1,V66&lt;0,BO66=1,E66&lt;=H66,E66&gt;=AJ66),1,0)</f>
        <v>0</v>
      </c>
      <c r="BW66" s="42" t="n">
        <f aca="false">BL66</f>
        <v>0</v>
      </c>
      <c r="BX66" s="42" t="n">
        <f aca="false">BQ66</f>
        <v>0</v>
      </c>
      <c r="BY66" s="42" t="n">
        <f aca="false">IF(BS66=1,10,0)+IF(BU66=1,5,IF(BU66=-1,0,3))+IF(BT66=1,5,0)+IF(AND(AE66&gt;AF66,AH66&gt;AH65),5,0)</f>
        <v>13</v>
      </c>
      <c r="BZ66" s="42" t="n">
        <f aca="false">IF(AND(E66&lt;=H66,E66&gt;=I66),10,IF(AND(E66&gt;=AJ66,E66&lt;I66),6,0))+IF(AND(V66&lt;0,BO66=1),8,0)+IF(AT66&lt;30,7,IF(AT66&lt;50,3,0))</f>
        <v>3</v>
      </c>
      <c r="CA66" s="42" t="n">
        <f aca="false">IF(AND(BV66=1,BW66=1),25,IF(BW66=1,22,IF(BV66=1,15,IF(BX66=1,12,0))))</f>
        <v>0</v>
      </c>
      <c r="CB66" s="42" t="n">
        <f aca="false">IF(W66&gt;0,6,0)+IF(F66&lt;BR66,4,0)</f>
        <v>4</v>
      </c>
      <c r="CC66" s="42" t="n">
        <f aca="false">IF(BC66&gt;=3,15,IF(BC66&gt;=p_RRmin,10,IF(BC66&gt;=1.5,4,0)))</f>
        <v>10</v>
      </c>
      <c r="CD66" s="42" t="n">
        <f aca="false">BY66+BZ66+CA66+CB66+CC66</f>
        <v>30</v>
      </c>
      <c r="CE66" s="42" t="n">
        <f aca="false">IF(AND(BS66&lt;&gt;1,BW66+BX66=0),1,0)</f>
        <v>0</v>
      </c>
      <c r="CF66" s="42" t="n">
        <f aca="false">IF(BU66=-1,1,0)</f>
        <v>0</v>
      </c>
      <c r="CG66" s="42" t="n">
        <f aca="false">IF(S66=-1,1,0)</f>
        <v>0</v>
      </c>
      <c r="CH66" s="42" t="n">
        <f aca="false">IF(BV66+BW66+BX66=0,1,0)</f>
        <v>1</v>
      </c>
      <c r="CI66" s="42" t="n">
        <f aca="false">IF(BC66&lt;p_RRmin,1,0)</f>
        <v>0</v>
      </c>
      <c r="CJ66" s="46" t="str">
        <f aca="false">IF(SUM(CE66:CI66)=0,IF(CD66&gt;=p_GradeA,"A",IF(CD66&gt;=p_GradeB,"B","C")),IF(AND(CI66=1,SUM(CE66:CH66)=0,CD66&gt;=p_GradeB),"B","C"))</f>
        <v>C</v>
      </c>
    </row>
    <row r="67" customFormat="false" ht="15" hidden="false" customHeight="false" outlineLevel="0" collapsed="false">
      <c r="A67" s="36" t="n">
        <v>45747</v>
      </c>
      <c r="B67" s="37" t="n">
        <v>24.59</v>
      </c>
      <c r="C67" s="37" t="n">
        <v>25.04</v>
      </c>
      <c r="D67" s="37" t="n">
        <v>24.27</v>
      </c>
      <c r="E67" s="37" t="n">
        <v>24.86</v>
      </c>
      <c r="F67" s="38" t="n">
        <v>5099000</v>
      </c>
      <c r="G67" s="39" t="n">
        <f aca="false">A67-WEEKDAY(A67,3)</f>
        <v>45747</v>
      </c>
      <c r="H67" s="40" t="n">
        <f aca="false">2/(p_EmaF+1)*E67+(1-2/(p_EmaF+1))*H66</f>
        <v>24.5539695408616</v>
      </c>
      <c r="I67" s="40" t="n">
        <f aca="false">2/(p_EmaS+1)*E67+(1-2/(p_EmaS+1))*I66</f>
        <v>24.285709311752</v>
      </c>
      <c r="J67" s="41" t="n">
        <f aca="false">2/(p_MacdF+1)*E67+(1-2/(p_MacdF+1))*J66</f>
        <v>24.567905934989</v>
      </c>
      <c r="K67" s="41" t="n">
        <f aca="false">2/(p_MacdS+1)*E67+(1-2/(p_MacdS+1))*K66</f>
        <v>24.285709311752</v>
      </c>
      <c r="L67" s="41" t="n">
        <f aca="false">J67-K67</f>
        <v>0.282196623237031</v>
      </c>
      <c r="M67" s="41" t="n">
        <f aca="false">2/(p_MacdSig+1)*L67+(1-2/(p_MacdSig+1))*M66</f>
        <v>0.3304814728792</v>
      </c>
      <c r="N67" s="41" t="n">
        <f aca="false">L67-M67</f>
        <v>-0.0482848496421696</v>
      </c>
      <c r="O67" s="42" t="n">
        <f aca="false">IF(H67&gt;H66,1,0)</f>
        <v>1</v>
      </c>
      <c r="P67" s="42" t="n">
        <f aca="false">IF(H67&lt;H66,1,0)</f>
        <v>0</v>
      </c>
      <c r="Q67" s="42" t="n">
        <f aca="false">IF(N67&gt;N66,1,0)</f>
        <v>1</v>
      </c>
      <c r="R67" s="42" t="n">
        <f aca="false">IF(N67&lt;N66,1,0)</f>
        <v>0</v>
      </c>
      <c r="S67" s="42" t="n">
        <f aca="false">IF(AND(O67=1,Q67=1),1,IF(AND(P67=1,R67=1),-1,0))</f>
        <v>1</v>
      </c>
      <c r="T67" s="43" t="str">
        <f aca="false">IF(S67=1,"绿",IF(S67=-1,"红","蓝"))</f>
        <v>绿</v>
      </c>
      <c r="U67" s="44" t="n">
        <f aca="false">F67*(E67-E66)</f>
        <v>1682669.99999999</v>
      </c>
      <c r="V67" s="44" t="n">
        <f aca="false">2/(p_FiS+1)*U67+(1-2/(p_FiS+1))*V66</f>
        <v>1157082.63750193</v>
      </c>
      <c r="W67" s="44" t="n">
        <f aca="false">2/(p_FiL+1)*U67+(1-2/(p_FiL+1))*W66</f>
        <v>187747.768896992</v>
      </c>
      <c r="X67" s="41" t="n">
        <f aca="false">MAX(C67-D67,ABS(C67-E66),ABS(D67-E66))</f>
        <v>0.77</v>
      </c>
      <c r="Y67" s="41" t="n">
        <f aca="true">AVERAGE(OFFSET(X67,1-MIN(p_AtrN,ROW()-4),0,MIN(p_AtrN,ROW()-4),1))</f>
        <v>0.543846153846154</v>
      </c>
      <c r="Z67" s="41" t="n">
        <f aca="false">IF(AND(C67-C66&gt;D66-D67,C67-C66&gt;0),C67-C66,0)</f>
        <v>0.309999999999999</v>
      </c>
      <c r="AA67" s="41" t="n">
        <f aca="false">IF(AND(D66-D67&gt;C67-C66,D66-D67&gt;0),D66-D67,0)</f>
        <v>0</v>
      </c>
      <c r="AB67" s="41" t="n">
        <f aca="false">2/(p_AdxN+1)*X67+(1-2/(p_AdxN+1))*AB66</f>
        <v>0.586866469029167</v>
      </c>
      <c r="AC67" s="41" t="n">
        <f aca="false">2/(p_AdxN+1)*Z67+(1-2/(p_AdxN+1))*AC66</f>
        <v>0.0979153496427856</v>
      </c>
      <c r="AD67" s="41" t="n">
        <f aca="false">2/(p_AdxN+1)*AA67+(1-2/(p_AdxN+1))*AD66</f>
        <v>0.107159950662548</v>
      </c>
      <c r="AE67" s="45" t="n">
        <f aca="false">100*AC67/AB67</f>
        <v>16.6844341617887</v>
      </c>
      <c r="AF67" s="45" t="n">
        <f aca="false">100*AD67/AB67</f>
        <v>18.2596819409055</v>
      </c>
      <c r="AG67" s="45" t="n">
        <f aca="false">IFERROR(100*ABS(AE67-AF67)/(AE67+AF67),0)</f>
        <v>4.50790563563653</v>
      </c>
      <c r="AH67" s="45" t="n">
        <f aca="false">2/(p_AdxN+1)*AG67+(1-2/(p_AdxN+1))*AH66</f>
        <v>20.2334870305841</v>
      </c>
      <c r="AI67" s="40" t="n">
        <f aca="false">I67*(1+p_ChPct)</f>
        <v>25.7428518704571</v>
      </c>
      <c r="AJ67" s="40" t="n">
        <f aca="false">I67*(1-p_ChPct)</f>
        <v>22.8285667530469</v>
      </c>
      <c r="AK67" s="40" t="n">
        <f aca="false">I67+1*Y67</f>
        <v>24.8295554655981</v>
      </c>
      <c r="AL67" s="40" t="n">
        <f aca="false">I67+2*Y67</f>
        <v>25.3734016194443</v>
      </c>
      <c r="AM67" s="40" t="n">
        <f aca="false">I67+3*Y67</f>
        <v>25.9172477732904</v>
      </c>
      <c r="AN67" s="40" t="n">
        <f aca="false">I67-1*Y67</f>
        <v>23.7418631579058</v>
      </c>
      <c r="AO67" s="40" t="n">
        <f aca="false">I67-2*Y67</f>
        <v>23.1980170040597</v>
      </c>
      <c r="AP67" s="40" t="n">
        <f aca="false">I67-3*Y67</f>
        <v>22.6541708502135</v>
      </c>
      <c r="AQ67" s="40" t="n">
        <f aca="true">MAX(OFFSET(C67,1-MIN(p_StochN,ROW()-4),0,MIN(p_StochN,ROW()-4),1))</f>
        <v>25.1</v>
      </c>
      <c r="AR67" s="40" t="n">
        <f aca="true">MIN(OFFSET(D67,1-MIN(p_StochN,ROW()-4),0,MIN(p_StochN,ROW()-4),1))</f>
        <v>24.05</v>
      </c>
      <c r="AS67" s="45" t="n">
        <f aca="false">IF(AQ67=AR67,50,100*(E67-AR67)/(AQ67-AR67))</f>
        <v>77.142857142857</v>
      </c>
      <c r="AT67" s="45" t="n">
        <f aca="true">AVERAGE(OFFSET(AS67,1-MIN(p_StochSm,ROW()-4),0,MIN(p_StochSm,ROW()-4),1))</f>
        <v>52.0634920634919</v>
      </c>
      <c r="AU67" s="45" t="n">
        <f aca="true">AVERAGE(OFFSET(AT67,1-MIN(p_StochSm,ROW()-4),0,MIN(p_StochSm,ROW()-4),1))</f>
        <v>42.0429313677624</v>
      </c>
      <c r="AV67" s="41" t="n">
        <f aca="false">MAX(0,H67-D67)</f>
        <v>0.283969540861591</v>
      </c>
      <c r="AW67" s="41" t="n">
        <f aca="true">IF(COUNTIF(OFFSET(AV67,1-MIN(p_PenLb,ROW()-4),0,MIN(p_PenLb,ROW()-4),1),"&gt;0")&gt;0,SUM(OFFSET(AV67,1-MIN(p_PenLb,ROW()-4),0,MIN(p_PenLb,ROW()-4),1))/COUNTIF(OFFSET(AV67,1-MIN(p_PenLb,ROW()-4),0,MIN(p_PenLb,ROW()-4),1),"&gt;0"),0.5*Y67)</f>
        <v>0.342716497846932</v>
      </c>
      <c r="AX67" s="41" t="n">
        <f aca="false">2*H67-H66</f>
        <v>24.6049746173847</v>
      </c>
      <c r="AY67" s="40" t="n">
        <f aca="false">ROUND(MAX(AX67-AW67,0.01),2)</f>
        <v>24.26</v>
      </c>
      <c r="AZ67" s="40" t="n">
        <f aca="true">IF(MIN(p_StopLb,ROW()-4)&lt;2,D67,SMALL(OFFSET(D67,1-MIN(p_StopLb,ROW()-4),0,MIN(p_StopLb,ROW()-4),1),2))</f>
        <v>24.17</v>
      </c>
      <c r="BA67" s="40" t="n">
        <f aca="false">IF(MOD(ROUND(ROUNDDOWN(MIN(AZ67-0.01,AY67-p_StopAtr*Y67),2)*100,0),50)=0,ROUNDDOWN(MIN(AZ67-0.01,AY67-p_StopAtr*Y67),2)-0.01,ROUNDDOWN(MIN(AZ67-0.01,AY67-p_StopAtr*Y67),2))</f>
        <v>23.71</v>
      </c>
      <c r="BB67" s="40" t="n">
        <f aca="false">ROUND(AI67,2)</f>
        <v>25.74</v>
      </c>
      <c r="BC67" s="40" t="n">
        <f aca="false">IF(AY67-BA67&gt;0,(BB67-AY67)/(AY67-BA67),0)</f>
        <v>2.69090909090908</v>
      </c>
      <c r="BD67" s="42" t="n">
        <f aca="false">IF(N67&lt;0,1,0)</f>
        <v>1</v>
      </c>
      <c r="BE67" s="41" t="n">
        <f aca="false">IF(AND(BD67=1,BD66=0),N67,IF(BD67=1,MIN(BE66,N67),BE66))</f>
        <v>-0.267100964273217</v>
      </c>
      <c r="BF67" s="40" t="n">
        <f aca="false">IF(AND(BD67=1,BD66=0),D67,IF(BD67=1,MIN(BF66,D67),BF66))</f>
        <v>23.24</v>
      </c>
      <c r="BG67" s="42" t="n">
        <f aca="false">IF(AND(BD67=1,BD66=0),ROW(),IF(BD67=1,IF(N67&lt;BE66,ROW(),BG66),BG66))</f>
        <v>52</v>
      </c>
      <c r="BH67" s="41" t="n">
        <f aca="false">IF(AND(BD67=1,BD66=0),BE66,BH66)</f>
        <v>-0.0234128043712021</v>
      </c>
      <c r="BI67" s="40" t="n">
        <f aca="false">IF(AND(BD67=1,BD66=0),BF66,BI66)</f>
        <v>19.42</v>
      </c>
      <c r="BJ67" s="42" t="n">
        <f aca="false">IF(AND(BD67=1,BD66=0),BG66,BJ66)</f>
        <v>10</v>
      </c>
      <c r="BK67" s="42" t="n">
        <f aca="false">IF(AND(ISNUMBER(BG67),ISNUMBER(BJ67)),BG67-BJ67,"")</f>
        <v>42</v>
      </c>
      <c r="BL67" s="42" t="n">
        <f aca="false">IF(AND(BD67=1,N67&gt;N66,ISNUMBER(BH67),ISNUMBER(BK67)),IF(AND(BE67&gt;BH67,BF67&lt;BI67,BK67&gt;=p_GapMin,BK67&lt;=p_GapMax),1,0),0)</f>
        <v>0</v>
      </c>
      <c r="BM67" s="42" t="n">
        <f aca="false">IF(AND(BL67=1,E67&gt;BI67),1,0)</f>
        <v>0</v>
      </c>
      <c r="BN67" s="42" t="n">
        <f aca="false">IF(BL67=1,IF(BE67&gt;=BH67*0.5,1,0),0)</f>
        <v>0</v>
      </c>
      <c r="BO67" s="42" t="n">
        <f aca="true">IF(V67&gt;MIN(OFFSET(V67,-MIN(p_FiLb-1,ROW()-5),0,MIN(p_FiLb-1,ROW()-5),1)),1,0)</f>
        <v>1</v>
      </c>
      <c r="BP67" s="44" t="n">
        <f aca="true">IF(COUNTIF(OFFSET(V67,1-MIN(100,ROW()-4),0,MIN(100,ROW()-4),1),"&lt;0")&gt;=5,AVERAGEIF(OFFSET(V67,1-MIN(100,ROW()-4),0,MIN(100,ROW()-4),1),"&lt;0"),"")</f>
        <v>-634255.058395353</v>
      </c>
      <c r="BQ67" s="42" t="n">
        <f aca="false">IF(ISNUMBER(BP67),IF(AND(V67&lt;5*BP67,V67&gt;V66,E67&lt;AJ67),1,0),0)</f>
        <v>0</v>
      </c>
      <c r="BR67" s="44" t="n">
        <f aca="true">AVERAGE(OFFSET(F67,1-MIN(5,ROW()-4),0,MIN(5,ROW()-4),1))</f>
        <v>4032720</v>
      </c>
      <c r="BS67" s="42" t="n">
        <f aca="false">IFERROR(IF(MATCH(G67,周线!$A$5:$A$84,0)&lt;=1,"",INDEX(周线!$R$5:$R$84,MATCH(G67,周线!$A$5:$A$84,0)-1)),"")</f>
        <v>1</v>
      </c>
      <c r="BT67" s="42" t="n">
        <f aca="false">IFERROR(IF(MATCH(G67,周线!$A$5:$A$84,0)&lt;=1,"",INDEX(周线!$S$5:$S$84,MATCH(G67,周线!$A$5:$A$84,0)-1)),"")</f>
        <v>0</v>
      </c>
      <c r="BU67" s="42" t="n">
        <f aca="false">IFERROR(IF(MATCH(G67,周线!$A$5:$A$84,0)&lt;=1,"",INDEX(周线!$U$5:$U$84,MATCH(G67,周线!$A$5:$A$84,0)-1)),"")</f>
        <v>0</v>
      </c>
      <c r="BV67" s="42" t="n">
        <f aca="false">IF(AND(BS67=1,S67&lt;&gt;-1,V67&lt;0,BO67=1,E67&lt;=H67,E67&gt;=AJ67),1,0)</f>
        <v>0</v>
      </c>
      <c r="BW67" s="42" t="n">
        <f aca="false">BL67</f>
        <v>0</v>
      </c>
      <c r="BX67" s="42" t="n">
        <f aca="false">BQ67</f>
        <v>0</v>
      </c>
      <c r="BY67" s="42" t="n">
        <f aca="false">IF(BS67=1,10,0)+IF(BU67=1,5,IF(BU67=-1,0,3))+IF(BT67=1,5,0)+IF(AND(AE67&gt;AF67,AH67&gt;AH66),5,0)</f>
        <v>13</v>
      </c>
      <c r="BZ67" s="42" t="n">
        <f aca="false">IF(AND(E67&lt;=H67,E67&gt;=I67),10,IF(AND(E67&gt;=AJ67,E67&lt;I67),6,0))+IF(AND(V67&lt;0,BO67=1),8,0)+IF(AT67&lt;30,7,IF(AT67&lt;50,3,0))</f>
        <v>0</v>
      </c>
      <c r="CA67" s="42" t="n">
        <f aca="false">IF(AND(BV67=1,BW67=1),25,IF(BW67=1,22,IF(BV67=1,15,IF(BX67=1,12,0))))</f>
        <v>0</v>
      </c>
      <c r="CB67" s="42" t="n">
        <f aca="false">IF(W67&gt;0,6,0)+IF(F67&lt;BR67,4,0)</f>
        <v>6</v>
      </c>
      <c r="CC67" s="42" t="n">
        <f aca="false">IF(BC67&gt;=3,15,IF(BC67&gt;=p_RRmin,10,IF(BC67&gt;=1.5,4,0)))</f>
        <v>10</v>
      </c>
      <c r="CD67" s="42" t="n">
        <f aca="false">BY67+BZ67+CA67+CB67+CC67</f>
        <v>29</v>
      </c>
      <c r="CE67" s="42" t="n">
        <f aca="false">IF(AND(BS67&lt;&gt;1,BW67+BX67=0),1,0)</f>
        <v>0</v>
      </c>
      <c r="CF67" s="42" t="n">
        <f aca="false">IF(BU67=-1,1,0)</f>
        <v>0</v>
      </c>
      <c r="CG67" s="42" t="n">
        <f aca="false">IF(S67=-1,1,0)</f>
        <v>0</v>
      </c>
      <c r="CH67" s="42" t="n">
        <f aca="false">IF(BV67+BW67+BX67=0,1,0)</f>
        <v>1</v>
      </c>
      <c r="CI67" s="42" t="n">
        <f aca="false">IF(BC67&lt;p_RRmin,1,0)</f>
        <v>0</v>
      </c>
      <c r="CJ67" s="46" t="str">
        <f aca="false">IF(SUM(CE67:CI67)=0,IF(CD67&gt;=p_GradeA,"A",IF(CD67&gt;=p_GradeB,"B","C")),IF(AND(CI67=1,SUM(CE67:CH67)=0,CD67&gt;=p_GradeB),"B","C"))</f>
        <v>C</v>
      </c>
    </row>
    <row r="68" customFormat="false" ht="15" hidden="false" customHeight="false" outlineLevel="0" collapsed="false">
      <c r="A68" s="36" t="n">
        <v>45748</v>
      </c>
      <c r="B68" s="37" t="n">
        <v>24.73</v>
      </c>
      <c r="C68" s="37" t="n">
        <v>25.24</v>
      </c>
      <c r="D68" s="37" t="n">
        <v>24.7</v>
      </c>
      <c r="E68" s="37" t="n">
        <v>25.22</v>
      </c>
      <c r="F68" s="38" t="n">
        <v>3298300</v>
      </c>
      <c r="G68" s="39" t="n">
        <f aca="false">A68-WEEKDAY(A68,3)</f>
        <v>45747</v>
      </c>
      <c r="H68" s="40" t="n">
        <f aca="false">2/(p_EmaF+1)*E68+(1-2/(p_EmaF+1))*H67</f>
        <v>24.6491167493099</v>
      </c>
      <c r="I68" s="40" t="n">
        <f aca="false">2/(p_EmaS+1)*E68+(1-2/(p_EmaS+1))*I67</f>
        <v>24.3549160294</v>
      </c>
      <c r="J68" s="41" t="n">
        <f aca="false">2/(p_MacdF+1)*E68+(1-2/(p_MacdF+1))*J67</f>
        <v>24.6682280988369</v>
      </c>
      <c r="K68" s="41" t="n">
        <f aca="false">2/(p_MacdS+1)*E68+(1-2/(p_MacdS+1))*K67</f>
        <v>24.3549160294</v>
      </c>
      <c r="L68" s="41" t="n">
        <f aca="false">J68-K68</f>
        <v>0.313312069436876</v>
      </c>
      <c r="M68" s="41" t="n">
        <f aca="false">2/(p_MacdSig+1)*L68+(1-2/(p_MacdSig+1))*M67</f>
        <v>0.327047592190735</v>
      </c>
      <c r="N68" s="41" t="n">
        <f aca="false">L68-M68</f>
        <v>-0.0137355227538598</v>
      </c>
      <c r="O68" s="42" t="n">
        <f aca="false">IF(H68&gt;H67,1,0)</f>
        <v>1</v>
      </c>
      <c r="P68" s="42" t="n">
        <f aca="false">IF(H68&lt;H67,1,0)</f>
        <v>0</v>
      </c>
      <c r="Q68" s="42" t="n">
        <f aca="false">IF(N68&gt;N67,1,0)</f>
        <v>1</v>
      </c>
      <c r="R68" s="42" t="n">
        <f aca="false">IF(N68&lt;N67,1,0)</f>
        <v>0</v>
      </c>
      <c r="S68" s="42" t="n">
        <f aca="false">IF(AND(O68=1,Q68=1),1,IF(AND(P68=1,R68=1),-1,0))</f>
        <v>1</v>
      </c>
      <c r="T68" s="43" t="str">
        <f aca="false">IF(S68=1,"绿",IF(S68=-1,"红","蓝"))</f>
        <v>绿</v>
      </c>
      <c r="U68" s="44" t="n">
        <f aca="false">F68*(E68-E67)</f>
        <v>1187388</v>
      </c>
      <c r="V68" s="44" t="n">
        <f aca="false">2/(p_FiS+1)*U68+(1-2/(p_FiS+1))*V67</f>
        <v>1177286.21250064</v>
      </c>
      <c r="W68" s="44" t="n">
        <f aca="false">2/(p_FiL+1)*U68+(1-2/(p_FiL+1))*W67</f>
        <v>330553.516197421</v>
      </c>
      <c r="X68" s="41" t="n">
        <f aca="false">MAX(C68-D68,ABS(C68-E67),ABS(D68-E67))</f>
        <v>0.539999999999999</v>
      </c>
      <c r="Y68" s="41" t="n">
        <f aca="true">AVERAGE(OFFSET(X68,1-MIN(p_AtrN,ROW()-4),0,MIN(p_AtrN,ROW()-4),1))</f>
        <v>0.57</v>
      </c>
      <c r="Z68" s="41" t="n">
        <f aca="false">IF(AND(C68-C67&gt;D67-D68,C68-C67&gt;0),C68-C67,0)</f>
        <v>0.199999999999999</v>
      </c>
      <c r="AA68" s="41" t="n">
        <f aca="false">IF(AND(D67-D68&gt;C68-C67,D67-D68&gt;0),D67-D68,0)</f>
        <v>0</v>
      </c>
      <c r="AB68" s="41" t="n">
        <f aca="false">2/(p_AdxN+1)*X68+(1-2/(p_AdxN+1))*AB67</f>
        <v>0.580171259167857</v>
      </c>
      <c r="AC68" s="41" t="n">
        <f aca="false">2/(p_AdxN+1)*Z68+(1-2/(p_AdxN+1))*AC67</f>
        <v>0.112498871122388</v>
      </c>
      <c r="AD68" s="41" t="n">
        <f aca="false">2/(p_AdxN+1)*AA68+(1-2/(p_AdxN+1))*AD67</f>
        <v>0.0918513862821843</v>
      </c>
      <c r="AE68" s="45" t="n">
        <f aca="false">100*AC68/AB68</f>
        <v>19.3906315324453</v>
      </c>
      <c r="AF68" s="45" t="n">
        <f aca="false">100*AD68/AB68</f>
        <v>15.8317711935485</v>
      </c>
      <c r="AG68" s="45" t="n">
        <f aca="false">IFERROR(100*ABS(AE68-AF68)/(AE68+AF68),0)</f>
        <v>10.1039681096782</v>
      </c>
      <c r="AH68" s="45" t="n">
        <f aca="false">2/(p_AdxN+1)*AG68+(1-2/(p_AdxN+1))*AH67</f>
        <v>18.7864128990261</v>
      </c>
      <c r="AI68" s="40" t="n">
        <f aca="false">I68*(1+p_ChPct)</f>
        <v>25.816210991164</v>
      </c>
      <c r="AJ68" s="40" t="n">
        <f aca="false">I68*(1-p_ChPct)</f>
        <v>22.893621067636</v>
      </c>
      <c r="AK68" s="40" t="n">
        <f aca="false">I68+1*Y68</f>
        <v>24.9249160294</v>
      </c>
      <c r="AL68" s="40" t="n">
        <f aca="false">I68+2*Y68</f>
        <v>25.4949160294</v>
      </c>
      <c r="AM68" s="40" t="n">
        <f aca="false">I68+3*Y68</f>
        <v>26.0649160294</v>
      </c>
      <c r="AN68" s="40" t="n">
        <f aca="false">I68-1*Y68</f>
        <v>23.7849160294</v>
      </c>
      <c r="AO68" s="40" t="n">
        <f aca="false">I68-2*Y68</f>
        <v>23.2149160294</v>
      </c>
      <c r="AP68" s="40" t="n">
        <f aca="false">I68-3*Y68</f>
        <v>22.6449160294</v>
      </c>
      <c r="AQ68" s="40" t="n">
        <f aca="true">MAX(OFFSET(C68,1-MIN(p_StochN,ROW()-4),0,MIN(p_StochN,ROW()-4),1))</f>
        <v>25.24</v>
      </c>
      <c r="AR68" s="40" t="n">
        <f aca="true">MIN(OFFSET(D68,1-MIN(p_StochN,ROW()-4),0,MIN(p_StochN,ROW()-4),1))</f>
        <v>24.05</v>
      </c>
      <c r="AS68" s="45" t="n">
        <f aca="false">IF(AQ68=AR68,50,100*(E68-AR68)/(AQ68-AR68))</f>
        <v>98.3193277310925</v>
      </c>
      <c r="AT68" s="45" t="n">
        <f aca="true">AVERAGE(OFFSET(AS68,1-MIN(p_StochSm,ROW()-4),0,MIN(p_StochSm,ROW()-4),1))</f>
        <v>73.7254901960784</v>
      </c>
      <c r="AU68" s="45" t="n">
        <f aca="true">AVERAGE(OFFSET(AT68,1-MIN(p_StochSm,ROW()-4),0,MIN(p_StochSm,ROW()-4),1))</f>
        <v>52.7437928576447</v>
      </c>
      <c r="AV68" s="41" t="n">
        <f aca="false">MAX(0,H68-D68)</f>
        <v>0</v>
      </c>
      <c r="AW68" s="41" t="n">
        <f aca="true">IF(COUNTIF(OFFSET(AV68,1-MIN(p_PenLb,ROW()-4),0,MIN(p_PenLb,ROW()-4),1),"&gt;0")&gt;0,SUM(OFFSET(AV68,1-MIN(p_PenLb,ROW()-4),0,MIN(p_PenLb,ROW()-4),1))/COUNTIF(OFFSET(AV68,1-MIN(p_PenLb,ROW()-4),0,MIN(p_PenLb,ROW()-4),1),"&gt;0"),0.5*Y68)</f>
        <v>0.342716497846932</v>
      </c>
      <c r="AX68" s="41" t="n">
        <f aca="false">2*H68-H67</f>
        <v>24.7442639577583</v>
      </c>
      <c r="AY68" s="40" t="n">
        <f aca="false">ROUND(MAX(AX68-AW68,0.01),2)</f>
        <v>24.4</v>
      </c>
      <c r="AZ68" s="40" t="n">
        <f aca="true">IF(MIN(p_StopLb,ROW()-4)&lt;2,D68,SMALL(OFFSET(D68,1-MIN(p_StopLb,ROW()-4),0,MIN(p_StopLb,ROW()-4),1),2))</f>
        <v>24.17</v>
      </c>
      <c r="BA68" s="40" t="n">
        <f aca="false">IF(MOD(ROUND(ROUNDDOWN(MIN(AZ68-0.01,AY68-p_StopAtr*Y68),2)*100,0),50)=0,ROUNDDOWN(MIN(AZ68-0.01,AY68-p_StopAtr*Y68),2)-0.01,ROUNDDOWN(MIN(AZ68-0.01,AY68-p_StopAtr*Y68),2))</f>
        <v>23.83</v>
      </c>
      <c r="BB68" s="40" t="n">
        <f aca="false">ROUND(AI68,2)</f>
        <v>25.82</v>
      </c>
      <c r="BC68" s="40" t="n">
        <f aca="false">IF(AY68-BA68&gt;0,(BB68-AY68)/(AY68-BA68),0)</f>
        <v>2.49122807017544</v>
      </c>
      <c r="BD68" s="42" t="n">
        <f aca="false">IF(N68&lt;0,1,0)</f>
        <v>1</v>
      </c>
      <c r="BE68" s="41" t="n">
        <f aca="false">IF(AND(BD68=1,BD67=0),N68,IF(BD68=1,MIN(BE67,N68),BE67))</f>
        <v>-0.267100964273217</v>
      </c>
      <c r="BF68" s="40" t="n">
        <f aca="false">IF(AND(BD68=1,BD67=0),D68,IF(BD68=1,MIN(BF67,D68),BF67))</f>
        <v>23.24</v>
      </c>
      <c r="BG68" s="42" t="n">
        <f aca="false">IF(AND(BD68=1,BD67=0),ROW(),IF(BD68=1,IF(N68&lt;BE67,ROW(),BG67),BG67))</f>
        <v>52</v>
      </c>
      <c r="BH68" s="41" t="n">
        <f aca="false">IF(AND(BD68=1,BD67=0),BE67,BH67)</f>
        <v>-0.0234128043712021</v>
      </c>
      <c r="BI68" s="40" t="n">
        <f aca="false">IF(AND(BD68=1,BD67=0),BF67,BI67)</f>
        <v>19.42</v>
      </c>
      <c r="BJ68" s="42" t="n">
        <f aca="false">IF(AND(BD68=1,BD67=0),BG67,BJ67)</f>
        <v>10</v>
      </c>
      <c r="BK68" s="42" t="n">
        <f aca="false">IF(AND(ISNUMBER(BG68),ISNUMBER(BJ68)),BG68-BJ68,"")</f>
        <v>42</v>
      </c>
      <c r="BL68" s="42" t="n">
        <f aca="false">IF(AND(BD68=1,N68&gt;N67,ISNUMBER(BH68),ISNUMBER(BK68)),IF(AND(BE68&gt;BH68,BF68&lt;BI68,BK68&gt;=p_GapMin,BK68&lt;=p_GapMax),1,0),0)</f>
        <v>0</v>
      </c>
      <c r="BM68" s="42" t="n">
        <f aca="false">IF(AND(BL68=1,E68&gt;BI68),1,0)</f>
        <v>0</v>
      </c>
      <c r="BN68" s="42" t="n">
        <f aca="false">IF(BL68=1,IF(BE68&gt;=BH68*0.5,1,0),0)</f>
        <v>0</v>
      </c>
      <c r="BO68" s="42" t="n">
        <f aca="true">IF(V68&gt;MIN(OFFSET(V68,-MIN(p_FiLb-1,ROW()-5),0,MIN(p_FiLb-1,ROW()-5),1)),1,0)</f>
        <v>1</v>
      </c>
      <c r="BP68" s="44" t="n">
        <f aca="true">IF(COUNTIF(OFFSET(V68,1-MIN(100,ROW()-4),0,MIN(100,ROW()-4),1),"&lt;0")&gt;=5,AVERAGEIF(OFFSET(V68,1-MIN(100,ROW()-4),0,MIN(100,ROW()-4),1),"&lt;0"),"")</f>
        <v>-634255.058395353</v>
      </c>
      <c r="BQ68" s="42" t="n">
        <f aca="false">IF(ISNUMBER(BP68),IF(AND(V68&lt;5*BP68,V68&gt;V67,E68&lt;AJ68),1,0),0)</f>
        <v>0</v>
      </c>
      <c r="BR68" s="44" t="n">
        <f aca="true">AVERAGE(OFFSET(F68,1-MIN(5,ROW()-4),0,MIN(5,ROW()-4),1))</f>
        <v>4071120</v>
      </c>
      <c r="BS68" s="42" t="n">
        <f aca="false">IFERROR(IF(MATCH(G68,周线!$A$5:$A$84,0)&lt;=1,"",INDEX(周线!$R$5:$R$84,MATCH(G68,周线!$A$5:$A$84,0)-1)),"")</f>
        <v>1</v>
      </c>
      <c r="BT68" s="42" t="n">
        <f aca="false">IFERROR(IF(MATCH(G68,周线!$A$5:$A$84,0)&lt;=1,"",INDEX(周线!$S$5:$S$84,MATCH(G68,周线!$A$5:$A$84,0)-1)),"")</f>
        <v>0</v>
      </c>
      <c r="BU68" s="42" t="n">
        <f aca="false">IFERROR(IF(MATCH(G68,周线!$A$5:$A$84,0)&lt;=1,"",INDEX(周线!$U$5:$U$84,MATCH(G68,周线!$A$5:$A$84,0)-1)),"")</f>
        <v>0</v>
      </c>
      <c r="BV68" s="42" t="n">
        <f aca="false">IF(AND(BS68=1,S68&lt;&gt;-1,V68&lt;0,BO68=1,E68&lt;=H68,E68&gt;=AJ68),1,0)</f>
        <v>0</v>
      </c>
      <c r="BW68" s="42" t="n">
        <f aca="false">BL68</f>
        <v>0</v>
      </c>
      <c r="BX68" s="42" t="n">
        <f aca="false">BQ68</f>
        <v>0</v>
      </c>
      <c r="BY68" s="42" t="n">
        <f aca="false">IF(BS68=1,10,0)+IF(BU68=1,5,IF(BU68=-1,0,3))+IF(BT68=1,5,0)+IF(AND(AE68&gt;AF68,AH68&gt;AH67),5,0)</f>
        <v>13</v>
      </c>
      <c r="BZ68" s="42" t="n">
        <f aca="false">IF(AND(E68&lt;=H68,E68&gt;=I68),10,IF(AND(E68&gt;=AJ68,E68&lt;I68),6,0))+IF(AND(V68&lt;0,BO68=1),8,0)+IF(AT68&lt;30,7,IF(AT68&lt;50,3,0))</f>
        <v>0</v>
      </c>
      <c r="CA68" s="42" t="n">
        <f aca="false">IF(AND(BV68=1,BW68=1),25,IF(BW68=1,22,IF(BV68=1,15,IF(BX68=1,12,0))))</f>
        <v>0</v>
      </c>
      <c r="CB68" s="42" t="n">
        <f aca="false">IF(W68&gt;0,6,0)+IF(F68&lt;BR68,4,0)</f>
        <v>10</v>
      </c>
      <c r="CC68" s="42" t="n">
        <f aca="false">IF(BC68&gt;=3,15,IF(BC68&gt;=p_RRmin,10,IF(BC68&gt;=1.5,4,0)))</f>
        <v>10</v>
      </c>
      <c r="CD68" s="42" t="n">
        <f aca="false">BY68+BZ68+CA68+CB68+CC68</f>
        <v>33</v>
      </c>
      <c r="CE68" s="42" t="n">
        <f aca="false">IF(AND(BS68&lt;&gt;1,BW68+BX68=0),1,0)</f>
        <v>0</v>
      </c>
      <c r="CF68" s="42" t="n">
        <f aca="false">IF(BU68=-1,1,0)</f>
        <v>0</v>
      </c>
      <c r="CG68" s="42" t="n">
        <f aca="false">IF(S68=-1,1,0)</f>
        <v>0</v>
      </c>
      <c r="CH68" s="42" t="n">
        <f aca="false">IF(BV68+BW68+BX68=0,1,0)</f>
        <v>1</v>
      </c>
      <c r="CI68" s="42" t="n">
        <f aca="false">IF(BC68&lt;p_RRmin,1,0)</f>
        <v>0</v>
      </c>
      <c r="CJ68" s="46" t="str">
        <f aca="false">IF(SUM(CE68:CI68)=0,IF(CD68&gt;=p_GradeA,"A",IF(CD68&gt;=p_GradeB,"B","C")),IF(AND(CI68=1,SUM(CE68:CH68)=0,CD68&gt;=p_GradeB),"B","C"))</f>
        <v>C</v>
      </c>
    </row>
    <row r="69" customFormat="false" ht="15" hidden="false" customHeight="false" outlineLevel="0" collapsed="false">
      <c r="A69" s="36" t="n">
        <v>45749</v>
      </c>
      <c r="B69" s="37" t="n">
        <v>25.17</v>
      </c>
      <c r="C69" s="37" t="n">
        <v>25.3</v>
      </c>
      <c r="D69" s="37" t="n">
        <v>25.01</v>
      </c>
      <c r="E69" s="37" t="n">
        <v>25.19</v>
      </c>
      <c r="F69" s="38" t="n">
        <v>2934800</v>
      </c>
      <c r="G69" s="39" t="n">
        <f aca="false">A69-WEEKDAY(A69,3)</f>
        <v>45747</v>
      </c>
      <c r="H69" s="40" t="n">
        <f aca="false">2/(p_EmaF+1)*E69+(1-2/(p_EmaF+1))*H68</f>
        <v>24.7263857851228</v>
      </c>
      <c r="I69" s="40" t="n">
        <f aca="false">2/(p_EmaS+1)*E69+(1-2/(p_EmaS+1))*I68</f>
        <v>24.4167741012963</v>
      </c>
      <c r="J69" s="41" t="n">
        <f aca="false">2/(p_MacdF+1)*E69+(1-2/(p_MacdF+1))*J68</f>
        <v>24.7485006990158</v>
      </c>
      <c r="K69" s="41" t="n">
        <f aca="false">2/(p_MacdS+1)*E69+(1-2/(p_MacdS+1))*K68</f>
        <v>24.4167741012963</v>
      </c>
      <c r="L69" s="41" t="n">
        <f aca="false">J69-K69</f>
        <v>0.331726597719523</v>
      </c>
      <c r="M69" s="41" t="n">
        <f aca="false">2/(p_MacdSig+1)*L69+(1-2/(p_MacdSig+1))*M68</f>
        <v>0.327983393296493</v>
      </c>
      <c r="N69" s="41" t="n">
        <f aca="false">L69-M69</f>
        <v>0.00374320442303033</v>
      </c>
      <c r="O69" s="42" t="n">
        <f aca="false">IF(H69&gt;H68,1,0)</f>
        <v>1</v>
      </c>
      <c r="P69" s="42" t="n">
        <f aca="false">IF(H69&lt;H68,1,0)</f>
        <v>0</v>
      </c>
      <c r="Q69" s="42" t="n">
        <f aca="false">IF(N69&gt;N68,1,0)</f>
        <v>1</v>
      </c>
      <c r="R69" s="42" t="n">
        <f aca="false">IF(N69&lt;N68,1,0)</f>
        <v>0</v>
      </c>
      <c r="S69" s="42" t="n">
        <f aca="false">IF(AND(O69=1,Q69=1),1,IF(AND(P69=1,R69=1),-1,0))</f>
        <v>1</v>
      </c>
      <c r="T69" s="43" t="str">
        <f aca="false">IF(S69=1,"绿",IF(S69=-1,"红","蓝"))</f>
        <v>绿</v>
      </c>
      <c r="U69" s="44" t="n">
        <f aca="false">F69*(E69-E68)</f>
        <v>-88043.9999999929</v>
      </c>
      <c r="V69" s="44" t="n">
        <f aca="false">2/(p_FiS+1)*U69+(1-2/(p_FiS+1))*V68</f>
        <v>333732.737500219</v>
      </c>
      <c r="W69" s="44" t="n">
        <f aca="false">2/(p_FiL+1)*U69+(1-2/(p_FiL+1))*W68</f>
        <v>270753.871026362</v>
      </c>
      <c r="X69" s="41" t="n">
        <f aca="false">MAX(C69-D69,ABS(C69-E68),ABS(D69-E68))</f>
        <v>0.289999999999999</v>
      </c>
      <c r="Y69" s="41" t="n">
        <f aca="true">AVERAGE(OFFSET(X69,1-MIN(p_AtrN,ROW()-4),0,MIN(p_AtrN,ROW()-4),1))</f>
        <v>0.545384615384615</v>
      </c>
      <c r="Z69" s="41" t="n">
        <f aca="false">IF(AND(C69-C68&gt;D68-D69,C69-C68&gt;0),C69-C68,0)</f>
        <v>0.0600000000000023</v>
      </c>
      <c r="AA69" s="41" t="n">
        <f aca="false">IF(AND(D68-D69&gt;C69-C68,D68-D69&gt;0),D68-D69,0)</f>
        <v>0</v>
      </c>
      <c r="AB69" s="41" t="n">
        <f aca="false">2/(p_AdxN+1)*X69+(1-2/(p_AdxN+1))*AB68</f>
        <v>0.538718222143877</v>
      </c>
      <c r="AC69" s="41" t="n">
        <f aca="false">2/(p_AdxN+1)*Z69+(1-2/(p_AdxN+1))*AC68</f>
        <v>0.104999032390618</v>
      </c>
      <c r="AD69" s="41" t="n">
        <f aca="false">2/(p_AdxN+1)*AA69+(1-2/(p_AdxN+1))*AD68</f>
        <v>0.0787297596704437</v>
      </c>
      <c r="AE69" s="45" t="n">
        <f aca="false">100*AC69/AB69</f>
        <v>19.4905291996185</v>
      </c>
      <c r="AF69" s="45" t="n">
        <f aca="false">100*AD69/AB69</f>
        <v>14.6142744823317</v>
      </c>
      <c r="AG69" s="45" t="n">
        <f aca="false">IFERROR(100*ABS(AE69-AF69)/(AE69+AF69),0)</f>
        <v>14.2978530612905</v>
      </c>
      <c r="AH69" s="45" t="n">
        <f aca="false">2/(p_AdxN+1)*AG69+(1-2/(p_AdxN+1))*AH68</f>
        <v>18.1451900650639</v>
      </c>
      <c r="AI69" s="40" t="n">
        <f aca="false">I69*(1+p_ChPct)</f>
        <v>25.881780547374</v>
      </c>
      <c r="AJ69" s="40" t="n">
        <f aca="false">I69*(1-p_ChPct)</f>
        <v>22.9517676552185</v>
      </c>
      <c r="AK69" s="40" t="n">
        <f aca="false">I69+1*Y69</f>
        <v>24.9621587166809</v>
      </c>
      <c r="AL69" s="40" t="n">
        <f aca="false">I69+2*Y69</f>
        <v>25.5075433320655</v>
      </c>
      <c r="AM69" s="40" t="n">
        <f aca="false">I69+3*Y69</f>
        <v>26.0529279474501</v>
      </c>
      <c r="AN69" s="40" t="n">
        <f aca="false">I69-1*Y69</f>
        <v>23.8713894859117</v>
      </c>
      <c r="AO69" s="40" t="n">
        <f aca="false">I69-2*Y69</f>
        <v>23.326004870527</v>
      </c>
      <c r="AP69" s="40" t="n">
        <f aca="false">I69-3*Y69</f>
        <v>22.7806202551424</v>
      </c>
      <c r="AQ69" s="40" t="n">
        <f aca="true">MAX(OFFSET(C69,1-MIN(p_StochN,ROW()-4),0,MIN(p_StochN,ROW()-4),1))</f>
        <v>25.3</v>
      </c>
      <c r="AR69" s="40" t="n">
        <f aca="true">MIN(OFFSET(D69,1-MIN(p_StochN,ROW()-4),0,MIN(p_StochN,ROW()-4),1))</f>
        <v>24.05</v>
      </c>
      <c r="AS69" s="45" t="n">
        <f aca="false">IF(AQ69=AR69,50,100*(E69-AR69)/(AQ69-AR69))</f>
        <v>91.2000000000001</v>
      </c>
      <c r="AT69" s="45" t="n">
        <f aca="true">AVERAGE(OFFSET(AS69,1-MIN(p_StochSm,ROW()-4),0,MIN(p_StochSm,ROW()-4),1))</f>
        <v>88.8873949579832</v>
      </c>
      <c r="AU69" s="45" t="n">
        <f aca="true">AVERAGE(OFFSET(AT69,1-MIN(p_StochSm,ROW()-4),0,MIN(p_StochSm,ROW()-4),1))</f>
        <v>71.5587924058512</v>
      </c>
      <c r="AV69" s="41" t="n">
        <f aca="false">MAX(0,H69-D69)</f>
        <v>0</v>
      </c>
      <c r="AW69" s="41" t="n">
        <f aca="true">IF(COUNTIF(OFFSET(AV69,1-MIN(p_PenLb,ROW()-4),0,MIN(p_PenLb,ROW()-4),1),"&gt;0")&gt;0,SUM(OFFSET(AV69,1-MIN(p_PenLb,ROW()-4),0,MIN(p_PenLb,ROW()-4),1))/COUNTIF(OFFSET(AV69,1-MIN(p_PenLb,ROW()-4),0,MIN(p_PenLb,ROW()-4),1),"&gt;0"),0.5*Y69)</f>
        <v>0.342716497846932</v>
      </c>
      <c r="AX69" s="41" t="n">
        <f aca="false">2*H69-H68</f>
        <v>24.8036548209357</v>
      </c>
      <c r="AY69" s="40" t="n">
        <f aca="false">ROUND(MAX(AX69-AW69,0.01),2)</f>
        <v>24.46</v>
      </c>
      <c r="AZ69" s="40" t="n">
        <f aca="true">IF(MIN(p_StopLb,ROW()-4)&lt;2,D69,SMALL(OFFSET(D69,1-MIN(p_StopLb,ROW()-4),0,MIN(p_StopLb,ROW()-4),1),2))</f>
        <v>24.17</v>
      </c>
      <c r="BA69" s="40" t="n">
        <f aca="false">IF(MOD(ROUND(ROUNDDOWN(MIN(AZ69-0.01,AY69-p_StopAtr*Y69),2)*100,0),50)=0,ROUNDDOWN(MIN(AZ69-0.01,AY69-p_StopAtr*Y69),2)-0.01,ROUNDDOWN(MIN(AZ69-0.01,AY69-p_StopAtr*Y69),2))</f>
        <v>23.91</v>
      </c>
      <c r="BB69" s="40" t="n">
        <f aca="false">ROUND(AI69,2)</f>
        <v>25.88</v>
      </c>
      <c r="BC69" s="40" t="n">
        <f aca="false">IF(AY69-BA69&gt;0,(BB69-AY69)/(AY69-BA69),0)</f>
        <v>2.58181818181818</v>
      </c>
      <c r="BD69" s="42" t="n">
        <f aca="false">IF(N69&lt;0,1,0)</f>
        <v>0</v>
      </c>
      <c r="BE69" s="41" t="n">
        <f aca="false">IF(AND(BD69=1,BD68=0),N69,IF(BD69=1,MIN(BE68,N69),BE68))</f>
        <v>-0.267100964273217</v>
      </c>
      <c r="BF69" s="40" t="n">
        <f aca="false">IF(AND(BD69=1,BD68=0),D69,IF(BD69=1,MIN(BF68,D69),BF68))</f>
        <v>23.24</v>
      </c>
      <c r="BG69" s="42" t="n">
        <f aca="false">IF(AND(BD69=1,BD68=0),ROW(),IF(BD69=1,IF(N69&lt;BE68,ROW(),BG68),BG68))</f>
        <v>52</v>
      </c>
      <c r="BH69" s="41" t="n">
        <f aca="false">IF(AND(BD69=1,BD68=0),BE68,BH68)</f>
        <v>-0.0234128043712021</v>
      </c>
      <c r="BI69" s="40" t="n">
        <f aca="false">IF(AND(BD69=1,BD68=0),BF68,BI68)</f>
        <v>19.42</v>
      </c>
      <c r="BJ69" s="42" t="n">
        <f aca="false">IF(AND(BD69=1,BD68=0),BG68,BJ68)</f>
        <v>10</v>
      </c>
      <c r="BK69" s="42" t="n">
        <f aca="false">IF(AND(ISNUMBER(BG69),ISNUMBER(BJ69)),BG69-BJ69,"")</f>
        <v>42</v>
      </c>
      <c r="BL69" s="42" t="n">
        <f aca="false">IF(AND(BD69=1,N69&gt;N68,ISNUMBER(BH69),ISNUMBER(BK69)),IF(AND(BE69&gt;BH69,BF69&lt;BI69,BK69&gt;=p_GapMin,BK69&lt;=p_GapMax),1,0),0)</f>
        <v>0</v>
      </c>
      <c r="BM69" s="42" t="n">
        <f aca="false">IF(AND(BL69=1,E69&gt;BI69),1,0)</f>
        <v>0</v>
      </c>
      <c r="BN69" s="42" t="n">
        <f aca="false">IF(BL69=1,IF(BE69&gt;=BH69*0.5,1,0),0)</f>
        <v>0</v>
      </c>
      <c r="BO69" s="42" t="n">
        <f aca="true">IF(V69&gt;MIN(OFFSET(V69,-MIN(p_FiLb-1,ROW()-5),0,MIN(p_FiLb-1,ROW()-5),1)),1,0)</f>
        <v>1</v>
      </c>
      <c r="BP69" s="44" t="n">
        <f aca="true">IF(COUNTIF(OFFSET(V69,1-MIN(100,ROW()-4),0,MIN(100,ROW()-4),1),"&lt;0")&gt;=5,AVERAGEIF(OFFSET(V69,1-MIN(100,ROW()-4),0,MIN(100,ROW()-4),1),"&lt;0"),"")</f>
        <v>-634255.058395353</v>
      </c>
      <c r="BQ69" s="42" t="n">
        <f aca="false">IF(ISNUMBER(BP69),IF(AND(V69&lt;5*BP69,V69&gt;V68,E69&lt;AJ69),1,0),0)</f>
        <v>0</v>
      </c>
      <c r="BR69" s="44" t="n">
        <f aca="true">AVERAGE(OFFSET(F69,1-MIN(5,ROW()-4),0,MIN(5,ROW()-4),1))</f>
        <v>3626660</v>
      </c>
      <c r="BS69" s="42" t="n">
        <f aca="false">IFERROR(IF(MATCH(G69,周线!$A$5:$A$84,0)&lt;=1,"",INDEX(周线!$R$5:$R$84,MATCH(G69,周线!$A$5:$A$84,0)-1)),"")</f>
        <v>1</v>
      </c>
      <c r="BT69" s="42" t="n">
        <f aca="false">IFERROR(IF(MATCH(G69,周线!$A$5:$A$84,0)&lt;=1,"",INDEX(周线!$S$5:$S$84,MATCH(G69,周线!$A$5:$A$84,0)-1)),"")</f>
        <v>0</v>
      </c>
      <c r="BU69" s="42" t="n">
        <f aca="false">IFERROR(IF(MATCH(G69,周线!$A$5:$A$84,0)&lt;=1,"",INDEX(周线!$U$5:$U$84,MATCH(G69,周线!$A$5:$A$84,0)-1)),"")</f>
        <v>0</v>
      </c>
      <c r="BV69" s="42" t="n">
        <f aca="false">IF(AND(BS69=1,S69&lt;&gt;-1,V69&lt;0,BO69=1,E69&lt;=H69,E69&gt;=AJ69),1,0)</f>
        <v>0</v>
      </c>
      <c r="BW69" s="42" t="n">
        <f aca="false">BL69</f>
        <v>0</v>
      </c>
      <c r="BX69" s="42" t="n">
        <f aca="false">BQ69</f>
        <v>0</v>
      </c>
      <c r="BY69" s="42" t="n">
        <f aca="false">IF(BS69=1,10,0)+IF(BU69=1,5,IF(BU69=-1,0,3))+IF(BT69=1,5,0)+IF(AND(AE69&gt;AF69,AH69&gt;AH68),5,0)</f>
        <v>13</v>
      </c>
      <c r="BZ69" s="42" t="n">
        <f aca="false">IF(AND(E69&lt;=H69,E69&gt;=I69),10,IF(AND(E69&gt;=AJ69,E69&lt;I69),6,0))+IF(AND(V69&lt;0,BO69=1),8,0)+IF(AT69&lt;30,7,IF(AT69&lt;50,3,0))</f>
        <v>0</v>
      </c>
      <c r="CA69" s="42" t="n">
        <f aca="false">IF(AND(BV69=1,BW69=1),25,IF(BW69=1,22,IF(BV69=1,15,IF(BX69=1,12,0))))</f>
        <v>0</v>
      </c>
      <c r="CB69" s="42" t="n">
        <f aca="false">IF(W69&gt;0,6,0)+IF(F69&lt;BR69,4,0)</f>
        <v>10</v>
      </c>
      <c r="CC69" s="42" t="n">
        <f aca="false">IF(BC69&gt;=3,15,IF(BC69&gt;=p_RRmin,10,IF(BC69&gt;=1.5,4,0)))</f>
        <v>10</v>
      </c>
      <c r="CD69" s="42" t="n">
        <f aca="false">BY69+BZ69+CA69+CB69+CC69</f>
        <v>33</v>
      </c>
      <c r="CE69" s="42" t="n">
        <f aca="false">IF(AND(BS69&lt;&gt;1,BW69+BX69=0),1,0)</f>
        <v>0</v>
      </c>
      <c r="CF69" s="42" t="n">
        <f aca="false">IF(BU69=-1,1,0)</f>
        <v>0</v>
      </c>
      <c r="CG69" s="42" t="n">
        <f aca="false">IF(S69=-1,1,0)</f>
        <v>0</v>
      </c>
      <c r="CH69" s="42" t="n">
        <f aca="false">IF(BV69+BW69+BX69=0,1,0)</f>
        <v>1</v>
      </c>
      <c r="CI69" s="42" t="n">
        <f aca="false">IF(BC69&lt;p_RRmin,1,0)</f>
        <v>0</v>
      </c>
      <c r="CJ69" s="46" t="str">
        <f aca="false">IF(SUM(CE69:CI69)=0,IF(CD69&gt;=p_GradeA,"A",IF(CD69&gt;=p_GradeB,"B","C")),IF(AND(CI69=1,SUM(CE69:CH69)=0,CD69&gt;=p_GradeB),"B","C"))</f>
        <v>C</v>
      </c>
    </row>
    <row r="70" customFormat="false" ht="15" hidden="false" customHeight="false" outlineLevel="0" collapsed="false">
      <c r="A70" s="36" t="n">
        <v>45750</v>
      </c>
      <c r="B70" s="37" t="n">
        <v>25.17</v>
      </c>
      <c r="C70" s="37" t="n">
        <v>25.5</v>
      </c>
      <c r="D70" s="37" t="n">
        <v>25</v>
      </c>
      <c r="E70" s="37" t="n">
        <v>25.43</v>
      </c>
      <c r="F70" s="38" t="n">
        <v>2736500</v>
      </c>
      <c r="G70" s="39" t="n">
        <f aca="false">A70-WEEKDAY(A70,3)</f>
        <v>45747</v>
      </c>
      <c r="H70" s="40" t="n">
        <f aca="false">2/(p_EmaF+1)*E70+(1-2/(p_EmaF+1))*H69</f>
        <v>24.8269021015338</v>
      </c>
      <c r="I70" s="40" t="n">
        <f aca="false">2/(p_EmaS+1)*E70+(1-2/(p_EmaS+1))*I69</f>
        <v>24.4918278715706</v>
      </c>
      <c r="J70" s="41" t="n">
        <f aca="false">2/(p_MacdF+1)*E70+(1-2/(p_MacdF+1))*J69</f>
        <v>24.8533467453211</v>
      </c>
      <c r="K70" s="41" t="n">
        <f aca="false">2/(p_MacdS+1)*E70+(1-2/(p_MacdS+1))*K69</f>
        <v>24.4918278715706</v>
      </c>
      <c r="L70" s="41" t="n">
        <f aca="false">J70-K70</f>
        <v>0.361518873750438</v>
      </c>
      <c r="M70" s="41" t="n">
        <f aca="false">2/(p_MacdSig+1)*L70+(1-2/(p_MacdSig+1))*M69</f>
        <v>0.334690489387282</v>
      </c>
      <c r="N70" s="41" t="n">
        <f aca="false">L70-M70</f>
        <v>0.0268283843631555</v>
      </c>
      <c r="O70" s="42" t="n">
        <f aca="false">IF(H70&gt;H69,1,0)</f>
        <v>1</v>
      </c>
      <c r="P70" s="42" t="n">
        <f aca="false">IF(H70&lt;H69,1,0)</f>
        <v>0</v>
      </c>
      <c r="Q70" s="42" t="n">
        <f aca="false">IF(N70&gt;N69,1,0)</f>
        <v>1</v>
      </c>
      <c r="R70" s="42" t="n">
        <f aca="false">IF(N70&lt;N69,1,0)</f>
        <v>0</v>
      </c>
      <c r="S70" s="42" t="n">
        <f aca="false">IF(AND(O70=1,Q70=1),1,IF(AND(P70=1,R70=1),-1,0))</f>
        <v>1</v>
      </c>
      <c r="T70" s="43" t="str">
        <f aca="false">IF(S70=1,"绿",IF(S70=-1,"红","蓝"))</f>
        <v>绿</v>
      </c>
      <c r="U70" s="44" t="n">
        <f aca="false">F70*(E70-E69)</f>
        <v>656759.999999996</v>
      </c>
      <c r="V70" s="44" t="n">
        <f aca="false">2/(p_FiS+1)*U70+(1-2/(p_FiS+1))*V69</f>
        <v>549084.245833403</v>
      </c>
      <c r="W70" s="44" t="n">
        <f aca="false">2/(p_FiL+1)*U70+(1-2/(p_FiL+1))*W69</f>
        <v>325897.603736881</v>
      </c>
      <c r="X70" s="41" t="n">
        <f aca="false">MAX(C70-D70,ABS(C70-E69),ABS(D70-E69))</f>
        <v>0.5</v>
      </c>
      <c r="Y70" s="41" t="n">
        <f aca="true">AVERAGE(OFFSET(X70,1-MIN(p_AtrN,ROW()-4),0,MIN(p_AtrN,ROW()-4),1))</f>
        <v>0.538461538461538</v>
      </c>
      <c r="Z70" s="41" t="n">
        <f aca="false">IF(AND(C70-C69&gt;D69-D70,C70-C69&gt;0),C70-C69,0)</f>
        <v>0.199999999999999</v>
      </c>
      <c r="AA70" s="41" t="n">
        <f aca="false">IF(AND(D69-D70&gt;C70-C69,D69-D70&gt;0),D69-D70,0)</f>
        <v>0</v>
      </c>
      <c r="AB70" s="41" t="n">
        <f aca="false">2/(p_AdxN+1)*X70+(1-2/(p_AdxN+1))*AB69</f>
        <v>0.533187047551895</v>
      </c>
      <c r="AC70" s="41" t="n">
        <f aca="false">2/(p_AdxN+1)*Z70+(1-2/(p_AdxN+1))*AC69</f>
        <v>0.118570599191958</v>
      </c>
      <c r="AD70" s="41" t="n">
        <f aca="false">2/(p_AdxN+1)*AA70+(1-2/(p_AdxN+1))*AD69</f>
        <v>0.0674826511460946</v>
      </c>
      <c r="AE70" s="45" t="n">
        <f aca="false">100*AC70/AB70</f>
        <v>22.2380869408532</v>
      </c>
      <c r="AF70" s="45" t="n">
        <f aca="false">100*AD70/AB70</f>
        <v>12.6564685800111</v>
      </c>
      <c r="AG70" s="45" t="n">
        <f aca="false">IFERROR(100*ABS(AE70-AF70)/(AE70+AF70),0)</f>
        <v>27.4587775021606</v>
      </c>
      <c r="AH70" s="45" t="n">
        <f aca="false">2/(p_AdxN+1)*AG70+(1-2/(p_AdxN+1))*AH69</f>
        <v>19.4757025560777</v>
      </c>
      <c r="AI70" s="40" t="n">
        <f aca="false">I70*(1+p_ChPct)</f>
        <v>25.9613375438649</v>
      </c>
      <c r="AJ70" s="40" t="n">
        <f aca="false">I70*(1-p_ChPct)</f>
        <v>23.0223181992764</v>
      </c>
      <c r="AK70" s="40" t="n">
        <f aca="false">I70+1*Y70</f>
        <v>25.0302894100322</v>
      </c>
      <c r="AL70" s="40" t="n">
        <f aca="false">I70+2*Y70</f>
        <v>25.5687509484937</v>
      </c>
      <c r="AM70" s="40" t="n">
        <f aca="false">I70+3*Y70</f>
        <v>26.1072124869552</v>
      </c>
      <c r="AN70" s="40" t="n">
        <f aca="false">I70-1*Y70</f>
        <v>23.9533663331091</v>
      </c>
      <c r="AO70" s="40" t="n">
        <f aca="false">I70-2*Y70</f>
        <v>23.4149047946475</v>
      </c>
      <c r="AP70" s="40" t="n">
        <f aca="false">I70-3*Y70</f>
        <v>22.876443256186</v>
      </c>
      <c r="AQ70" s="40" t="n">
        <f aca="true">MAX(OFFSET(C70,1-MIN(p_StochN,ROW()-4),0,MIN(p_StochN,ROW()-4),1))</f>
        <v>25.5</v>
      </c>
      <c r="AR70" s="40" t="n">
        <f aca="true">MIN(OFFSET(D70,1-MIN(p_StochN,ROW()-4),0,MIN(p_StochN,ROW()-4),1))</f>
        <v>24.26</v>
      </c>
      <c r="AS70" s="45" t="n">
        <f aca="false">IF(AQ70=AR70,50,100*(E70-AR70)/(AQ70-AR70))</f>
        <v>94.3548387096774</v>
      </c>
      <c r="AT70" s="45" t="n">
        <f aca="true">AVERAGE(OFFSET(AS70,1-MIN(p_StochSm,ROW()-4),0,MIN(p_StochSm,ROW()-4),1))</f>
        <v>94.6247221469233</v>
      </c>
      <c r="AU70" s="45" t="n">
        <f aca="true">AVERAGE(OFFSET(AT70,1-MIN(p_StochSm,ROW()-4),0,MIN(p_StochSm,ROW()-4),1))</f>
        <v>85.7458691003283</v>
      </c>
      <c r="AV70" s="41" t="n">
        <f aca="false">MAX(0,H70-D70)</f>
        <v>0</v>
      </c>
      <c r="AW70" s="41" t="n">
        <f aca="true">IF(COUNTIF(OFFSET(AV70,1-MIN(p_PenLb,ROW()-4),0,MIN(p_PenLb,ROW()-4),1),"&gt;0")&gt;0,SUM(OFFSET(AV70,1-MIN(p_PenLb,ROW()-4),0,MIN(p_PenLb,ROW()-4),1))/COUNTIF(OFFSET(AV70,1-MIN(p_PenLb,ROW()-4),0,MIN(p_PenLb,ROW()-4),1),"&gt;0"),0.5*Y70)</f>
        <v>0.342716497846932</v>
      </c>
      <c r="AX70" s="41" t="n">
        <f aca="false">2*H70-H69</f>
        <v>24.9274184179449</v>
      </c>
      <c r="AY70" s="40" t="n">
        <f aca="false">ROUND(MAX(AX70-AW70,0.01),2)</f>
        <v>24.58</v>
      </c>
      <c r="AZ70" s="40" t="n">
        <f aca="true">IF(MIN(p_StopLb,ROW()-4)&lt;2,D70,SMALL(OFFSET(D70,1-MIN(p_StopLb,ROW()-4),0,MIN(p_StopLb,ROW()-4),1),2))</f>
        <v>24.17</v>
      </c>
      <c r="BA70" s="40" t="n">
        <f aca="false">IF(MOD(ROUND(ROUNDDOWN(MIN(AZ70-0.01,AY70-p_StopAtr*Y70),2)*100,0),50)=0,ROUNDDOWN(MIN(AZ70-0.01,AY70-p_StopAtr*Y70),2)-0.01,ROUNDDOWN(MIN(AZ70-0.01,AY70-p_StopAtr*Y70),2))</f>
        <v>24.04</v>
      </c>
      <c r="BB70" s="40" t="n">
        <f aca="false">ROUND(AI70,2)</f>
        <v>25.96</v>
      </c>
      <c r="BC70" s="40" t="n">
        <f aca="false">IF(AY70-BA70&gt;0,(BB70-AY70)/(AY70-BA70),0)</f>
        <v>2.55555555555556</v>
      </c>
      <c r="BD70" s="42" t="n">
        <f aca="false">IF(N70&lt;0,1,0)</f>
        <v>0</v>
      </c>
      <c r="BE70" s="41" t="n">
        <f aca="false">IF(AND(BD70=1,BD69=0),N70,IF(BD70=1,MIN(BE69,N70),BE69))</f>
        <v>-0.267100964273217</v>
      </c>
      <c r="BF70" s="40" t="n">
        <f aca="false">IF(AND(BD70=1,BD69=0),D70,IF(BD70=1,MIN(BF69,D70),BF69))</f>
        <v>23.24</v>
      </c>
      <c r="BG70" s="42" t="n">
        <f aca="false">IF(AND(BD70=1,BD69=0),ROW(),IF(BD70=1,IF(N70&lt;BE69,ROW(),BG69),BG69))</f>
        <v>52</v>
      </c>
      <c r="BH70" s="41" t="n">
        <f aca="false">IF(AND(BD70=1,BD69=0),BE69,BH69)</f>
        <v>-0.0234128043712021</v>
      </c>
      <c r="BI70" s="40" t="n">
        <f aca="false">IF(AND(BD70=1,BD69=0),BF69,BI69)</f>
        <v>19.42</v>
      </c>
      <c r="BJ70" s="42" t="n">
        <f aca="false">IF(AND(BD70=1,BD69=0),BG69,BJ69)</f>
        <v>10</v>
      </c>
      <c r="BK70" s="42" t="n">
        <f aca="false">IF(AND(ISNUMBER(BG70),ISNUMBER(BJ70)),BG70-BJ70,"")</f>
        <v>42</v>
      </c>
      <c r="BL70" s="42" t="n">
        <f aca="false">IF(AND(BD70=1,N70&gt;N69,ISNUMBER(BH70),ISNUMBER(BK70)),IF(AND(BE70&gt;BH70,BF70&lt;BI70,BK70&gt;=p_GapMin,BK70&lt;=p_GapMax),1,0),0)</f>
        <v>0</v>
      </c>
      <c r="BM70" s="42" t="n">
        <f aca="false">IF(AND(BL70=1,E70&gt;BI70),1,0)</f>
        <v>0</v>
      </c>
      <c r="BN70" s="42" t="n">
        <f aca="false">IF(BL70=1,IF(BE70&gt;=BH70*0.5,1,0),0)</f>
        <v>0</v>
      </c>
      <c r="BO70" s="42" t="n">
        <f aca="true">IF(V70&gt;MIN(OFFSET(V70,-MIN(p_FiLb-1,ROW()-5),0,MIN(p_FiLb-1,ROW()-5),1)),1,0)</f>
        <v>1</v>
      </c>
      <c r="BP70" s="44" t="n">
        <f aca="true">IF(COUNTIF(OFFSET(V70,1-MIN(100,ROW()-4),0,MIN(100,ROW()-4),1),"&lt;0")&gt;=5,AVERAGEIF(OFFSET(V70,1-MIN(100,ROW()-4),0,MIN(100,ROW()-4),1),"&lt;0"),"")</f>
        <v>-634255.058395353</v>
      </c>
      <c r="BQ70" s="42" t="n">
        <f aca="false">IF(ISNUMBER(BP70),IF(AND(V70&lt;5*BP70,V70&gt;V69,E70&lt;AJ70),1,0),0)</f>
        <v>0</v>
      </c>
      <c r="BR70" s="44" t="n">
        <f aca="true">AVERAGE(OFFSET(F70,1-MIN(5,ROW()-4),0,MIN(5,ROW()-4),1))</f>
        <v>3406220</v>
      </c>
      <c r="BS70" s="42" t="n">
        <f aca="false">IFERROR(IF(MATCH(G70,周线!$A$5:$A$84,0)&lt;=1,"",INDEX(周线!$R$5:$R$84,MATCH(G70,周线!$A$5:$A$84,0)-1)),"")</f>
        <v>1</v>
      </c>
      <c r="BT70" s="42" t="n">
        <f aca="false">IFERROR(IF(MATCH(G70,周线!$A$5:$A$84,0)&lt;=1,"",INDEX(周线!$S$5:$S$84,MATCH(G70,周线!$A$5:$A$84,0)-1)),"")</f>
        <v>0</v>
      </c>
      <c r="BU70" s="42" t="n">
        <f aca="false">IFERROR(IF(MATCH(G70,周线!$A$5:$A$84,0)&lt;=1,"",INDEX(周线!$U$5:$U$84,MATCH(G70,周线!$A$5:$A$84,0)-1)),"")</f>
        <v>0</v>
      </c>
      <c r="BV70" s="42" t="n">
        <f aca="false">IF(AND(BS70=1,S70&lt;&gt;-1,V70&lt;0,BO70=1,E70&lt;=H70,E70&gt;=AJ70),1,0)</f>
        <v>0</v>
      </c>
      <c r="BW70" s="42" t="n">
        <f aca="false">BL70</f>
        <v>0</v>
      </c>
      <c r="BX70" s="42" t="n">
        <f aca="false">BQ70</f>
        <v>0</v>
      </c>
      <c r="BY70" s="42" t="n">
        <f aca="false">IF(BS70=1,10,0)+IF(BU70=1,5,IF(BU70=-1,0,3))+IF(BT70=1,5,0)+IF(AND(AE70&gt;AF70,AH70&gt;AH69),5,0)</f>
        <v>18</v>
      </c>
      <c r="BZ70" s="42" t="n">
        <f aca="false">IF(AND(E70&lt;=H70,E70&gt;=I70),10,IF(AND(E70&gt;=AJ70,E70&lt;I70),6,0))+IF(AND(V70&lt;0,BO70=1),8,0)+IF(AT70&lt;30,7,IF(AT70&lt;50,3,0))</f>
        <v>0</v>
      </c>
      <c r="CA70" s="42" t="n">
        <f aca="false">IF(AND(BV70=1,BW70=1),25,IF(BW70=1,22,IF(BV70=1,15,IF(BX70=1,12,0))))</f>
        <v>0</v>
      </c>
      <c r="CB70" s="42" t="n">
        <f aca="false">IF(W70&gt;0,6,0)+IF(F70&lt;BR70,4,0)</f>
        <v>10</v>
      </c>
      <c r="CC70" s="42" t="n">
        <f aca="false">IF(BC70&gt;=3,15,IF(BC70&gt;=p_RRmin,10,IF(BC70&gt;=1.5,4,0)))</f>
        <v>10</v>
      </c>
      <c r="CD70" s="42" t="n">
        <f aca="false">BY70+BZ70+CA70+CB70+CC70</f>
        <v>38</v>
      </c>
      <c r="CE70" s="42" t="n">
        <f aca="false">IF(AND(BS70&lt;&gt;1,BW70+BX70=0),1,0)</f>
        <v>0</v>
      </c>
      <c r="CF70" s="42" t="n">
        <f aca="false">IF(BU70=-1,1,0)</f>
        <v>0</v>
      </c>
      <c r="CG70" s="42" t="n">
        <f aca="false">IF(S70=-1,1,0)</f>
        <v>0</v>
      </c>
      <c r="CH70" s="42" t="n">
        <f aca="false">IF(BV70+BW70+BX70=0,1,0)</f>
        <v>1</v>
      </c>
      <c r="CI70" s="42" t="n">
        <f aca="false">IF(BC70&lt;p_RRmin,1,0)</f>
        <v>0</v>
      </c>
      <c r="CJ70" s="46" t="str">
        <f aca="false">IF(SUM(CE70:CI70)=0,IF(CD70&gt;=p_GradeA,"A",IF(CD70&gt;=p_GradeB,"B","C")),IF(AND(CI70=1,SUM(CE70:CH70)=0,CD70&gt;=p_GradeB),"B","C"))</f>
        <v>C</v>
      </c>
    </row>
    <row r="71" customFormat="false" ht="15" hidden="false" customHeight="false" outlineLevel="0" collapsed="false">
      <c r="A71" s="36" t="n">
        <v>45751</v>
      </c>
      <c r="B71" s="37" t="n">
        <v>25.31</v>
      </c>
      <c r="C71" s="37" t="n">
        <v>26.5</v>
      </c>
      <c r="D71" s="37" t="n">
        <v>24.98</v>
      </c>
      <c r="E71" s="37" t="n">
        <v>26.27</v>
      </c>
      <c r="F71" s="38" t="n">
        <v>5254900</v>
      </c>
      <c r="G71" s="39" t="n">
        <f aca="false">A71-WEEKDAY(A71,3)</f>
        <v>45747</v>
      </c>
      <c r="H71" s="40" t="n">
        <f aca="false">2/(p_EmaF+1)*E71+(1-2/(p_EmaF+1))*H70</f>
        <v>25.0330589441719</v>
      </c>
      <c r="I71" s="40" t="n">
        <f aca="false">2/(p_EmaS+1)*E71+(1-2/(p_EmaS+1))*I70</f>
        <v>24.6235443255284</v>
      </c>
      <c r="J71" s="41" t="n">
        <f aca="false">2/(p_MacdF+1)*E71+(1-2/(p_MacdF+1))*J70</f>
        <v>25.071293399887</v>
      </c>
      <c r="K71" s="41" t="n">
        <f aca="false">2/(p_MacdS+1)*E71+(1-2/(p_MacdS+1))*K70</f>
        <v>24.6235443255284</v>
      </c>
      <c r="L71" s="41" t="n">
        <f aca="false">J71-K71</f>
        <v>0.447749074358697</v>
      </c>
      <c r="M71" s="41" t="n">
        <f aca="false">2/(p_MacdSig+1)*L71+(1-2/(p_MacdSig+1))*M70</f>
        <v>0.357302206381565</v>
      </c>
      <c r="N71" s="41" t="n">
        <f aca="false">L71-M71</f>
        <v>0.0904468679771319</v>
      </c>
      <c r="O71" s="42" t="n">
        <f aca="false">IF(H71&gt;H70,1,0)</f>
        <v>1</v>
      </c>
      <c r="P71" s="42" t="n">
        <f aca="false">IF(H71&lt;H70,1,0)</f>
        <v>0</v>
      </c>
      <c r="Q71" s="42" t="n">
        <f aca="false">IF(N71&gt;N70,1,0)</f>
        <v>1</v>
      </c>
      <c r="R71" s="42" t="n">
        <f aca="false">IF(N71&lt;N70,1,0)</f>
        <v>0</v>
      </c>
      <c r="S71" s="42" t="n">
        <f aca="false">IF(AND(O71=1,Q71=1),1,IF(AND(P71=1,R71=1),-1,0))</f>
        <v>1</v>
      </c>
      <c r="T71" s="43" t="str">
        <f aca="false">IF(S71=1,"绿",IF(S71=-1,"红","蓝"))</f>
        <v>绿</v>
      </c>
      <c r="U71" s="44" t="n">
        <f aca="false">F71*(E71-E70)</f>
        <v>4414116</v>
      </c>
      <c r="V71" s="44" t="n">
        <f aca="false">2/(p_FiS+1)*U71+(1-2/(p_FiS+1))*V70</f>
        <v>3125772.08194447</v>
      </c>
      <c r="W71" s="44" t="n">
        <f aca="false">2/(p_FiL+1)*U71+(1-2/(p_FiL+1))*W70</f>
        <v>909928.803203041</v>
      </c>
      <c r="X71" s="41" t="n">
        <f aca="false">MAX(C71-D71,ABS(C71-E70),ABS(D71-E70))</f>
        <v>1.52</v>
      </c>
      <c r="Y71" s="41" t="n">
        <f aca="true">AVERAGE(OFFSET(X71,1-MIN(p_AtrN,ROW()-4),0,MIN(p_AtrN,ROW()-4),1))</f>
        <v>0.61</v>
      </c>
      <c r="Z71" s="41" t="n">
        <f aca="false">IF(AND(C71-C70&gt;D70-D71,C71-C70&gt;0),C71-C70,0)</f>
        <v>1</v>
      </c>
      <c r="AA71" s="41" t="n">
        <f aca="false">IF(AND(D70-D71&gt;C71-C70,D70-D71&gt;0),D70-D71,0)</f>
        <v>0</v>
      </c>
      <c r="AB71" s="41" t="n">
        <f aca="false">2/(p_AdxN+1)*X71+(1-2/(p_AdxN+1))*AB70</f>
        <v>0.674160326473053</v>
      </c>
      <c r="AC71" s="41" t="n">
        <f aca="false">2/(p_AdxN+1)*Z71+(1-2/(p_AdxN+1))*AC70</f>
        <v>0.244489085021679</v>
      </c>
      <c r="AD71" s="41" t="n">
        <f aca="false">2/(p_AdxN+1)*AA71+(1-2/(p_AdxN+1))*AD70</f>
        <v>0.0578422724109382</v>
      </c>
      <c r="AE71" s="45" t="n">
        <f aca="false">100*AC71/AB71</f>
        <v>36.2657183196691</v>
      </c>
      <c r="AF71" s="45" t="n">
        <f aca="false">100*AD71/AB71</f>
        <v>8.57989859972134</v>
      </c>
      <c r="AG71" s="45" t="n">
        <f aca="false">IFERROR(100*ABS(AE71-AF71)/(AE71+AF71),0)</f>
        <v>61.735843147643</v>
      </c>
      <c r="AH71" s="45" t="n">
        <f aca="false">2/(p_AdxN+1)*AG71+(1-2/(p_AdxN+1))*AH70</f>
        <v>25.5128654977299</v>
      </c>
      <c r="AI71" s="40" t="n">
        <f aca="false">I71*(1+p_ChPct)</f>
        <v>26.1009569850601</v>
      </c>
      <c r="AJ71" s="40" t="n">
        <f aca="false">I71*(1-p_ChPct)</f>
        <v>23.1461316659967</v>
      </c>
      <c r="AK71" s="40" t="n">
        <f aca="false">I71+1*Y71</f>
        <v>25.2335443255284</v>
      </c>
      <c r="AL71" s="40" t="n">
        <f aca="false">I71+2*Y71</f>
        <v>25.8435443255284</v>
      </c>
      <c r="AM71" s="40" t="n">
        <f aca="false">I71+3*Y71</f>
        <v>26.4535443255284</v>
      </c>
      <c r="AN71" s="40" t="n">
        <f aca="false">I71-1*Y71</f>
        <v>24.0135443255284</v>
      </c>
      <c r="AO71" s="40" t="n">
        <f aca="false">I71-2*Y71</f>
        <v>23.4035443255284</v>
      </c>
      <c r="AP71" s="40" t="n">
        <f aca="false">I71-3*Y71</f>
        <v>22.7935443255284</v>
      </c>
      <c r="AQ71" s="40" t="n">
        <f aca="true">MAX(OFFSET(C71,1-MIN(p_StochN,ROW()-4),0,MIN(p_StochN,ROW()-4),1))</f>
        <v>26.5</v>
      </c>
      <c r="AR71" s="40" t="n">
        <f aca="true">MIN(OFFSET(D71,1-MIN(p_StochN,ROW()-4),0,MIN(p_StochN,ROW()-4),1))</f>
        <v>24.27</v>
      </c>
      <c r="AS71" s="45" t="n">
        <f aca="false">IF(AQ71=AR71,50,100*(E71-AR71)/(AQ71-AR71))</f>
        <v>89.6860986547085</v>
      </c>
      <c r="AT71" s="45" t="n">
        <f aca="true">AVERAGE(OFFSET(AS71,1-MIN(p_StochSm,ROW()-4),0,MIN(p_StochSm,ROW()-4),1))</f>
        <v>91.746979121462</v>
      </c>
      <c r="AU71" s="45" t="n">
        <f aca="true">AVERAGE(OFFSET(AT71,1-MIN(p_StochSm,ROW()-4),0,MIN(p_StochSm,ROW()-4),1))</f>
        <v>91.7530320754562</v>
      </c>
      <c r="AV71" s="41" t="n">
        <f aca="false">MAX(0,H71-D71)</f>
        <v>0.0530589441718554</v>
      </c>
      <c r="AW71" s="41" t="n">
        <f aca="true">IF(COUNTIF(OFFSET(AV71,1-MIN(p_PenLb,ROW()-4),0,MIN(p_PenLb,ROW()-4),1),"&gt;0")&gt;0,SUM(OFFSET(AV71,1-MIN(p_PenLb,ROW()-4),0,MIN(p_PenLb,ROW()-4),1))/COUNTIF(OFFSET(AV71,1-MIN(p_PenLb,ROW()-4),0,MIN(p_PenLb,ROW()-4),1),"&gt;0"),0.5*Y71)</f>
        <v>0.323405994268593</v>
      </c>
      <c r="AX71" s="41" t="n">
        <f aca="false">2*H71-H70</f>
        <v>25.2392157868099</v>
      </c>
      <c r="AY71" s="40" t="n">
        <f aca="false">ROUND(MAX(AX71-AW71,0.01),2)</f>
        <v>24.92</v>
      </c>
      <c r="AZ71" s="40" t="n">
        <f aca="true">IF(MIN(p_StopLb,ROW()-4)&lt;2,D71,SMALL(OFFSET(D71,1-MIN(p_StopLb,ROW()-4),0,MIN(p_StopLb,ROW()-4),1),2))</f>
        <v>24.17</v>
      </c>
      <c r="BA71" s="40" t="n">
        <f aca="false">IF(MOD(ROUND(ROUNDDOWN(MIN(AZ71-0.01,AY71-p_StopAtr*Y71),2)*100,0),50)=0,ROUNDDOWN(MIN(AZ71-0.01,AY71-p_StopAtr*Y71),2)-0.01,ROUNDDOWN(MIN(AZ71-0.01,AY71-p_StopAtr*Y71),2))</f>
        <v>24.16</v>
      </c>
      <c r="BB71" s="40" t="n">
        <f aca="false">ROUND(AI71,2)</f>
        <v>26.1</v>
      </c>
      <c r="BC71" s="40" t="n">
        <f aca="false">IF(AY71-BA71&gt;0,(BB71-AY71)/(AY71-BA71),0)</f>
        <v>1.55263157894736</v>
      </c>
      <c r="BD71" s="42" t="n">
        <f aca="false">IF(N71&lt;0,1,0)</f>
        <v>0</v>
      </c>
      <c r="BE71" s="41" t="n">
        <f aca="false">IF(AND(BD71=1,BD70=0),N71,IF(BD71=1,MIN(BE70,N71),BE70))</f>
        <v>-0.267100964273217</v>
      </c>
      <c r="BF71" s="40" t="n">
        <f aca="false">IF(AND(BD71=1,BD70=0),D71,IF(BD71=1,MIN(BF70,D71),BF70))</f>
        <v>23.24</v>
      </c>
      <c r="BG71" s="42" t="n">
        <f aca="false">IF(AND(BD71=1,BD70=0),ROW(),IF(BD71=1,IF(N71&lt;BE70,ROW(),BG70),BG70))</f>
        <v>52</v>
      </c>
      <c r="BH71" s="41" t="n">
        <f aca="false">IF(AND(BD71=1,BD70=0),BE70,BH70)</f>
        <v>-0.0234128043712021</v>
      </c>
      <c r="BI71" s="40" t="n">
        <f aca="false">IF(AND(BD71=1,BD70=0),BF70,BI70)</f>
        <v>19.42</v>
      </c>
      <c r="BJ71" s="42" t="n">
        <f aca="false">IF(AND(BD71=1,BD70=0),BG70,BJ70)</f>
        <v>10</v>
      </c>
      <c r="BK71" s="42" t="n">
        <f aca="false">IF(AND(ISNUMBER(BG71),ISNUMBER(BJ71)),BG71-BJ71,"")</f>
        <v>42</v>
      </c>
      <c r="BL71" s="42" t="n">
        <f aca="false">IF(AND(BD71=1,N71&gt;N70,ISNUMBER(BH71),ISNUMBER(BK71)),IF(AND(BE71&gt;BH71,BF71&lt;BI71,BK71&gt;=p_GapMin,BK71&lt;=p_GapMax),1,0),0)</f>
        <v>0</v>
      </c>
      <c r="BM71" s="42" t="n">
        <f aca="false">IF(AND(BL71=1,E71&gt;BI71),1,0)</f>
        <v>0</v>
      </c>
      <c r="BN71" s="42" t="n">
        <f aca="false">IF(BL71=1,IF(BE71&gt;=BH71*0.5,1,0),0)</f>
        <v>0</v>
      </c>
      <c r="BO71" s="42" t="n">
        <f aca="true">IF(V71&gt;MIN(OFFSET(V71,-MIN(p_FiLb-1,ROW()-5),0,MIN(p_FiLb-1,ROW()-5),1)),1,0)</f>
        <v>1</v>
      </c>
      <c r="BP71" s="44" t="n">
        <f aca="true">IF(COUNTIF(OFFSET(V71,1-MIN(100,ROW()-4),0,MIN(100,ROW()-4),1),"&lt;0")&gt;=5,AVERAGEIF(OFFSET(V71,1-MIN(100,ROW()-4),0,MIN(100,ROW()-4),1),"&lt;0"),"")</f>
        <v>-634255.058395353</v>
      </c>
      <c r="BQ71" s="42" t="n">
        <f aca="false">IF(ISNUMBER(BP71),IF(AND(V71&lt;5*BP71,V71&gt;V70,E71&lt;AJ71),1,0),0)</f>
        <v>0</v>
      </c>
      <c r="BR71" s="44" t="n">
        <f aca="true">AVERAGE(OFFSET(F71,1-MIN(5,ROW()-4),0,MIN(5,ROW()-4),1))</f>
        <v>3864700</v>
      </c>
      <c r="BS71" s="42" t="n">
        <f aca="false">IFERROR(IF(MATCH(G71,周线!$A$5:$A$84,0)&lt;=1,"",INDEX(周线!$R$5:$R$84,MATCH(G71,周线!$A$5:$A$84,0)-1)),"")</f>
        <v>1</v>
      </c>
      <c r="BT71" s="42" t="n">
        <f aca="false">IFERROR(IF(MATCH(G71,周线!$A$5:$A$84,0)&lt;=1,"",INDEX(周线!$S$5:$S$84,MATCH(G71,周线!$A$5:$A$84,0)-1)),"")</f>
        <v>0</v>
      </c>
      <c r="BU71" s="42" t="n">
        <f aca="false">IFERROR(IF(MATCH(G71,周线!$A$5:$A$84,0)&lt;=1,"",INDEX(周线!$U$5:$U$84,MATCH(G71,周线!$A$5:$A$84,0)-1)),"")</f>
        <v>0</v>
      </c>
      <c r="BV71" s="42" t="n">
        <f aca="false">IF(AND(BS71=1,S71&lt;&gt;-1,V71&lt;0,BO71=1,E71&lt;=H71,E71&gt;=AJ71),1,0)</f>
        <v>0</v>
      </c>
      <c r="BW71" s="42" t="n">
        <f aca="false">BL71</f>
        <v>0</v>
      </c>
      <c r="BX71" s="42" t="n">
        <f aca="false">BQ71</f>
        <v>0</v>
      </c>
      <c r="BY71" s="42" t="n">
        <f aca="false">IF(BS71=1,10,0)+IF(BU71=1,5,IF(BU71=-1,0,3))+IF(BT71=1,5,0)+IF(AND(AE71&gt;AF71,AH71&gt;AH70),5,0)</f>
        <v>18</v>
      </c>
      <c r="BZ71" s="42" t="n">
        <f aca="false">IF(AND(E71&lt;=H71,E71&gt;=I71),10,IF(AND(E71&gt;=AJ71,E71&lt;I71),6,0))+IF(AND(V71&lt;0,BO71=1),8,0)+IF(AT71&lt;30,7,IF(AT71&lt;50,3,0))</f>
        <v>0</v>
      </c>
      <c r="CA71" s="42" t="n">
        <f aca="false">IF(AND(BV71=1,BW71=1),25,IF(BW71=1,22,IF(BV71=1,15,IF(BX71=1,12,0))))</f>
        <v>0</v>
      </c>
      <c r="CB71" s="42" t="n">
        <f aca="false">IF(W71&gt;0,6,0)+IF(F71&lt;BR71,4,0)</f>
        <v>6</v>
      </c>
      <c r="CC71" s="42" t="n">
        <f aca="false">IF(BC71&gt;=3,15,IF(BC71&gt;=p_RRmin,10,IF(BC71&gt;=1.5,4,0)))</f>
        <v>4</v>
      </c>
      <c r="CD71" s="42" t="n">
        <f aca="false">BY71+BZ71+CA71+CB71+CC71</f>
        <v>28</v>
      </c>
      <c r="CE71" s="42" t="n">
        <f aca="false">IF(AND(BS71&lt;&gt;1,BW71+BX71=0),1,0)</f>
        <v>0</v>
      </c>
      <c r="CF71" s="42" t="n">
        <f aca="false">IF(BU71=-1,1,0)</f>
        <v>0</v>
      </c>
      <c r="CG71" s="42" t="n">
        <f aca="false">IF(S71=-1,1,0)</f>
        <v>0</v>
      </c>
      <c r="CH71" s="42" t="n">
        <f aca="false">IF(BV71+BW71+BX71=0,1,0)</f>
        <v>1</v>
      </c>
      <c r="CI71" s="42" t="n">
        <f aca="false">IF(BC71&lt;p_RRmin,1,0)</f>
        <v>1</v>
      </c>
      <c r="CJ71" s="46" t="str">
        <f aca="false">IF(SUM(CE71:CI71)=0,IF(CD71&gt;=p_GradeA,"A",IF(CD71&gt;=p_GradeB,"B","C")),IF(AND(CI71=1,SUM(CE71:CH71)=0,CD71&gt;=p_GradeB),"B","C"))</f>
        <v>C</v>
      </c>
    </row>
    <row r="72" customFormat="false" ht="15" hidden="false" customHeight="false" outlineLevel="0" collapsed="false">
      <c r="A72" s="36" t="n">
        <v>45754</v>
      </c>
      <c r="B72" s="37" t="n">
        <v>26.31</v>
      </c>
      <c r="C72" s="37" t="n">
        <v>26.36</v>
      </c>
      <c r="D72" s="37" t="n">
        <v>26.07</v>
      </c>
      <c r="E72" s="37" t="n">
        <v>26.18</v>
      </c>
      <c r="F72" s="38" t="n">
        <v>2495600</v>
      </c>
      <c r="G72" s="39" t="n">
        <f aca="false">A72-WEEKDAY(A72,3)</f>
        <v>45754</v>
      </c>
      <c r="H72" s="40" t="n">
        <f aca="false">2/(p_EmaF+1)*E72+(1-2/(p_EmaF+1))*H71</f>
        <v>25.196907666433</v>
      </c>
      <c r="I72" s="40" t="n">
        <f aca="false">2/(p_EmaS+1)*E72+(1-2/(p_EmaS+1))*I71</f>
        <v>24.7388373384522</v>
      </c>
      <c r="J72" s="41" t="n">
        <f aca="false">2/(p_MacdF+1)*E72+(1-2/(p_MacdF+1))*J71</f>
        <v>25.2418636460583</v>
      </c>
      <c r="K72" s="41" t="n">
        <f aca="false">2/(p_MacdS+1)*E72+(1-2/(p_MacdS+1))*K71</f>
        <v>24.7388373384522</v>
      </c>
      <c r="L72" s="41" t="n">
        <f aca="false">J72-K72</f>
        <v>0.503026307606096</v>
      </c>
      <c r="M72" s="41" t="n">
        <f aca="false">2/(p_MacdSig+1)*L72+(1-2/(p_MacdSig+1))*M71</f>
        <v>0.386447026626471</v>
      </c>
      <c r="N72" s="41" t="n">
        <f aca="false">L72-M72</f>
        <v>0.116579280979624</v>
      </c>
      <c r="O72" s="42" t="n">
        <f aca="false">IF(H72&gt;H71,1,0)</f>
        <v>1</v>
      </c>
      <c r="P72" s="42" t="n">
        <f aca="false">IF(H72&lt;H71,1,0)</f>
        <v>0</v>
      </c>
      <c r="Q72" s="42" t="n">
        <f aca="false">IF(N72&gt;N71,1,0)</f>
        <v>1</v>
      </c>
      <c r="R72" s="42" t="n">
        <f aca="false">IF(N72&lt;N71,1,0)</f>
        <v>0</v>
      </c>
      <c r="S72" s="42" t="n">
        <f aca="false">IF(AND(O72=1,Q72=1),1,IF(AND(P72=1,R72=1),-1,0))</f>
        <v>1</v>
      </c>
      <c r="T72" s="43" t="str">
        <f aca="false">IF(S72=1,"绿",IF(S72=-1,"红","蓝"))</f>
        <v>绿</v>
      </c>
      <c r="U72" s="44" t="n">
        <f aca="false">F72*(E72-E71)</f>
        <v>-224604</v>
      </c>
      <c r="V72" s="44" t="n">
        <f aca="false">2/(p_FiS+1)*U72+(1-2/(p_FiS+1))*V71</f>
        <v>892188.027314823</v>
      </c>
      <c r="W72" s="44" t="n">
        <f aca="false">2/(p_FiL+1)*U72+(1-2/(p_FiL+1))*W71</f>
        <v>747852.688459749</v>
      </c>
      <c r="X72" s="41" t="n">
        <f aca="false">MAX(C72-D72,ABS(C72-E71),ABS(D72-E71))</f>
        <v>0.289999999999999</v>
      </c>
      <c r="Y72" s="41" t="n">
        <f aca="true">AVERAGE(OFFSET(X72,1-MIN(p_AtrN,ROW()-4),0,MIN(p_AtrN,ROW()-4),1))</f>
        <v>0.610769230769231</v>
      </c>
      <c r="Z72" s="41" t="n">
        <f aca="false">IF(AND(C72-C71&gt;D71-D72,C72-C71&gt;0),C72-C71,0)</f>
        <v>0</v>
      </c>
      <c r="AA72" s="41" t="n">
        <f aca="false">IF(AND(D71-D72&gt;C72-C71,D71-D72&gt;0),D71-D72,0)</f>
        <v>0</v>
      </c>
      <c r="AB72" s="41" t="n">
        <f aca="false">2/(p_AdxN+1)*X72+(1-2/(p_AdxN+1))*AB71</f>
        <v>0.619280279834045</v>
      </c>
      <c r="AC72" s="41" t="n">
        <f aca="false">2/(p_AdxN+1)*Z72+(1-2/(p_AdxN+1))*AC71</f>
        <v>0.209562072875725</v>
      </c>
      <c r="AD72" s="41" t="n">
        <f aca="false">2/(p_AdxN+1)*AA72+(1-2/(p_AdxN+1))*AD71</f>
        <v>0.0495790906379471</v>
      </c>
      <c r="AE72" s="45" t="n">
        <f aca="false">100*AC72/AB72</f>
        <v>33.8396166808159</v>
      </c>
      <c r="AF72" s="45" t="n">
        <f aca="false">100*AD72/AB72</f>
        <v>8.0059211075207</v>
      </c>
      <c r="AG72" s="45" t="n">
        <f aca="false">IFERROR(100*ABS(AE72-AF72)/(AE72+AF72),0)</f>
        <v>61.7358431476431</v>
      </c>
      <c r="AH72" s="45" t="n">
        <f aca="false">2/(p_AdxN+1)*AG72+(1-2/(p_AdxN+1))*AH71</f>
        <v>30.6875765905746</v>
      </c>
      <c r="AI72" s="40" t="n">
        <f aca="false">I72*(1+p_ChPct)</f>
        <v>26.2231675787593</v>
      </c>
      <c r="AJ72" s="40" t="n">
        <f aca="false">I72*(1-p_ChPct)</f>
        <v>23.254507098145</v>
      </c>
      <c r="AK72" s="40" t="n">
        <f aca="false">I72+1*Y72</f>
        <v>25.3496065692214</v>
      </c>
      <c r="AL72" s="40" t="n">
        <f aca="false">I72+2*Y72</f>
        <v>25.9603757999906</v>
      </c>
      <c r="AM72" s="40" t="n">
        <f aca="false">I72+3*Y72</f>
        <v>26.5711450307599</v>
      </c>
      <c r="AN72" s="40" t="n">
        <f aca="false">I72-1*Y72</f>
        <v>24.1280681076829</v>
      </c>
      <c r="AO72" s="40" t="n">
        <f aca="false">I72-2*Y72</f>
        <v>23.5172988769137</v>
      </c>
      <c r="AP72" s="40" t="n">
        <f aca="false">I72-3*Y72</f>
        <v>22.9065296461445</v>
      </c>
      <c r="AQ72" s="40" t="n">
        <f aca="true">MAX(OFFSET(C72,1-MIN(p_StochN,ROW()-4),0,MIN(p_StochN,ROW()-4),1))</f>
        <v>26.5</v>
      </c>
      <c r="AR72" s="40" t="n">
        <f aca="true">MIN(OFFSET(D72,1-MIN(p_StochN,ROW()-4),0,MIN(p_StochN,ROW()-4),1))</f>
        <v>24.7</v>
      </c>
      <c r="AS72" s="45" t="n">
        <f aca="false">IF(AQ72=AR72,50,100*(E72-AR72)/(AQ72-AR72))</f>
        <v>82.2222222222222</v>
      </c>
      <c r="AT72" s="45" t="n">
        <f aca="true">AVERAGE(OFFSET(AS72,1-MIN(p_StochSm,ROW()-4),0,MIN(p_StochSm,ROW()-4),1))</f>
        <v>88.7543865288694</v>
      </c>
      <c r="AU72" s="45" t="n">
        <f aca="true">AVERAGE(OFFSET(AT72,1-MIN(p_StochSm,ROW()-4),0,MIN(p_StochSm,ROW()-4),1))</f>
        <v>91.7086959324182</v>
      </c>
      <c r="AV72" s="41" t="n">
        <f aca="false">MAX(0,H72-D72)</f>
        <v>0</v>
      </c>
      <c r="AW72" s="41" t="n">
        <f aca="true">IF(COUNTIF(OFFSET(AV72,1-MIN(p_PenLb,ROW()-4),0,MIN(p_PenLb,ROW()-4),1),"&gt;0")&gt;0,SUM(OFFSET(AV72,1-MIN(p_PenLb,ROW()-4),0,MIN(p_PenLb,ROW()-4),1))/COUNTIF(OFFSET(AV72,1-MIN(p_PenLb,ROW()-4),0,MIN(p_PenLb,ROW()-4),1),"&gt;0"),0.5*Y72)</f>
        <v>0.323405994268593</v>
      </c>
      <c r="AX72" s="41" t="n">
        <f aca="false">2*H72-H71</f>
        <v>25.3607563886942</v>
      </c>
      <c r="AY72" s="40" t="n">
        <f aca="false">ROUND(MAX(AX72-AW72,0.01),2)</f>
        <v>25.04</v>
      </c>
      <c r="AZ72" s="40" t="n">
        <f aca="true">IF(MIN(p_StopLb,ROW()-4)&lt;2,D72,SMALL(OFFSET(D72,1-MIN(p_StopLb,ROW()-4),0,MIN(p_StopLb,ROW()-4),1),2))</f>
        <v>24.17</v>
      </c>
      <c r="BA72" s="40" t="n">
        <f aca="false">IF(MOD(ROUND(ROUNDDOWN(MIN(AZ72-0.01,AY72-p_StopAtr*Y72),2)*100,0),50)=0,ROUNDDOWN(MIN(AZ72-0.01,AY72-p_StopAtr*Y72),2)-0.01,ROUNDDOWN(MIN(AZ72-0.01,AY72-p_StopAtr*Y72),2))</f>
        <v>24.16</v>
      </c>
      <c r="BB72" s="40" t="n">
        <f aca="false">ROUND(AI72,2)</f>
        <v>26.22</v>
      </c>
      <c r="BC72" s="40" t="n">
        <f aca="false">IF(AY72-BA72&gt;0,(BB72-AY72)/(AY72-BA72),0)</f>
        <v>1.34090909090909</v>
      </c>
      <c r="BD72" s="42" t="n">
        <f aca="false">IF(N72&lt;0,1,0)</f>
        <v>0</v>
      </c>
      <c r="BE72" s="41" t="n">
        <f aca="false">IF(AND(BD72=1,BD71=0),N72,IF(BD72=1,MIN(BE71,N72),BE71))</f>
        <v>-0.267100964273217</v>
      </c>
      <c r="BF72" s="40" t="n">
        <f aca="false">IF(AND(BD72=1,BD71=0),D72,IF(BD72=1,MIN(BF71,D72),BF71))</f>
        <v>23.24</v>
      </c>
      <c r="BG72" s="42" t="n">
        <f aca="false">IF(AND(BD72=1,BD71=0),ROW(),IF(BD72=1,IF(N72&lt;BE71,ROW(),BG71),BG71))</f>
        <v>52</v>
      </c>
      <c r="BH72" s="41" t="n">
        <f aca="false">IF(AND(BD72=1,BD71=0),BE71,BH71)</f>
        <v>-0.0234128043712021</v>
      </c>
      <c r="BI72" s="40" t="n">
        <f aca="false">IF(AND(BD72=1,BD71=0),BF71,BI71)</f>
        <v>19.42</v>
      </c>
      <c r="BJ72" s="42" t="n">
        <f aca="false">IF(AND(BD72=1,BD71=0),BG71,BJ71)</f>
        <v>10</v>
      </c>
      <c r="BK72" s="42" t="n">
        <f aca="false">IF(AND(ISNUMBER(BG72),ISNUMBER(BJ72)),BG72-BJ72,"")</f>
        <v>42</v>
      </c>
      <c r="BL72" s="42" t="n">
        <f aca="false">IF(AND(BD72=1,N72&gt;N71,ISNUMBER(BH72),ISNUMBER(BK72)),IF(AND(BE72&gt;BH72,BF72&lt;BI72,BK72&gt;=p_GapMin,BK72&lt;=p_GapMax),1,0),0)</f>
        <v>0</v>
      </c>
      <c r="BM72" s="42" t="n">
        <f aca="false">IF(AND(BL72=1,E72&gt;BI72),1,0)</f>
        <v>0</v>
      </c>
      <c r="BN72" s="42" t="n">
        <f aca="false">IF(BL72=1,IF(BE72&gt;=BH72*0.5,1,0),0)</f>
        <v>0</v>
      </c>
      <c r="BO72" s="42" t="n">
        <f aca="true">IF(V72&gt;MIN(OFFSET(V72,-MIN(p_FiLb-1,ROW()-5),0,MIN(p_FiLb-1,ROW()-5),1)),1,0)</f>
        <v>1</v>
      </c>
      <c r="BP72" s="44" t="n">
        <f aca="true">IF(COUNTIF(OFFSET(V72,1-MIN(100,ROW()-4),0,MIN(100,ROW()-4),1),"&lt;0")&gt;=5,AVERAGEIF(OFFSET(V72,1-MIN(100,ROW()-4),0,MIN(100,ROW()-4),1),"&lt;0"),"")</f>
        <v>-634255.058395353</v>
      </c>
      <c r="BQ72" s="42" t="n">
        <f aca="false">IF(ISNUMBER(BP72),IF(AND(V72&lt;5*BP72,V72&gt;V71,E72&lt;AJ72),1,0),0)</f>
        <v>0</v>
      </c>
      <c r="BR72" s="44" t="n">
        <f aca="true">AVERAGE(OFFSET(F72,1-MIN(5,ROW()-4),0,MIN(5,ROW()-4),1))</f>
        <v>3344020</v>
      </c>
      <c r="BS72" s="42" t="n">
        <f aca="false">IFERROR(IF(MATCH(G72,周线!$A$5:$A$84,0)&lt;=1,"",INDEX(周线!$R$5:$R$84,MATCH(G72,周线!$A$5:$A$84,0)-1)),"")</f>
        <v>1</v>
      </c>
      <c r="BT72" s="42" t="n">
        <f aca="false">IFERROR(IF(MATCH(G72,周线!$A$5:$A$84,0)&lt;=1,"",INDEX(周线!$S$5:$S$84,MATCH(G72,周线!$A$5:$A$84,0)-1)),"")</f>
        <v>1</v>
      </c>
      <c r="BU72" s="42" t="n">
        <f aca="false">IFERROR(IF(MATCH(G72,周线!$A$5:$A$84,0)&lt;=1,"",INDEX(周线!$U$5:$U$84,MATCH(G72,周线!$A$5:$A$84,0)-1)),"")</f>
        <v>1</v>
      </c>
      <c r="BV72" s="42" t="n">
        <f aca="false">IF(AND(BS72=1,S72&lt;&gt;-1,V72&lt;0,BO72=1,E72&lt;=H72,E72&gt;=AJ72),1,0)</f>
        <v>0</v>
      </c>
      <c r="BW72" s="42" t="n">
        <f aca="false">BL72</f>
        <v>0</v>
      </c>
      <c r="BX72" s="42" t="n">
        <f aca="false">BQ72</f>
        <v>0</v>
      </c>
      <c r="BY72" s="42" t="n">
        <f aca="false">IF(BS72=1,10,0)+IF(BU72=1,5,IF(BU72=-1,0,3))+IF(BT72=1,5,0)+IF(AND(AE72&gt;AF72,AH72&gt;AH71),5,0)</f>
        <v>25</v>
      </c>
      <c r="BZ72" s="42" t="n">
        <f aca="false">IF(AND(E72&lt;=H72,E72&gt;=I72),10,IF(AND(E72&gt;=AJ72,E72&lt;I72),6,0))+IF(AND(V72&lt;0,BO72=1),8,0)+IF(AT72&lt;30,7,IF(AT72&lt;50,3,0))</f>
        <v>0</v>
      </c>
      <c r="CA72" s="42" t="n">
        <f aca="false">IF(AND(BV72=1,BW72=1),25,IF(BW72=1,22,IF(BV72=1,15,IF(BX72=1,12,0))))</f>
        <v>0</v>
      </c>
      <c r="CB72" s="42" t="n">
        <f aca="false">IF(W72&gt;0,6,0)+IF(F72&lt;BR72,4,0)</f>
        <v>10</v>
      </c>
      <c r="CC72" s="42" t="n">
        <f aca="false">IF(BC72&gt;=3,15,IF(BC72&gt;=p_RRmin,10,IF(BC72&gt;=1.5,4,0)))</f>
        <v>0</v>
      </c>
      <c r="CD72" s="42" t="n">
        <f aca="false">BY72+BZ72+CA72+CB72+CC72</f>
        <v>35</v>
      </c>
      <c r="CE72" s="42" t="n">
        <f aca="false">IF(AND(BS72&lt;&gt;1,BW72+BX72=0),1,0)</f>
        <v>0</v>
      </c>
      <c r="CF72" s="42" t="n">
        <f aca="false">IF(BU72=-1,1,0)</f>
        <v>0</v>
      </c>
      <c r="CG72" s="42" t="n">
        <f aca="false">IF(S72=-1,1,0)</f>
        <v>0</v>
      </c>
      <c r="CH72" s="42" t="n">
        <f aca="false">IF(BV72+BW72+BX72=0,1,0)</f>
        <v>1</v>
      </c>
      <c r="CI72" s="42" t="n">
        <f aca="false">IF(BC72&lt;p_RRmin,1,0)</f>
        <v>1</v>
      </c>
      <c r="CJ72" s="46" t="str">
        <f aca="false">IF(SUM(CE72:CI72)=0,IF(CD72&gt;=p_GradeA,"A",IF(CD72&gt;=p_GradeB,"B","C")),IF(AND(CI72=1,SUM(CE72:CH72)=0,CD72&gt;=p_GradeB),"B","C"))</f>
        <v>C</v>
      </c>
    </row>
    <row r="73" customFormat="false" ht="15" hidden="false" customHeight="false" outlineLevel="0" collapsed="false">
      <c r="A73" s="36" t="n">
        <v>45755</v>
      </c>
      <c r="B73" s="37" t="n">
        <v>26.15</v>
      </c>
      <c r="C73" s="37" t="n">
        <v>26.65</v>
      </c>
      <c r="D73" s="37" t="n">
        <v>26.06</v>
      </c>
      <c r="E73" s="37" t="n">
        <v>26.42</v>
      </c>
      <c r="F73" s="38" t="n">
        <v>3735200</v>
      </c>
      <c r="G73" s="39" t="n">
        <f aca="false">A73-WEEKDAY(A73,3)</f>
        <v>45754</v>
      </c>
      <c r="H73" s="40" t="n">
        <f aca="false">2/(p_EmaF+1)*E73+(1-2/(p_EmaF+1))*H72</f>
        <v>25.3716351426569</v>
      </c>
      <c r="I73" s="40" t="n">
        <f aca="false">2/(p_EmaS+1)*E73+(1-2/(p_EmaS+1))*I72</f>
        <v>24.8633679059742</v>
      </c>
      <c r="J73" s="41" t="n">
        <f aca="false">2/(p_MacdF+1)*E73+(1-2/(p_MacdF+1))*J72</f>
        <v>25.4231153928185</v>
      </c>
      <c r="K73" s="41" t="n">
        <f aca="false">2/(p_MacdS+1)*E73+(1-2/(p_MacdS+1))*K72</f>
        <v>24.8633679059742</v>
      </c>
      <c r="L73" s="41" t="n">
        <f aca="false">J73-K73</f>
        <v>0.559747486844302</v>
      </c>
      <c r="M73" s="41" t="n">
        <f aca="false">2/(p_MacdSig+1)*L73+(1-2/(p_MacdSig+1))*M72</f>
        <v>0.421107118670037</v>
      </c>
      <c r="N73" s="41" t="n">
        <f aca="false">L73-M73</f>
        <v>0.138640368174264</v>
      </c>
      <c r="O73" s="42" t="n">
        <f aca="false">IF(H73&gt;H72,1,0)</f>
        <v>1</v>
      </c>
      <c r="P73" s="42" t="n">
        <f aca="false">IF(H73&lt;H72,1,0)</f>
        <v>0</v>
      </c>
      <c r="Q73" s="42" t="n">
        <f aca="false">IF(N73&gt;N72,1,0)</f>
        <v>1</v>
      </c>
      <c r="R73" s="42" t="n">
        <f aca="false">IF(N73&lt;N72,1,0)</f>
        <v>0</v>
      </c>
      <c r="S73" s="42" t="n">
        <f aca="false">IF(AND(O73=1,Q73=1),1,IF(AND(P73=1,R73=1),-1,0))</f>
        <v>1</v>
      </c>
      <c r="T73" s="43" t="str">
        <f aca="false">IF(S73=1,"绿",IF(S73=-1,"红","蓝"))</f>
        <v>绿</v>
      </c>
      <c r="U73" s="44" t="n">
        <f aca="false">F73*(E73-E72)</f>
        <v>896448.000000008</v>
      </c>
      <c r="V73" s="44" t="n">
        <f aca="false">2/(p_FiS+1)*U73+(1-2/(p_FiS+1))*V72</f>
        <v>895028.009104946</v>
      </c>
      <c r="W73" s="44" t="n">
        <f aca="false">2/(p_FiL+1)*U73+(1-2/(p_FiL+1))*W72</f>
        <v>769080.590108358</v>
      </c>
      <c r="X73" s="41" t="n">
        <f aca="false">MAX(C73-D73,ABS(C73-E72),ABS(D73-E72))</f>
        <v>0.59</v>
      </c>
      <c r="Y73" s="41" t="n">
        <f aca="true">AVERAGE(OFFSET(X73,1-MIN(p_AtrN,ROW()-4),0,MIN(p_AtrN,ROW()-4),1))</f>
        <v>0.597692307692307</v>
      </c>
      <c r="Z73" s="41" t="n">
        <f aca="false">IF(AND(C73-C72&gt;D72-D73,C73-C72&gt;0),C73-C72,0)</f>
        <v>0.289999999999999</v>
      </c>
      <c r="AA73" s="41" t="n">
        <f aca="false">IF(AND(D72-D73&gt;C73-C72,D72-D73&gt;0),D72-D73,0)</f>
        <v>0</v>
      </c>
      <c r="AB73" s="41" t="n">
        <f aca="false">2/(p_AdxN+1)*X73+(1-2/(p_AdxN+1))*AB72</f>
        <v>0.615097382714896</v>
      </c>
      <c r="AC73" s="41" t="n">
        <f aca="false">2/(p_AdxN+1)*Z73+(1-2/(p_AdxN+1))*AC72</f>
        <v>0.22105320532205</v>
      </c>
      <c r="AD73" s="41" t="n">
        <f aca="false">2/(p_AdxN+1)*AA73+(1-2/(p_AdxN+1))*AD72</f>
        <v>0.0424963634039546</v>
      </c>
      <c r="AE73" s="45" t="n">
        <f aca="false">100*AC73/AB73</f>
        <v>35.9379199999799</v>
      </c>
      <c r="AF73" s="45" t="n">
        <f aca="false">100*AD73/AB73</f>
        <v>6.90888379599107</v>
      </c>
      <c r="AG73" s="45" t="n">
        <f aca="false">IFERROR(100*ABS(AE73-AF73)/(AE73+AF73),0)</f>
        <v>67.7507623257503</v>
      </c>
      <c r="AH73" s="45" t="n">
        <f aca="false">2/(p_AdxN+1)*AG73+(1-2/(p_AdxN+1))*AH72</f>
        <v>35.9823174098854</v>
      </c>
      <c r="AI73" s="40" t="n">
        <f aca="false">I73*(1+p_ChPct)</f>
        <v>26.3551699803327</v>
      </c>
      <c r="AJ73" s="40" t="n">
        <f aca="false">I73*(1-p_ChPct)</f>
        <v>23.3715658316158</v>
      </c>
      <c r="AK73" s="40" t="n">
        <f aca="false">I73+1*Y73</f>
        <v>25.4610602136665</v>
      </c>
      <c r="AL73" s="40" t="n">
        <f aca="false">I73+2*Y73</f>
        <v>26.0587525213589</v>
      </c>
      <c r="AM73" s="40" t="n">
        <f aca="false">I73+3*Y73</f>
        <v>26.6564448290512</v>
      </c>
      <c r="AN73" s="40" t="n">
        <f aca="false">I73-1*Y73</f>
        <v>24.2656755982819</v>
      </c>
      <c r="AO73" s="40" t="n">
        <f aca="false">I73-2*Y73</f>
        <v>23.6679832905896</v>
      </c>
      <c r="AP73" s="40" t="n">
        <f aca="false">I73-3*Y73</f>
        <v>23.0702909828973</v>
      </c>
      <c r="AQ73" s="40" t="n">
        <f aca="true">MAX(OFFSET(C73,1-MIN(p_StochN,ROW()-4),0,MIN(p_StochN,ROW()-4),1))</f>
        <v>26.65</v>
      </c>
      <c r="AR73" s="40" t="n">
        <f aca="true">MIN(OFFSET(D73,1-MIN(p_StochN,ROW()-4),0,MIN(p_StochN,ROW()-4),1))</f>
        <v>24.98</v>
      </c>
      <c r="AS73" s="45" t="n">
        <f aca="false">IF(AQ73=AR73,50,100*(E73-AR73)/(AQ73-AR73))</f>
        <v>86.2275449101798</v>
      </c>
      <c r="AT73" s="45" t="n">
        <f aca="true">AVERAGE(OFFSET(AS73,1-MIN(p_StochSm,ROW()-4),0,MIN(p_StochSm,ROW()-4),1))</f>
        <v>86.0452885957035</v>
      </c>
      <c r="AU73" s="45" t="n">
        <f aca="true">AVERAGE(OFFSET(AT73,1-MIN(p_StochSm,ROW()-4),0,MIN(p_StochSm,ROW()-4),1))</f>
        <v>88.8488847486783</v>
      </c>
      <c r="AV73" s="41" t="n">
        <f aca="false">MAX(0,H73-D73)</f>
        <v>0</v>
      </c>
      <c r="AW73" s="41" t="n">
        <f aca="true">IF(COUNTIF(OFFSET(AV73,1-MIN(p_PenLb,ROW()-4),0,MIN(p_PenLb,ROW()-4),1),"&gt;0")&gt;0,SUM(OFFSET(AV73,1-MIN(p_PenLb,ROW()-4),0,MIN(p_PenLb,ROW()-4),1))/COUNTIF(OFFSET(AV73,1-MIN(p_PenLb,ROW()-4),0,MIN(p_PenLb,ROW()-4),1),"&gt;0"),0.5*Y73)</f>
        <v>0.323405994268593</v>
      </c>
      <c r="AX73" s="41" t="n">
        <f aca="false">2*H73-H72</f>
        <v>25.5463626188807</v>
      </c>
      <c r="AY73" s="40" t="n">
        <f aca="false">ROUND(MAX(AX73-AW73,0.01),2)</f>
        <v>25.22</v>
      </c>
      <c r="AZ73" s="40" t="n">
        <f aca="true">IF(MIN(p_StopLb,ROW()-4)&lt;2,D73,SMALL(OFFSET(D73,1-MIN(p_StopLb,ROW()-4),0,MIN(p_StopLb,ROW()-4),1),2))</f>
        <v>24.17</v>
      </c>
      <c r="BA73" s="40" t="n">
        <f aca="false">IF(MOD(ROUND(ROUNDDOWN(MIN(AZ73-0.01,AY73-p_StopAtr*Y73),2)*100,0),50)=0,ROUNDDOWN(MIN(AZ73-0.01,AY73-p_StopAtr*Y73),2)-0.01,ROUNDDOWN(MIN(AZ73-0.01,AY73-p_StopAtr*Y73),2))</f>
        <v>24.16</v>
      </c>
      <c r="BB73" s="40" t="n">
        <f aca="false">ROUND(AI73,2)</f>
        <v>26.36</v>
      </c>
      <c r="BC73" s="40" t="n">
        <f aca="false">IF(AY73-BA73&gt;0,(BB73-AY73)/(AY73-BA73),0)</f>
        <v>1.07547169811321</v>
      </c>
      <c r="BD73" s="42" t="n">
        <f aca="false">IF(N73&lt;0,1,0)</f>
        <v>0</v>
      </c>
      <c r="BE73" s="41" t="n">
        <f aca="false">IF(AND(BD73=1,BD72=0),N73,IF(BD73=1,MIN(BE72,N73),BE72))</f>
        <v>-0.267100964273217</v>
      </c>
      <c r="BF73" s="40" t="n">
        <f aca="false">IF(AND(BD73=1,BD72=0),D73,IF(BD73=1,MIN(BF72,D73),BF72))</f>
        <v>23.24</v>
      </c>
      <c r="BG73" s="42" t="n">
        <f aca="false">IF(AND(BD73=1,BD72=0),ROW(),IF(BD73=1,IF(N73&lt;BE72,ROW(),BG72),BG72))</f>
        <v>52</v>
      </c>
      <c r="BH73" s="41" t="n">
        <f aca="false">IF(AND(BD73=1,BD72=0),BE72,BH72)</f>
        <v>-0.0234128043712021</v>
      </c>
      <c r="BI73" s="40" t="n">
        <f aca="false">IF(AND(BD73=1,BD72=0),BF72,BI72)</f>
        <v>19.42</v>
      </c>
      <c r="BJ73" s="42" t="n">
        <f aca="false">IF(AND(BD73=1,BD72=0),BG72,BJ72)</f>
        <v>10</v>
      </c>
      <c r="BK73" s="42" t="n">
        <f aca="false">IF(AND(ISNUMBER(BG73),ISNUMBER(BJ73)),BG73-BJ73,"")</f>
        <v>42</v>
      </c>
      <c r="BL73" s="42" t="n">
        <f aca="false">IF(AND(BD73=1,N73&gt;N72,ISNUMBER(BH73),ISNUMBER(BK73)),IF(AND(BE73&gt;BH73,BF73&lt;BI73,BK73&gt;=p_GapMin,BK73&lt;=p_GapMax),1,0),0)</f>
        <v>0</v>
      </c>
      <c r="BM73" s="42" t="n">
        <f aca="false">IF(AND(BL73=1,E73&gt;BI73),1,0)</f>
        <v>0</v>
      </c>
      <c r="BN73" s="42" t="n">
        <f aca="false">IF(BL73=1,IF(BE73&gt;=BH73*0.5,1,0),0)</f>
        <v>0</v>
      </c>
      <c r="BO73" s="42" t="n">
        <f aca="true">IF(V73&gt;MIN(OFFSET(V73,-MIN(p_FiLb-1,ROW()-5),0,MIN(p_FiLb-1,ROW()-5),1)),1,0)</f>
        <v>1</v>
      </c>
      <c r="BP73" s="44" t="n">
        <f aca="true">IF(COUNTIF(OFFSET(V73,1-MIN(100,ROW()-4),0,MIN(100,ROW()-4),1),"&lt;0")&gt;=5,AVERAGEIF(OFFSET(V73,1-MIN(100,ROW()-4),0,MIN(100,ROW()-4),1),"&lt;0"),"")</f>
        <v>-634255.058395353</v>
      </c>
      <c r="BQ73" s="42" t="n">
        <f aca="false">IF(ISNUMBER(BP73),IF(AND(V73&lt;5*BP73,V73&gt;V72,E73&lt;AJ73),1,0),0)</f>
        <v>0</v>
      </c>
      <c r="BR73" s="44" t="n">
        <f aca="true">AVERAGE(OFFSET(F73,1-MIN(5,ROW()-4),0,MIN(5,ROW()-4),1))</f>
        <v>3431400</v>
      </c>
      <c r="BS73" s="42" t="n">
        <f aca="false">IFERROR(IF(MATCH(G73,周线!$A$5:$A$84,0)&lt;=1,"",INDEX(周线!$R$5:$R$84,MATCH(G73,周线!$A$5:$A$84,0)-1)),"")</f>
        <v>1</v>
      </c>
      <c r="BT73" s="42" t="n">
        <f aca="false">IFERROR(IF(MATCH(G73,周线!$A$5:$A$84,0)&lt;=1,"",INDEX(周线!$S$5:$S$84,MATCH(G73,周线!$A$5:$A$84,0)-1)),"")</f>
        <v>1</v>
      </c>
      <c r="BU73" s="42" t="n">
        <f aca="false">IFERROR(IF(MATCH(G73,周线!$A$5:$A$84,0)&lt;=1,"",INDEX(周线!$U$5:$U$84,MATCH(G73,周线!$A$5:$A$84,0)-1)),"")</f>
        <v>1</v>
      </c>
      <c r="BV73" s="42" t="n">
        <f aca="false">IF(AND(BS73=1,S73&lt;&gt;-1,V73&lt;0,BO73=1,E73&lt;=H73,E73&gt;=AJ73),1,0)</f>
        <v>0</v>
      </c>
      <c r="BW73" s="42" t="n">
        <f aca="false">BL73</f>
        <v>0</v>
      </c>
      <c r="BX73" s="42" t="n">
        <f aca="false">BQ73</f>
        <v>0</v>
      </c>
      <c r="BY73" s="42" t="n">
        <f aca="false">IF(BS73=1,10,0)+IF(BU73=1,5,IF(BU73=-1,0,3))+IF(BT73=1,5,0)+IF(AND(AE73&gt;AF73,AH73&gt;AH72),5,0)</f>
        <v>25</v>
      </c>
      <c r="BZ73" s="42" t="n">
        <f aca="false">IF(AND(E73&lt;=H73,E73&gt;=I73),10,IF(AND(E73&gt;=AJ73,E73&lt;I73),6,0))+IF(AND(V73&lt;0,BO73=1),8,0)+IF(AT73&lt;30,7,IF(AT73&lt;50,3,0))</f>
        <v>0</v>
      </c>
      <c r="CA73" s="42" t="n">
        <f aca="false">IF(AND(BV73=1,BW73=1),25,IF(BW73=1,22,IF(BV73=1,15,IF(BX73=1,12,0))))</f>
        <v>0</v>
      </c>
      <c r="CB73" s="42" t="n">
        <f aca="false">IF(W73&gt;0,6,0)+IF(F73&lt;BR73,4,0)</f>
        <v>6</v>
      </c>
      <c r="CC73" s="42" t="n">
        <f aca="false">IF(BC73&gt;=3,15,IF(BC73&gt;=p_RRmin,10,IF(BC73&gt;=1.5,4,0)))</f>
        <v>0</v>
      </c>
      <c r="CD73" s="42" t="n">
        <f aca="false">BY73+BZ73+CA73+CB73+CC73</f>
        <v>31</v>
      </c>
      <c r="CE73" s="42" t="n">
        <f aca="false">IF(AND(BS73&lt;&gt;1,BW73+BX73=0),1,0)</f>
        <v>0</v>
      </c>
      <c r="CF73" s="42" t="n">
        <f aca="false">IF(BU73=-1,1,0)</f>
        <v>0</v>
      </c>
      <c r="CG73" s="42" t="n">
        <f aca="false">IF(S73=-1,1,0)</f>
        <v>0</v>
      </c>
      <c r="CH73" s="42" t="n">
        <f aca="false">IF(BV73+BW73+BX73=0,1,0)</f>
        <v>1</v>
      </c>
      <c r="CI73" s="42" t="n">
        <f aca="false">IF(BC73&lt;p_RRmin,1,0)</f>
        <v>1</v>
      </c>
      <c r="CJ73" s="46" t="str">
        <f aca="false">IF(SUM(CE73:CI73)=0,IF(CD73&gt;=p_GradeA,"A",IF(CD73&gt;=p_GradeB,"B","C")),IF(AND(CI73=1,SUM(CE73:CH73)=0,CD73&gt;=p_GradeB),"B","C"))</f>
        <v>C</v>
      </c>
    </row>
    <row r="74" customFormat="false" ht="15" hidden="false" customHeight="false" outlineLevel="0" collapsed="false">
      <c r="A74" s="36" t="n">
        <v>45756</v>
      </c>
      <c r="B74" s="37" t="n">
        <v>26.42</v>
      </c>
      <c r="C74" s="37" t="n">
        <v>26.84</v>
      </c>
      <c r="D74" s="37" t="n">
        <v>26.34</v>
      </c>
      <c r="E74" s="37" t="n">
        <v>26.7</v>
      </c>
      <c r="F74" s="38" t="n">
        <v>4823100</v>
      </c>
      <c r="G74" s="39" t="n">
        <f aca="false">A74-WEEKDAY(A74,3)</f>
        <v>45754</v>
      </c>
      <c r="H74" s="40" t="n">
        <f aca="false">2/(p_EmaF+1)*E74+(1-2/(p_EmaF+1))*H73</f>
        <v>25.5614015508488</v>
      </c>
      <c r="I74" s="40" t="n">
        <f aca="false">2/(p_EmaS+1)*E74+(1-2/(p_EmaS+1))*I73</f>
        <v>24.9994147277539</v>
      </c>
      <c r="J74" s="41" t="n">
        <f aca="false">2/(p_MacdF+1)*E74+(1-2/(p_MacdF+1))*J73</f>
        <v>25.6195591785388</v>
      </c>
      <c r="K74" s="41" t="n">
        <f aca="false">2/(p_MacdS+1)*E74+(1-2/(p_MacdS+1))*K73</f>
        <v>24.9994147277539</v>
      </c>
      <c r="L74" s="41" t="n">
        <f aca="false">J74-K74</f>
        <v>0.620144450784839</v>
      </c>
      <c r="M74" s="41" t="n">
        <f aca="false">2/(p_MacdSig+1)*L74+(1-2/(p_MacdSig+1))*M73</f>
        <v>0.460914585092998</v>
      </c>
      <c r="N74" s="41" t="n">
        <f aca="false">L74-M74</f>
        <v>0.159229865691841</v>
      </c>
      <c r="O74" s="42" t="n">
        <f aca="false">IF(H74&gt;H73,1,0)</f>
        <v>1</v>
      </c>
      <c r="P74" s="42" t="n">
        <f aca="false">IF(H74&lt;H73,1,0)</f>
        <v>0</v>
      </c>
      <c r="Q74" s="42" t="n">
        <f aca="false">IF(N74&gt;N73,1,0)</f>
        <v>1</v>
      </c>
      <c r="R74" s="42" t="n">
        <f aca="false">IF(N74&lt;N73,1,0)</f>
        <v>0</v>
      </c>
      <c r="S74" s="42" t="n">
        <f aca="false">IF(AND(O74=1,Q74=1),1,IF(AND(P74=1,R74=1),-1,0))</f>
        <v>1</v>
      </c>
      <c r="T74" s="43" t="str">
        <f aca="false">IF(S74=1,"绿",IF(S74=-1,"红","蓝"))</f>
        <v>绿</v>
      </c>
      <c r="U74" s="44" t="n">
        <f aca="false">F74*(E74-E73)</f>
        <v>1350467.99999999</v>
      </c>
      <c r="V74" s="44" t="n">
        <f aca="false">2/(p_FiS+1)*U74+(1-2/(p_FiS+1))*V73</f>
        <v>1198654.66970164</v>
      </c>
      <c r="W74" s="44" t="n">
        <f aca="false">2/(p_FiL+1)*U74+(1-2/(p_FiL+1))*W73</f>
        <v>852135.934378591</v>
      </c>
      <c r="X74" s="41" t="n">
        <f aca="false">MAX(C74-D74,ABS(C74-E73),ABS(D74-E73))</f>
        <v>0.5</v>
      </c>
      <c r="Y74" s="41" t="n">
        <f aca="true">AVERAGE(OFFSET(X74,1-MIN(p_AtrN,ROW()-4),0,MIN(p_AtrN,ROW()-4),1))</f>
        <v>0.605384615384615</v>
      </c>
      <c r="Z74" s="41" t="n">
        <f aca="false">IF(AND(C74-C73&gt;D73-D74,C74-C73&gt;0),C74-C73,0)</f>
        <v>0.190000000000001</v>
      </c>
      <c r="AA74" s="41" t="n">
        <f aca="false">IF(AND(D73-D74&gt;C74-C73,D73-D74&gt;0),D73-D74,0)</f>
        <v>0</v>
      </c>
      <c r="AB74" s="41" t="n">
        <f aca="false">2/(p_AdxN+1)*X74+(1-2/(p_AdxN+1))*AB73</f>
        <v>0.598654899469911</v>
      </c>
      <c r="AC74" s="41" t="n">
        <f aca="false">2/(p_AdxN+1)*Z74+(1-2/(p_AdxN+1))*AC73</f>
        <v>0.216617033133186</v>
      </c>
      <c r="AD74" s="41" t="n">
        <f aca="false">2/(p_AdxN+1)*AA74+(1-2/(p_AdxN+1))*AD73</f>
        <v>0.0364254543462468</v>
      </c>
      <c r="AE74" s="45" t="n">
        <f aca="false">100*AC74/AB74</f>
        <v>36.1839572890814</v>
      </c>
      <c r="AF74" s="45" t="n">
        <f aca="false">100*AD74/AB74</f>
        <v>6.08454960921566</v>
      </c>
      <c r="AG74" s="45" t="n">
        <f aca="false">IFERROR(100*ABS(AE74-AF74)/(AE74+AF74),0)</f>
        <v>71.2100092683387</v>
      </c>
      <c r="AH74" s="45" t="n">
        <f aca="false">2/(p_AdxN+1)*AG74+(1-2/(p_AdxN+1))*AH73</f>
        <v>41.0148448182359</v>
      </c>
      <c r="AI74" s="40" t="n">
        <f aca="false">I74*(1+p_ChPct)</f>
        <v>26.4993796114192</v>
      </c>
      <c r="AJ74" s="40" t="n">
        <f aca="false">I74*(1-p_ChPct)</f>
        <v>23.4994498440887</v>
      </c>
      <c r="AK74" s="40" t="n">
        <f aca="false">I74+1*Y74</f>
        <v>25.6047993431385</v>
      </c>
      <c r="AL74" s="40" t="n">
        <f aca="false">I74+2*Y74</f>
        <v>26.2101839585232</v>
      </c>
      <c r="AM74" s="40" t="n">
        <f aca="false">I74+3*Y74</f>
        <v>26.8155685739078</v>
      </c>
      <c r="AN74" s="40" t="n">
        <f aca="false">I74-1*Y74</f>
        <v>24.3940301123693</v>
      </c>
      <c r="AO74" s="40" t="n">
        <f aca="false">I74-2*Y74</f>
        <v>23.7886454969847</v>
      </c>
      <c r="AP74" s="40" t="n">
        <f aca="false">I74-3*Y74</f>
        <v>23.1832608816001</v>
      </c>
      <c r="AQ74" s="40" t="n">
        <f aca="true">MAX(OFFSET(C74,1-MIN(p_StochN,ROW()-4),0,MIN(p_StochN,ROW()-4),1))</f>
        <v>26.84</v>
      </c>
      <c r="AR74" s="40" t="n">
        <f aca="true">MIN(OFFSET(D74,1-MIN(p_StochN,ROW()-4),0,MIN(p_StochN,ROW()-4),1))</f>
        <v>24.98</v>
      </c>
      <c r="AS74" s="45" t="n">
        <f aca="false">IF(AQ74=AR74,50,100*(E74-AR74)/(AQ74-AR74))</f>
        <v>92.4731182795699</v>
      </c>
      <c r="AT74" s="45" t="n">
        <f aca="true">AVERAGE(OFFSET(AS74,1-MIN(p_StochSm,ROW()-4),0,MIN(p_StochSm,ROW()-4),1))</f>
        <v>86.974295137324</v>
      </c>
      <c r="AU74" s="45" t="n">
        <f aca="true">AVERAGE(OFFSET(AT74,1-MIN(p_StochSm,ROW()-4),0,MIN(p_StochSm,ROW()-4),1))</f>
        <v>87.2579900872989</v>
      </c>
      <c r="AV74" s="41" t="n">
        <f aca="false">MAX(0,H74-D74)</f>
        <v>0</v>
      </c>
      <c r="AW74" s="41" t="n">
        <f aca="true">IF(COUNTIF(OFFSET(AV74,1-MIN(p_PenLb,ROW()-4),0,MIN(p_PenLb,ROW()-4),1),"&gt;0")&gt;0,SUM(OFFSET(AV74,1-MIN(p_PenLb,ROW()-4),0,MIN(p_PenLb,ROW()-4),1))/COUNTIF(OFFSET(AV74,1-MIN(p_PenLb,ROW()-4),0,MIN(p_PenLb,ROW()-4),1),"&gt;0"),0.5*Y74)</f>
        <v>0.323405994268593</v>
      </c>
      <c r="AX74" s="41" t="n">
        <f aca="false">2*H74-H73</f>
        <v>25.7511679590406</v>
      </c>
      <c r="AY74" s="40" t="n">
        <f aca="false">ROUND(MAX(AX74-AW74,0.01),2)</f>
        <v>25.43</v>
      </c>
      <c r="AZ74" s="40" t="n">
        <f aca="true">IF(MIN(p_StopLb,ROW()-4)&lt;2,D74,SMALL(OFFSET(D74,1-MIN(p_StopLb,ROW()-4),0,MIN(p_StopLb,ROW()-4),1),2))</f>
        <v>24.26</v>
      </c>
      <c r="BA74" s="40" t="n">
        <f aca="false">IF(MOD(ROUND(ROUNDDOWN(MIN(AZ74-0.01,AY74-p_StopAtr*Y74),2)*100,0),50)=0,ROUNDDOWN(MIN(AZ74-0.01,AY74-p_StopAtr*Y74),2)-0.01,ROUNDDOWN(MIN(AZ74-0.01,AY74-p_StopAtr*Y74),2))</f>
        <v>24.25</v>
      </c>
      <c r="BB74" s="40" t="n">
        <f aca="false">ROUND(AI74,2)</f>
        <v>26.5</v>
      </c>
      <c r="BC74" s="40" t="n">
        <f aca="false">IF(AY74-BA74&gt;0,(BB74-AY74)/(AY74-BA74),0)</f>
        <v>0.90677966101695</v>
      </c>
      <c r="BD74" s="42" t="n">
        <f aca="false">IF(N74&lt;0,1,0)</f>
        <v>0</v>
      </c>
      <c r="BE74" s="41" t="n">
        <f aca="false">IF(AND(BD74=1,BD73=0),N74,IF(BD74=1,MIN(BE73,N74),BE73))</f>
        <v>-0.267100964273217</v>
      </c>
      <c r="BF74" s="40" t="n">
        <f aca="false">IF(AND(BD74=1,BD73=0),D74,IF(BD74=1,MIN(BF73,D74),BF73))</f>
        <v>23.24</v>
      </c>
      <c r="BG74" s="42" t="n">
        <f aca="false">IF(AND(BD74=1,BD73=0),ROW(),IF(BD74=1,IF(N74&lt;BE73,ROW(),BG73),BG73))</f>
        <v>52</v>
      </c>
      <c r="BH74" s="41" t="n">
        <f aca="false">IF(AND(BD74=1,BD73=0),BE73,BH73)</f>
        <v>-0.0234128043712021</v>
      </c>
      <c r="BI74" s="40" t="n">
        <f aca="false">IF(AND(BD74=1,BD73=0),BF73,BI73)</f>
        <v>19.42</v>
      </c>
      <c r="BJ74" s="42" t="n">
        <f aca="false">IF(AND(BD74=1,BD73=0),BG73,BJ73)</f>
        <v>10</v>
      </c>
      <c r="BK74" s="42" t="n">
        <f aca="false">IF(AND(ISNUMBER(BG74),ISNUMBER(BJ74)),BG74-BJ74,"")</f>
        <v>42</v>
      </c>
      <c r="BL74" s="42" t="n">
        <f aca="false">IF(AND(BD74=1,N74&gt;N73,ISNUMBER(BH74),ISNUMBER(BK74)),IF(AND(BE74&gt;BH74,BF74&lt;BI74,BK74&gt;=p_GapMin,BK74&lt;=p_GapMax),1,0),0)</f>
        <v>0</v>
      </c>
      <c r="BM74" s="42" t="n">
        <f aca="false">IF(AND(BL74=1,E74&gt;BI74),1,0)</f>
        <v>0</v>
      </c>
      <c r="BN74" s="42" t="n">
        <f aca="false">IF(BL74=1,IF(BE74&gt;=BH74*0.5,1,0),0)</f>
        <v>0</v>
      </c>
      <c r="BO74" s="42" t="n">
        <f aca="true">IF(V74&gt;MIN(OFFSET(V74,-MIN(p_FiLb-1,ROW()-5),0,MIN(p_FiLb-1,ROW()-5),1)),1,0)</f>
        <v>1</v>
      </c>
      <c r="BP74" s="44" t="n">
        <f aca="true">IF(COUNTIF(OFFSET(V74,1-MIN(100,ROW()-4),0,MIN(100,ROW()-4),1),"&lt;0")&gt;=5,AVERAGEIF(OFFSET(V74,1-MIN(100,ROW()-4),0,MIN(100,ROW()-4),1),"&lt;0"),"")</f>
        <v>-634255.058395353</v>
      </c>
      <c r="BQ74" s="42" t="n">
        <f aca="false">IF(ISNUMBER(BP74),IF(AND(V74&lt;5*BP74,V74&gt;V73,E74&lt;AJ74),1,0),0)</f>
        <v>0</v>
      </c>
      <c r="BR74" s="44" t="n">
        <f aca="true">AVERAGE(OFFSET(F74,1-MIN(5,ROW()-4),0,MIN(5,ROW()-4),1))</f>
        <v>3809060</v>
      </c>
      <c r="BS74" s="42" t="n">
        <f aca="false">IFERROR(IF(MATCH(G74,周线!$A$5:$A$84,0)&lt;=1,"",INDEX(周线!$R$5:$R$84,MATCH(G74,周线!$A$5:$A$84,0)-1)),"")</f>
        <v>1</v>
      </c>
      <c r="BT74" s="42" t="n">
        <f aca="false">IFERROR(IF(MATCH(G74,周线!$A$5:$A$84,0)&lt;=1,"",INDEX(周线!$S$5:$S$84,MATCH(G74,周线!$A$5:$A$84,0)-1)),"")</f>
        <v>1</v>
      </c>
      <c r="BU74" s="42" t="n">
        <f aca="false">IFERROR(IF(MATCH(G74,周线!$A$5:$A$84,0)&lt;=1,"",INDEX(周线!$U$5:$U$84,MATCH(G74,周线!$A$5:$A$84,0)-1)),"")</f>
        <v>1</v>
      </c>
      <c r="BV74" s="42" t="n">
        <f aca="false">IF(AND(BS74=1,S74&lt;&gt;-1,V74&lt;0,BO74=1,E74&lt;=H74,E74&gt;=AJ74),1,0)</f>
        <v>0</v>
      </c>
      <c r="BW74" s="42" t="n">
        <f aca="false">BL74</f>
        <v>0</v>
      </c>
      <c r="BX74" s="42" t="n">
        <f aca="false">BQ74</f>
        <v>0</v>
      </c>
      <c r="BY74" s="42" t="n">
        <f aca="false">IF(BS74=1,10,0)+IF(BU74=1,5,IF(BU74=-1,0,3))+IF(BT74=1,5,0)+IF(AND(AE74&gt;AF74,AH74&gt;AH73),5,0)</f>
        <v>25</v>
      </c>
      <c r="BZ74" s="42" t="n">
        <f aca="false">IF(AND(E74&lt;=H74,E74&gt;=I74),10,IF(AND(E74&gt;=AJ74,E74&lt;I74),6,0))+IF(AND(V74&lt;0,BO74=1),8,0)+IF(AT74&lt;30,7,IF(AT74&lt;50,3,0))</f>
        <v>0</v>
      </c>
      <c r="CA74" s="42" t="n">
        <f aca="false">IF(AND(BV74=1,BW74=1),25,IF(BW74=1,22,IF(BV74=1,15,IF(BX74=1,12,0))))</f>
        <v>0</v>
      </c>
      <c r="CB74" s="42" t="n">
        <f aca="false">IF(W74&gt;0,6,0)+IF(F74&lt;BR74,4,0)</f>
        <v>6</v>
      </c>
      <c r="CC74" s="42" t="n">
        <f aca="false">IF(BC74&gt;=3,15,IF(BC74&gt;=p_RRmin,10,IF(BC74&gt;=1.5,4,0)))</f>
        <v>0</v>
      </c>
      <c r="CD74" s="42" t="n">
        <f aca="false">BY74+BZ74+CA74+CB74+CC74</f>
        <v>31</v>
      </c>
      <c r="CE74" s="42" t="n">
        <f aca="false">IF(AND(BS74&lt;&gt;1,BW74+BX74=0),1,0)</f>
        <v>0</v>
      </c>
      <c r="CF74" s="42" t="n">
        <f aca="false">IF(BU74=-1,1,0)</f>
        <v>0</v>
      </c>
      <c r="CG74" s="42" t="n">
        <f aca="false">IF(S74=-1,1,0)</f>
        <v>0</v>
      </c>
      <c r="CH74" s="42" t="n">
        <f aca="false">IF(BV74+BW74+BX74=0,1,0)</f>
        <v>1</v>
      </c>
      <c r="CI74" s="42" t="n">
        <f aca="false">IF(BC74&lt;p_RRmin,1,0)</f>
        <v>1</v>
      </c>
      <c r="CJ74" s="46" t="str">
        <f aca="false">IF(SUM(CE74:CI74)=0,IF(CD74&gt;=p_GradeA,"A",IF(CD74&gt;=p_GradeB,"B","C")),IF(AND(CI74=1,SUM(CE74:CH74)=0,CD74&gt;=p_GradeB),"B","C"))</f>
        <v>C</v>
      </c>
    </row>
    <row r="75" customFormat="false" ht="15" hidden="false" customHeight="false" outlineLevel="0" collapsed="false">
      <c r="A75" s="36" t="n">
        <v>45757</v>
      </c>
      <c r="B75" s="37" t="n">
        <v>26.71</v>
      </c>
      <c r="C75" s="37" t="n">
        <v>27.03</v>
      </c>
      <c r="D75" s="37" t="n">
        <v>26.31</v>
      </c>
      <c r="E75" s="37" t="n">
        <v>26.49</v>
      </c>
      <c r="F75" s="38" t="n">
        <v>2879500</v>
      </c>
      <c r="G75" s="39" t="n">
        <f aca="false">A75-WEEKDAY(A75,3)</f>
        <v>45754</v>
      </c>
      <c r="H75" s="40" t="n">
        <f aca="false">2/(p_EmaF+1)*E75+(1-2/(p_EmaF+1))*H74</f>
        <v>25.6940584721561</v>
      </c>
      <c r="I75" s="40" t="n">
        <f aca="false">2/(p_EmaS+1)*E75+(1-2/(p_EmaS+1))*I74</f>
        <v>25.109828451624</v>
      </c>
      <c r="J75" s="41" t="n">
        <f aca="false">2/(p_MacdF+1)*E75+(1-2/(p_MacdF+1))*J74</f>
        <v>25.7534731510713</v>
      </c>
      <c r="K75" s="41" t="n">
        <f aca="false">2/(p_MacdS+1)*E75+(1-2/(p_MacdS+1))*K74</f>
        <v>25.109828451624</v>
      </c>
      <c r="L75" s="41" t="n">
        <f aca="false">J75-K75</f>
        <v>0.643644699447254</v>
      </c>
      <c r="M75" s="41" t="n">
        <f aca="false">2/(p_MacdSig+1)*L75+(1-2/(p_MacdSig+1))*M74</f>
        <v>0.497460607963849</v>
      </c>
      <c r="N75" s="41" t="n">
        <f aca="false">L75-M75</f>
        <v>0.146184091483405</v>
      </c>
      <c r="O75" s="42" t="n">
        <f aca="false">IF(H75&gt;H74,1,0)</f>
        <v>1</v>
      </c>
      <c r="P75" s="42" t="n">
        <f aca="false">IF(H75&lt;H74,1,0)</f>
        <v>0</v>
      </c>
      <c r="Q75" s="42" t="n">
        <f aca="false">IF(N75&gt;N74,1,0)</f>
        <v>0</v>
      </c>
      <c r="R75" s="42" t="n">
        <f aca="false">IF(N75&lt;N74,1,0)</f>
        <v>1</v>
      </c>
      <c r="S75" s="42" t="n">
        <f aca="false">IF(AND(O75=1,Q75=1),1,IF(AND(P75=1,R75=1),-1,0))</f>
        <v>0</v>
      </c>
      <c r="T75" s="43" t="str">
        <f aca="false">IF(S75=1,"绿",IF(S75=-1,"红","蓝"))</f>
        <v>蓝</v>
      </c>
      <c r="U75" s="44" t="n">
        <f aca="false">F75*(E75-E74)</f>
        <v>-604695.000000002</v>
      </c>
      <c r="V75" s="44" t="n">
        <f aca="false">2/(p_FiS+1)*U75+(1-2/(p_FiS+1))*V74</f>
        <v>-3578.44343278796</v>
      </c>
      <c r="W75" s="44" t="n">
        <f aca="false">2/(p_FiL+1)*U75+(1-2/(p_FiL+1))*W74</f>
        <v>644017.229467363</v>
      </c>
      <c r="X75" s="41" t="n">
        <f aca="false">MAX(C75-D75,ABS(C75-E74),ABS(D75-E74))</f>
        <v>0.720000000000002</v>
      </c>
      <c r="Y75" s="41" t="n">
        <f aca="true">AVERAGE(OFFSET(X75,1-MIN(p_AtrN,ROW()-4),0,MIN(p_AtrN,ROW()-4),1))</f>
        <v>0.622307692307692</v>
      </c>
      <c r="Z75" s="41" t="n">
        <f aca="false">IF(AND(C75-C74&gt;D74-D75,C75-C74&gt;0),C75-C74,0)</f>
        <v>0.190000000000001</v>
      </c>
      <c r="AA75" s="41" t="n">
        <f aca="false">IF(AND(D74-D75&gt;C75-C74,D74-D75&gt;0),D74-D75,0)</f>
        <v>0</v>
      </c>
      <c r="AB75" s="41" t="n">
        <f aca="false">2/(p_AdxN+1)*X75+(1-2/(p_AdxN+1))*AB74</f>
        <v>0.615989913831352</v>
      </c>
      <c r="AC75" s="41" t="n">
        <f aca="false">2/(p_AdxN+1)*Z75+(1-2/(p_AdxN+1))*AC74</f>
        <v>0.212814599828445</v>
      </c>
      <c r="AD75" s="41" t="n">
        <f aca="false">2/(p_AdxN+1)*AA75+(1-2/(p_AdxN+1))*AD74</f>
        <v>0.0312218180110687</v>
      </c>
      <c r="AE75" s="45" t="n">
        <f aca="false">100*AC75/AB75</f>
        <v>34.5483903307401</v>
      </c>
      <c r="AF75" s="45" t="n">
        <f aca="false">100*AD75/AB75</f>
        <v>5.06855994067733</v>
      </c>
      <c r="AG75" s="45" t="n">
        <f aca="false">IFERROR(100*ABS(AE75-AF75)/(AE75+AF75),0)</f>
        <v>74.4121649649839</v>
      </c>
      <c r="AH75" s="45" t="n">
        <f aca="false">2/(p_AdxN+1)*AG75+(1-2/(p_AdxN+1))*AH74</f>
        <v>45.7858905534856</v>
      </c>
      <c r="AI75" s="40" t="n">
        <f aca="false">I75*(1+p_ChPct)</f>
        <v>26.6164181587214</v>
      </c>
      <c r="AJ75" s="40" t="n">
        <f aca="false">I75*(1-p_ChPct)</f>
        <v>23.6032387445266</v>
      </c>
      <c r="AK75" s="40" t="n">
        <f aca="false">I75+1*Y75</f>
        <v>25.7321361439317</v>
      </c>
      <c r="AL75" s="40" t="n">
        <f aca="false">I75+2*Y75</f>
        <v>26.3544438362394</v>
      </c>
      <c r="AM75" s="40" t="n">
        <f aca="false">I75+3*Y75</f>
        <v>26.9767515285471</v>
      </c>
      <c r="AN75" s="40" t="n">
        <f aca="false">I75-1*Y75</f>
        <v>24.4875207593163</v>
      </c>
      <c r="AO75" s="40" t="n">
        <f aca="false">I75-2*Y75</f>
        <v>23.8652130670086</v>
      </c>
      <c r="AP75" s="40" t="n">
        <f aca="false">I75-3*Y75</f>
        <v>23.2429053747009</v>
      </c>
      <c r="AQ75" s="40" t="n">
        <f aca="true">MAX(OFFSET(C75,1-MIN(p_StochN,ROW()-4),0,MIN(p_StochN,ROW()-4),1))</f>
        <v>27.03</v>
      </c>
      <c r="AR75" s="40" t="n">
        <f aca="true">MIN(OFFSET(D75,1-MIN(p_StochN,ROW()-4),0,MIN(p_StochN,ROW()-4),1))</f>
        <v>24.98</v>
      </c>
      <c r="AS75" s="45" t="n">
        <f aca="false">IF(AQ75=AR75,50,100*(E75-AR75)/(AQ75-AR75))</f>
        <v>73.6585365853657</v>
      </c>
      <c r="AT75" s="45" t="n">
        <f aca="true">AVERAGE(OFFSET(AS75,1-MIN(p_StochSm,ROW()-4),0,MIN(p_StochSm,ROW()-4),1))</f>
        <v>84.1197332583718</v>
      </c>
      <c r="AU75" s="45" t="n">
        <f aca="true">AVERAGE(OFFSET(AT75,1-MIN(p_StochSm,ROW()-4),0,MIN(p_StochSm,ROW()-4),1))</f>
        <v>85.7131056637998</v>
      </c>
      <c r="AV75" s="41" t="n">
        <f aca="false">MAX(0,H75-D75)</f>
        <v>0</v>
      </c>
      <c r="AW75" s="41" t="n">
        <f aca="true">IF(COUNTIF(OFFSET(AV75,1-MIN(p_PenLb,ROW()-4),0,MIN(p_PenLb,ROW()-4),1),"&gt;0")&gt;0,SUM(OFFSET(AV75,1-MIN(p_PenLb,ROW()-4),0,MIN(p_PenLb,ROW()-4),1))/COUNTIF(OFFSET(AV75,1-MIN(p_PenLb,ROW()-4),0,MIN(p_PenLb,ROW()-4),1),"&gt;0"),0.5*Y75)</f>
        <v>0.323405994268593</v>
      </c>
      <c r="AX75" s="41" t="n">
        <f aca="false">2*H75-H74</f>
        <v>25.8267153934634</v>
      </c>
      <c r="AY75" s="40" t="n">
        <f aca="false">ROUND(MAX(AX75-AW75,0.01),2)</f>
        <v>25.5</v>
      </c>
      <c r="AZ75" s="40" t="n">
        <f aca="true">IF(MIN(p_StopLb,ROW()-4)&lt;2,D75,SMALL(OFFSET(D75,1-MIN(p_StopLb,ROW()-4),0,MIN(p_StopLb,ROW()-4),1),2))</f>
        <v>24.27</v>
      </c>
      <c r="BA75" s="40" t="n">
        <f aca="false">IF(MOD(ROUND(ROUNDDOWN(MIN(AZ75-0.01,AY75-p_StopAtr*Y75),2)*100,0),50)=0,ROUNDDOWN(MIN(AZ75-0.01,AY75-p_StopAtr*Y75),2)-0.01,ROUNDDOWN(MIN(AZ75-0.01,AY75-p_StopAtr*Y75),2))</f>
        <v>24.26</v>
      </c>
      <c r="BB75" s="40" t="n">
        <f aca="false">ROUND(AI75,2)</f>
        <v>26.62</v>
      </c>
      <c r="BC75" s="40" t="n">
        <f aca="false">IF(AY75-BA75&gt;0,(BB75-AY75)/(AY75-BA75),0)</f>
        <v>0.903225806451615</v>
      </c>
      <c r="BD75" s="42" t="n">
        <f aca="false">IF(N75&lt;0,1,0)</f>
        <v>0</v>
      </c>
      <c r="BE75" s="41" t="n">
        <f aca="false">IF(AND(BD75=1,BD74=0),N75,IF(BD75=1,MIN(BE74,N75),BE74))</f>
        <v>-0.267100964273217</v>
      </c>
      <c r="BF75" s="40" t="n">
        <f aca="false">IF(AND(BD75=1,BD74=0),D75,IF(BD75=1,MIN(BF74,D75),BF74))</f>
        <v>23.24</v>
      </c>
      <c r="BG75" s="42" t="n">
        <f aca="false">IF(AND(BD75=1,BD74=0),ROW(),IF(BD75=1,IF(N75&lt;BE74,ROW(),BG74),BG74))</f>
        <v>52</v>
      </c>
      <c r="BH75" s="41" t="n">
        <f aca="false">IF(AND(BD75=1,BD74=0),BE74,BH74)</f>
        <v>-0.0234128043712021</v>
      </c>
      <c r="BI75" s="40" t="n">
        <f aca="false">IF(AND(BD75=1,BD74=0),BF74,BI74)</f>
        <v>19.42</v>
      </c>
      <c r="BJ75" s="42" t="n">
        <f aca="false">IF(AND(BD75=1,BD74=0),BG74,BJ74)</f>
        <v>10</v>
      </c>
      <c r="BK75" s="42" t="n">
        <f aca="false">IF(AND(ISNUMBER(BG75),ISNUMBER(BJ75)),BG75-BJ75,"")</f>
        <v>42</v>
      </c>
      <c r="BL75" s="42" t="n">
        <f aca="false">IF(AND(BD75=1,N75&gt;N74,ISNUMBER(BH75),ISNUMBER(BK75)),IF(AND(BE75&gt;BH75,BF75&lt;BI75,BK75&gt;=p_GapMin,BK75&lt;=p_GapMax),1,0),0)</f>
        <v>0</v>
      </c>
      <c r="BM75" s="42" t="n">
        <f aca="false">IF(AND(BL75=1,E75&gt;BI75),1,0)</f>
        <v>0</v>
      </c>
      <c r="BN75" s="42" t="n">
        <f aca="false">IF(BL75=1,IF(BE75&gt;=BH75*0.5,1,0),0)</f>
        <v>0</v>
      </c>
      <c r="BO75" s="42" t="n">
        <f aca="true">IF(V75&gt;MIN(OFFSET(V75,-MIN(p_FiLb-1,ROW()-5),0,MIN(p_FiLb-1,ROW()-5),1)),1,0)</f>
        <v>1</v>
      </c>
      <c r="BP75" s="44" t="n">
        <f aca="true">IF(COUNTIF(OFFSET(V75,1-MIN(100,ROW()-4),0,MIN(100,ROW()-4),1),"&lt;0")&gt;=5,AVERAGEIF(OFFSET(V75,1-MIN(100,ROW()-4),0,MIN(100,ROW()-4),1),"&lt;0"),"")</f>
        <v>-606834.336005676</v>
      </c>
      <c r="BQ75" s="42" t="n">
        <f aca="false">IF(ISNUMBER(BP75),IF(AND(V75&lt;5*BP75,V75&gt;V74,E75&lt;AJ75),1,0),0)</f>
        <v>0</v>
      </c>
      <c r="BR75" s="44" t="n">
        <f aca="true">AVERAGE(OFFSET(F75,1-MIN(5,ROW()-4),0,MIN(5,ROW()-4),1))</f>
        <v>3837660</v>
      </c>
      <c r="BS75" s="42" t="n">
        <f aca="false">IFERROR(IF(MATCH(G75,周线!$A$5:$A$84,0)&lt;=1,"",INDEX(周线!$R$5:$R$84,MATCH(G75,周线!$A$5:$A$84,0)-1)),"")</f>
        <v>1</v>
      </c>
      <c r="BT75" s="42" t="n">
        <f aca="false">IFERROR(IF(MATCH(G75,周线!$A$5:$A$84,0)&lt;=1,"",INDEX(周线!$S$5:$S$84,MATCH(G75,周线!$A$5:$A$84,0)-1)),"")</f>
        <v>1</v>
      </c>
      <c r="BU75" s="42" t="n">
        <f aca="false">IFERROR(IF(MATCH(G75,周线!$A$5:$A$84,0)&lt;=1,"",INDEX(周线!$U$5:$U$84,MATCH(G75,周线!$A$5:$A$84,0)-1)),"")</f>
        <v>1</v>
      </c>
      <c r="BV75" s="42" t="n">
        <f aca="false">IF(AND(BS75=1,S75&lt;&gt;-1,V75&lt;0,BO75=1,E75&lt;=H75,E75&gt;=AJ75),1,0)</f>
        <v>0</v>
      </c>
      <c r="BW75" s="42" t="n">
        <f aca="false">BL75</f>
        <v>0</v>
      </c>
      <c r="BX75" s="42" t="n">
        <f aca="false">BQ75</f>
        <v>0</v>
      </c>
      <c r="BY75" s="42" t="n">
        <f aca="false">IF(BS75=1,10,0)+IF(BU75=1,5,IF(BU75=-1,0,3))+IF(BT75=1,5,0)+IF(AND(AE75&gt;AF75,AH75&gt;AH74),5,0)</f>
        <v>25</v>
      </c>
      <c r="BZ75" s="42" t="n">
        <f aca="false">IF(AND(E75&lt;=H75,E75&gt;=I75),10,IF(AND(E75&gt;=AJ75,E75&lt;I75),6,0))+IF(AND(V75&lt;0,BO75=1),8,0)+IF(AT75&lt;30,7,IF(AT75&lt;50,3,0))</f>
        <v>8</v>
      </c>
      <c r="CA75" s="42" t="n">
        <f aca="false">IF(AND(BV75=1,BW75=1),25,IF(BW75=1,22,IF(BV75=1,15,IF(BX75=1,12,0))))</f>
        <v>0</v>
      </c>
      <c r="CB75" s="42" t="n">
        <f aca="false">IF(W75&gt;0,6,0)+IF(F75&lt;BR75,4,0)</f>
        <v>10</v>
      </c>
      <c r="CC75" s="42" t="n">
        <f aca="false">IF(BC75&gt;=3,15,IF(BC75&gt;=p_RRmin,10,IF(BC75&gt;=1.5,4,0)))</f>
        <v>0</v>
      </c>
      <c r="CD75" s="42" t="n">
        <f aca="false">BY75+BZ75+CA75+CB75+CC75</f>
        <v>43</v>
      </c>
      <c r="CE75" s="42" t="n">
        <f aca="false">IF(AND(BS75&lt;&gt;1,BW75+BX75=0),1,0)</f>
        <v>0</v>
      </c>
      <c r="CF75" s="42" t="n">
        <f aca="false">IF(BU75=-1,1,0)</f>
        <v>0</v>
      </c>
      <c r="CG75" s="42" t="n">
        <f aca="false">IF(S75=-1,1,0)</f>
        <v>0</v>
      </c>
      <c r="CH75" s="42" t="n">
        <f aca="false">IF(BV75+BW75+BX75=0,1,0)</f>
        <v>1</v>
      </c>
      <c r="CI75" s="42" t="n">
        <f aca="false">IF(BC75&lt;p_RRmin,1,0)</f>
        <v>1</v>
      </c>
      <c r="CJ75" s="46" t="str">
        <f aca="false">IF(SUM(CE75:CI75)=0,IF(CD75&gt;=p_GradeA,"A",IF(CD75&gt;=p_GradeB,"B","C")),IF(AND(CI75=1,SUM(CE75:CH75)=0,CD75&gt;=p_GradeB),"B","C"))</f>
        <v>C</v>
      </c>
    </row>
    <row r="76" customFormat="false" ht="15" hidden="false" customHeight="false" outlineLevel="0" collapsed="false">
      <c r="A76" s="36" t="n">
        <v>45758</v>
      </c>
      <c r="B76" s="37" t="n">
        <v>26.43</v>
      </c>
      <c r="C76" s="37" t="n">
        <v>26.9</v>
      </c>
      <c r="D76" s="37" t="n">
        <v>26.27</v>
      </c>
      <c r="E76" s="37" t="n">
        <v>26.67</v>
      </c>
      <c r="F76" s="38" t="n">
        <v>4260300</v>
      </c>
      <c r="G76" s="39" t="n">
        <f aca="false">A76-WEEKDAY(A76,3)</f>
        <v>45754</v>
      </c>
      <c r="H76" s="40" t="n">
        <f aca="false">2/(p_EmaF+1)*E76+(1-2/(p_EmaF+1))*H75</f>
        <v>25.8334786904195</v>
      </c>
      <c r="I76" s="40" t="n">
        <f aca="false">2/(p_EmaS+1)*E76+(1-2/(p_EmaS+1))*I75</f>
        <v>25.2253967144667</v>
      </c>
      <c r="J76" s="41" t="n">
        <f aca="false">2/(p_MacdF+1)*E76+(1-2/(p_MacdF+1))*J75</f>
        <v>25.8944772816757</v>
      </c>
      <c r="K76" s="41" t="n">
        <f aca="false">2/(p_MacdS+1)*E76+(1-2/(p_MacdS+1))*K75</f>
        <v>25.2253967144667</v>
      </c>
      <c r="L76" s="41" t="n">
        <f aca="false">J76-K76</f>
        <v>0.669080567209011</v>
      </c>
      <c r="M76" s="41" t="n">
        <f aca="false">2/(p_MacdSig+1)*L76+(1-2/(p_MacdSig+1))*M75</f>
        <v>0.531784599812881</v>
      </c>
      <c r="N76" s="41" t="n">
        <f aca="false">L76-M76</f>
        <v>0.13729596739613</v>
      </c>
      <c r="O76" s="42" t="n">
        <f aca="false">IF(H76&gt;H75,1,0)</f>
        <v>1</v>
      </c>
      <c r="P76" s="42" t="n">
        <f aca="false">IF(H76&lt;H75,1,0)</f>
        <v>0</v>
      </c>
      <c r="Q76" s="42" t="n">
        <f aca="false">IF(N76&gt;N75,1,0)</f>
        <v>0</v>
      </c>
      <c r="R76" s="42" t="n">
        <f aca="false">IF(N76&lt;N75,1,0)</f>
        <v>1</v>
      </c>
      <c r="S76" s="42" t="n">
        <f aca="false">IF(AND(O76=1,Q76=1),1,IF(AND(P76=1,R76=1),-1,0))</f>
        <v>0</v>
      </c>
      <c r="T76" s="43" t="str">
        <f aca="false">IF(S76=1,"绿",IF(S76=-1,"红","蓝"))</f>
        <v>蓝</v>
      </c>
      <c r="U76" s="44" t="n">
        <f aca="false">F76*(E76-E75)</f>
        <v>766854.000000014</v>
      </c>
      <c r="V76" s="44" t="n">
        <f aca="false">2/(p_FiS+1)*U76+(1-2/(p_FiS+1))*V75</f>
        <v>510043.185522413</v>
      </c>
      <c r="W76" s="44" t="n">
        <f aca="false">2/(p_FiL+1)*U76+(1-2/(p_FiL+1))*W75</f>
        <v>661565.339543456</v>
      </c>
      <c r="X76" s="41" t="n">
        <f aca="false">MAX(C76-D76,ABS(C76-E75),ABS(D76-E75))</f>
        <v>0.629999999999999</v>
      </c>
      <c r="Y76" s="41" t="n">
        <f aca="true">AVERAGE(OFFSET(X76,1-MIN(p_AtrN,ROW()-4),0,MIN(p_AtrN,ROW()-4),1))</f>
        <v>0.652307692307692</v>
      </c>
      <c r="Z76" s="41" t="n">
        <f aca="false">IF(AND(C76-C75&gt;D75-D76,C76-C75&gt;0),C76-C75,0)</f>
        <v>0</v>
      </c>
      <c r="AA76" s="41" t="n">
        <f aca="false">IF(AND(D75-D76&gt;C76-C75,D75-D76&gt;0),D75-D76,0)</f>
        <v>0.0399999999999992</v>
      </c>
      <c r="AB76" s="41" t="n">
        <f aca="false">2/(p_AdxN+1)*X76+(1-2/(p_AdxN+1))*AB75</f>
        <v>0.617991354712588</v>
      </c>
      <c r="AC76" s="41" t="n">
        <f aca="false">2/(p_AdxN+1)*Z76+(1-2/(p_AdxN+1))*AC75</f>
        <v>0.182412514138667</v>
      </c>
      <c r="AD76" s="41" t="n">
        <f aca="false">2/(p_AdxN+1)*AA76+(1-2/(p_AdxN+1))*AD75</f>
        <v>0.0324758440094873</v>
      </c>
      <c r="AE76" s="45" t="n">
        <f aca="false">100*AC76/AB76</f>
        <v>29.517000965734</v>
      </c>
      <c r="AF76" s="45" t="n">
        <f aca="false">100*AD76/AB76</f>
        <v>5.25506445386943</v>
      </c>
      <c r="AG76" s="45" t="n">
        <f aca="false">IFERROR(100*ABS(AE76-AF76)/(AE76+AF76),0)</f>
        <v>69.7742173756133</v>
      </c>
      <c r="AH76" s="45" t="n">
        <f aca="false">2/(p_AdxN+1)*AG76+(1-2/(p_AdxN+1))*AH75</f>
        <v>49.2127943852182</v>
      </c>
      <c r="AI76" s="40" t="n">
        <f aca="false">I76*(1+p_ChPct)</f>
        <v>26.7389205173347</v>
      </c>
      <c r="AJ76" s="40" t="n">
        <f aca="false">I76*(1-p_ChPct)</f>
        <v>23.7118729115987</v>
      </c>
      <c r="AK76" s="40" t="n">
        <f aca="false">I76+1*Y76</f>
        <v>25.8777044067744</v>
      </c>
      <c r="AL76" s="40" t="n">
        <f aca="false">I76+2*Y76</f>
        <v>26.5300120990821</v>
      </c>
      <c r="AM76" s="40" t="n">
        <f aca="false">I76+3*Y76</f>
        <v>27.1823197913897</v>
      </c>
      <c r="AN76" s="40" t="n">
        <f aca="false">I76-1*Y76</f>
        <v>24.573089022159</v>
      </c>
      <c r="AO76" s="40" t="n">
        <f aca="false">I76-2*Y76</f>
        <v>23.9207813298513</v>
      </c>
      <c r="AP76" s="40" t="n">
        <f aca="false">I76-3*Y76</f>
        <v>23.2684736375436</v>
      </c>
      <c r="AQ76" s="40" t="n">
        <f aca="true">MAX(OFFSET(C76,1-MIN(p_StochN,ROW()-4),0,MIN(p_StochN,ROW()-4),1))</f>
        <v>27.03</v>
      </c>
      <c r="AR76" s="40" t="n">
        <f aca="true">MIN(OFFSET(D76,1-MIN(p_StochN,ROW()-4),0,MIN(p_StochN,ROW()-4),1))</f>
        <v>26.06</v>
      </c>
      <c r="AS76" s="45" t="n">
        <f aca="false">IF(AQ76=AR76,50,100*(E76-AR76)/(AQ76-AR76))</f>
        <v>62.8865979381445</v>
      </c>
      <c r="AT76" s="45" t="n">
        <f aca="true">AVERAGE(OFFSET(AS76,1-MIN(p_StochSm,ROW()-4),0,MIN(p_StochSm,ROW()-4),1))</f>
        <v>76.3394176010267</v>
      </c>
      <c r="AU76" s="45" t="n">
        <f aca="true">AVERAGE(OFFSET(AT76,1-MIN(p_StochSm,ROW()-4),0,MIN(p_StochSm,ROW()-4),1))</f>
        <v>82.4778153322408</v>
      </c>
      <c r="AV76" s="41" t="n">
        <f aca="false">MAX(0,H76-D76)</f>
        <v>0</v>
      </c>
      <c r="AW76" s="41" t="n">
        <f aca="true">IF(COUNTIF(OFFSET(AV76,1-MIN(p_PenLb,ROW()-4),0,MIN(p_PenLb,ROW()-4),1),"&gt;0")&gt;0,SUM(OFFSET(AV76,1-MIN(p_PenLb,ROW()-4),0,MIN(p_PenLb,ROW()-4),1))/COUNTIF(OFFSET(AV76,1-MIN(p_PenLb,ROW()-4),0,MIN(p_PenLb,ROW()-4),1),"&gt;0"),0.5*Y76)</f>
        <v>0.323405994268593</v>
      </c>
      <c r="AX76" s="41" t="n">
        <f aca="false">2*H76-H75</f>
        <v>25.9728989086829</v>
      </c>
      <c r="AY76" s="40" t="n">
        <f aca="false">ROUND(MAX(AX76-AW76,0.01),2)</f>
        <v>25.65</v>
      </c>
      <c r="AZ76" s="40" t="n">
        <f aca="true">IF(MIN(p_StopLb,ROW()-4)&lt;2,D76,SMALL(OFFSET(D76,1-MIN(p_StopLb,ROW()-4),0,MIN(p_StopLb,ROW()-4),1),2))</f>
        <v>24.7</v>
      </c>
      <c r="BA76" s="40" t="n">
        <f aca="false">IF(MOD(ROUND(ROUNDDOWN(MIN(AZ76-0.01,AY76-p_StopAtr*Y76),2)*100,0),50)=0,ROUNDDOWN(MIN(AZ76-0.01,AY76-p_StopAtr*Y76),2)-0.01,ROUNDDOWN(MIN(AZ76-0.01,AY76-p_StopAtr*Y76),2))</f>
        <v>24.69</v>
      </c>
      <c r="BB76" s="40" t="n">
        <f aca="false">ROUND(AI76,2)</f>
        <v>26.74</v>
      </c>
      <c r="BC76" s="40" t="n">
        <f aca="false">IF(AY76-BA76&gt;0,(BB76-AY76)/(AY76-BA76),0)</f>
        <v>1.13541666666667</v>
      </c>
      <c r="BD76" s="42" t="n">
        <f aca="false">IF(N76&lt;0,1,0)</f>
        <v>0</v>
      </c>
      <c r="BE76" s="41" t="n">
        <f aca="false">IF(AND(BD76=1,BD75=0),N76,IF(BD76=1,MIN(BE75,N76),BE75))</f>
        <v>-0.267100964273217</v>
      </c>
      <c r="BF76" s="40" t="n">
        <f aca="false">IF(AND(BD76=1,BD75=0),D76,IF(BD76=1,MIN(BF75,D76),BF75))</f>
        <v>23.24</v>
      </c>
      <c r="BG76" s="42" t="n">
        <f aca="false">IF(AND(BD76=1,BD75=0),ROW(),IF(BD76=1,IF(N76&lt;BE75,ROW(),BG75),BG75))</f>
        <v>52</v>
      </c>
      <c r="BH76" s="41" t="n">
        <f aca="false">IF(AND(BD76=1,BD75=0),BE75,BH75)</f>
        <v>-0.0234128043712021</v>
      </c>
      <c r="BI76" s="40" t="n">
        <f aca="false">IF(AND(BD76=1,BD75=0),BF75,BI75)</f>
        <v>19.42</v>
      </c>
      <c r="BJ76" s="42" t="n">
        <f aca="false">IF(AND(BD76=1,BD75=0),BG75,BJ75)</f>
        <v>10</v>
      </c>
      <c r="BK76" s="42" t="n">
        <f aca="false">IF(AND(ISNUMBER(BG76),ISNUMBER(BJ76)),BG76-BJ76,"")</f>
        <v>42</v>
      </c>
      <c r="BL76" s="42" t="n">
        <f aca="false">IF(AND(BD76=1,N76&gt;N75,ISNUMBER(BH76),ISNUMBER(BK76)),IF(AND(BE76&gt;BH76,BF76&lt;BI76,BK76&gt;=p_GapMin,BK76&lt;=p_GapMax),1,0),0)</f>
        <v>0</v>
      </c>
      <c r="BM76" s="42" t="n">
        <f aca="false">IF(AND(BL76=1,E76&gt;BI76),1,0)</f>
        <v>0</v>
      </c>
      <c r="BN76" s="42" t="n">
        <f aca="false">IF(BL76=1,IF(BE76&gt;=BH76*0.5,1,0),0)</f>
        <v>0</v>
      </c>
      <c r="BO76" s="42" t="n">
        <f aca="true">IF(V76&gt;MIN(OFFSET(V76,-MIN(p_FiLb-1,ROW()-5),0,MIN(p_FiLb-1,ROW()-5),1)),1,0)</f>
        <v>1</v>
      </c>
      <c r="BP76" s="44" t="n">
        <f aca="true">IF(COUNTIF(OFFSET(V76,1-MIN(100,ROW()-4),0,MIN(100,ROW()-4),1),"&lt;0")&gt;=5,AVERAGEIF(OFFSET(V76,1-MIN(100,ROW()-4),0,MIN(100,ROW()-4),1),"&lt;0"),"")</f>
        <v>-606834.336005676</v>
      </c>
      <c r="BQ76" s="42" t="n">
        <f aca="false">IF(ISNUMBER(BP76),IF(AND(V76&lt;5*BP76,V76&gt;V75,E76&lt;AJ76),1,0),0)</f>
        <v>0</v>
      </c>
      <c r="BR76" s="44" t="n">
        <f aca="true">AVERAGE(OFFSET(F76,1-MIN(5,ROW()-4),0,MIN(5,ROW()-4),1))</f>
        <v>3638740</v>
      </c>
      <c r="BS76" s="42" t="n">
        <f aca="false">IFERROR(IF(MATCH(G76,周线!$A$5:$A$84,0)&lt;=1,"",INDEX(周线!$R$5:$R$84,MATCH(G76,周线!$A$5:$A$84,0)-1)),"")</f>
        <v>1</v>
      </c>
      <c r="BT76" s="42" t="n">
        <f aca="false">IFERROR(IF(MATCH(G76,周线!$A$5:$A$84,0)&lt;=1,"",INDEX(周线!$S$5:$S$84,MATCH(G76,周线!$A$5:$A$84,0)-1)),"")</f>
        <v>1</v>
      </c>
      <c r="BU76" s="42" t="n">
        <f aca="false">IFERROR(IF(MATCH(G76,周线!$A$5:$A$84,0)&lt;=1,"",INDEX(周线!$U$5:$U$84,MATCH(G76,周线!$A$5:$A$84,0)-1)),"")</f>
        <v>1</v>
      </c>
      <c r="BV76" s="42" t="n">
        <f aca="false">IF(AND(BS76=1,S76&lt;&gt;-1,V76&lt;0,BO76=1,E76&lt;=H76,E76&gt;=AJ76),1,0)</f>
        <v>0</v>
      </c>
      <c r="BW76" s="42" t="n">
        <f aca="false">BL76</f>
        <v>0</v>
      </c>
      <c r="BX76" s="42" t="n">
        <f aca="false">BQ76</f>
        <v>0</v>
      </c>
      <c r="BY76" s="42" t="n">
        <f aca="false">IF(BS76=1,10,0)+IF(BU76=1,5,IF(BU76=-1,0,3))+IF(BT76=1,5,0)+IF(AND(AE76&gt;AF76,AH76&gt;AH75),5,0)</f>
        <v>25</v>
      </c>
      <c r="BZ76" s="42" t="n">
        <f aca="false">IF(AND(E76&lt;=H76,E76&gt;=I76),10,IF(AND(E76&gt;=AJ76,E76&lt;I76),6,0))+IF(AND(V76&lt;0,BO76=1),8,0)+IF(AT76&lt;30,7,IF(AT76&lt;50,3,0))</f>
        <v>0</v>
      </c>
      <c r="CA76" s="42" t="n">
        <f aca="false">IF(AND(BV76=1,BW76=1),25,IF(BW76=1,22,IF(BV76=1,15,IF(BX76=1,12,0))))</f>
        <v>0</v>
      </c>
      <c r="CB76" s="42" t="n">
        <f aca="false">IF(W76&gt;0,6,0)+IF(F76&lt;BR76,4,0)</f>
        <v>6</v>
      </c>
      <c r="CC76" s="42" t="n">
        <f aca="false">IF(BC76&gt;=3,15,IF(BC76&gt;=p_RRmin,10,IF(BC76&gt;=1.5,4,0)))</f>
        <v>0</v>
      </c>
      <c r="CD76" s="42" t="n">
        <f aca="false">BY76+BZ76+CA76+CB76+CC76</f>
        <v>31</v>
      </c>
      <c r="CE76" s="42" t="n">
        <f aca="false">IF(AND(BS76&lt;&gt;1,BW76+BX76=0),1,0)</f>
        <v>0</v>
      </c>
      <c r="CF76" s="42" t="n">
        <f aca="false">IF(BU76=-1,1,0)</f>
        <v>0</v>
      </c>
      <c r="CG76" s="42" t="n">
        <f aca="false">IF(S76=-1,1,0)</f>
        <v>0</v>
      </c>
      <c r="CH76" s="42" t="n">
        <f aca="false">IF(BV76+BW76+BX76=0,1,0)</f>
        <v>1</v>
      </c>
      <c r="CI76" s="42" t="n">
        <f aca="false">IF(BC76&lt;p_RRmin,1,0)</f>
        <v>1</v>
      </c>
      <c r="CJ76" s="46" t="str">
        <f aca="false">IF(SUM(CE76:CI76)=0,IF(CD76&gt;=p_GradeA,"A",IF(CD76&gt;=p_GradeB,"B","C")),IF(AND(CI76=1,SUM(CE76:CH76)=0,CD76&gt;=p_GradeB),"B","C"))</f>
        <v>C</v>
      </c>
    </row>
    <row r="77" customFormat="false" ht="15" hidden="false" customHeight="false" outlineLevel="0" collapsed="false">
      <c r="A77" s="36" t="n">
        <v>45761</v>
      </c>
      <c r="B77" s="37" t="n">
        <v>26.66</v>
      </c>
      <c r="C77" s="37" t="n">
        <v>26.71</v>
      </c>
      <c r="D77" s="37" t="n">
        <v>26.51</v>
      </c>
      <c r="E77" s="37" t="n">
        <v>26.57</v>
      </c>
      <c r="F77" s="38" t="n">
        <v>2822700</v>
      </c>
      <c r="G77" s="39" t="n">
        <f aca="false">A77-WEEKDAY(A77,3)</f>
        <v>45761</v>
      </c>
      <c r="H77" s="40" t="n">
        <f aca="false">2/(p_EmaF+1)*E77+(1-2/(p_EmaF+1))*H76</f>
        <v>25.9386960203596</v>
      </c>
      <c r="I77" s="40" t="n">
        <f aca="false">2/(p_EmaS+1)*E77+(1-2/(p_EmaS+1))*I76</f>
        <v>25.3249969578395</v>
      </c>
      <c r="J77" s="41" t="n">
        <f aca="false">2/(p_MacdF+1)*E77+(1-2/(p_MacdF+1))*J76</f>
        <v>25.9984038537256</v>
      </c>
      <c r="K77" s="41" t="n">
        <f aca="false">2/(p_MacdS+1)*E77+(1-2/(p_MacdS+1))*K76</f>
        <v>25.3249969578395</v>
      </c>
      <c r="L77" s="41" t="n">
        <f aca="false">J77-K77</f>
        <v>0.673406895886068</v>
      </c>
      <c r="M77" s="41" t="n">
        <f aca="false">2/(p_MacdSig+1)*L77+(1-2/(p_MacdSig+1))*M76</f>
        <v>0.560109059027519</v>
      </c>
      <c r="N77" s="41" t="n">
        <f aca="false">L77-M77</f>
        <v>0.113297836858549</v>
      </c>
      <c r="O77" s="42" t="n">
        <f aca="false">IF(H77&gt;H76,1,0)</f>
        <v>1</v>
      </c>
      <c r="P77" s="42" t="n">
        <f aca="false">IF(H77&lt;H76,1,0)</f>
        <v>0</v>
      </c>
      <c r="Q77" s="42" t="n">
        <f aca="false">IF(N77&gt;N76,1,0)</f>
        <v>0</v>
      </c>
      <c r="R77" s="42" t="n">
        <f aca="false">IF(N77&lt;N76,1,0)</f>
        <v>1</v>
      </c>
      <c r="S77" s="42" t="n">
        <f aca="false">IF(AND(O77=1,Q77=1),1,IF(AND(P77=1,R77=1),-1,0))</f>
        <v>0</v>
      </c>
      <c r="T77" s="43" t="str">
        <f aca="false">IF(S77=1,"绿",IF(S77=-1,"红","蓝"))</f>
        <v>蓝</v>
      </c>
      <c r="U77" s="44" t="n">
        <f aca="false">F77*(E77-E76)</f>
        <v>-282270.000000004</v>
      </c>
      <c r="V77" s="44" t="n">
        <f aca="false">2/(p_FiS+1)*U77+(1-2/(p_FiS+1))*V76</f>
        <v>-18165.6048258649</v>
      </c>
      <c r="W77" s="44" t="n">
        <f aca="false">2/(p_FiL+1)*U77+(1-2/(p_FiL+1))*W76</f>
        <v>526731.719608676</v>
      </c>
      <c r="X77" s="41" t="n">
        <f aca="false">MAX(C77-D77,ABS(C77-E76),ABS(D77-E76))</f>
        <v>0.199999999999999</v>
      </c>
      <c r="Y77" s="41" t="n">
        <f aca="true">AVERAGE(OFFSET(X77,1-MIN(p_AtrN,ROW()-4),0,MIN(p_AtrN,ROW()-4),1))</f>
        <v>0.596153846153846</v>
      </c>
      <c r="Z77" s="41" t="n">
        <f aca="false">IF(AND(C77-C76&gt;D76-D77,C77-C76&gt;0),C77-C76,0)</f>
        <v>0</v>
      </c>
      <c r="AA77" s="41" t="n">
        <f aca="false">IF(AND(D76-D77&gt;C77-C76,D76-D77&gt;0),D76-D77,0)</f>
        <v>0</v>
      </c>
      <c r="AB77" s="41" t="n">
        <f aca="false">2/(p_AdxN+1)*X77+(1-2/(p_AdxN+1))*AB76</f>
        <v>0.558278304039361</v>
      </c>
      <c r="AC77" s="41" t="n">
        <f aca="false">2/(p_AdxN+1)*Z77+(1-2/(p_AdxN+1))*AC76</f>
        <v>0.156353583547429</v>
      </c>
      <c r="AD77" s="41" t="n">
        <f aca="false">2/(p_AdxN+1)*AA77+(1-2/(p_AdxN+1))*AD76</f>
        <v>0.0278364377224177</v>
      </c>
      <c r="AE77" s="45" t="n">
        <f aca="false">100*AC77/AB77</f>
        <v>28.0063872115663</v>
      </c>
      <c r="AF77" s="45" t="n">
        <f aca="false">100*AD77/AB77</f>
        <v>4.98612206869052</v>
      </c>
      <c r="AG77" s="45" t="n">
        <f aca="false">IFERROR(100*ABS(AE77-AF77)/(AE77+AF77),0)</f>
        <v>69.7742173756133</v>
      </c>
      <c r="AH77" s="45" t="n">
        <f aca="false">2/(p_AdxN+1)*AG77+(1-2/(p_AdxN+1))*AH76</f>
        <v>52.1501405267032</v>
      </c>
      <c r="AI77" s="40" t="n">
        <f aca="false">I77*(1+p_ChPct)</f>
        <v>26.8444967753099</v>
      </c>
      <c r="AJ77" s="40" t="n">
        <f aca="false">I77*(1-p_ChPct)</f>
        <v>23.8054971403691</v>
      </c>
      <c r="AK77" s="40" t="n">
        <f aca="false">I77+1*Y77</f>
        <v>25.9211508039934</v>
      </c>
      <c r="AL77" s="40" t="n">
        <f aca="false">I77+2*Y77</f>
        <v>26.5173046501472</v>
      </c>
      <c r="AM77" s="40" t="n">
        <f aca="false">I77+3*Y77</f>
        <v>27.113458496301</v>
      </c>
      <c r="AN77" s="40" t="n">
        <f aca="false">I77-1*Y77</f>
        <v>24.7288431116857</v>
      </c>
      <c r="AO77" s="40" t="n">
        <f aca="false">I77-2*Y77</f>
        <v>24.1326892655318</v>
      </c>
      <c r="AP77" s="40" t="n">
        <f aca="false">I77-3*Y77</f>
        <v>23.536535419378</v>
      </c>
      <c r="AQ77" s="40" t="n">
        <f aca="true">MAX(OFFSET(C77,1-MIN(p_StochN,ROW()-4),0,MIN(p_StochN,ROW()-4),1))</f>
        <v>27.03</v>
      </c>
      <c r="AR77" s="40" t="n">
        <f aca="true">MIN(OFFSET(D77,1-MIN(p_StochN,ROW()-4),0,MIN(p_StochN,ROW()-4),1))</f>
        <v>26.06</v>
      </c>
      <c r="AS77" s="45" t="n">
        <f aca="false">IF(AQ77=AR77,50,100*(E77-AR77)/(AQ77-AR77))</f>
        <v>52.5773195876289</v>
      </c>
      <c r="AT77" s="45" t="n">
        <f aca="true">AVERAGE(OFFSET(AS77,1-MIN(p_StochSm,ROW()-4),0,MIN(p_StochSm,ROW()-4),1))</f>
        <v>63.0408180370464</v>
      </c>
      <c r="AU77" s="45" t="n">
        <f aca="true">AVERAGE(OFFSET(AT77,1-MIN(p_StochSm,ROW()-4),0,MIN(p_StochSm,ROW()-4),1))</f>
        <v>74.4999896321483</v>
      </c>
      <c r="AV77" s="41" t="n">
        <f aca="false">MAX(0,H77-D77)</f>
        <v>0</v>
      </c>
      <c r="AW77" s="41" t="n">
        <f aca="true">IF(COUNTIF(OFFSET(AV77,1-MIN(p_PenLb,ROW()-4),0,MIN(p_PenLb,ROW()-4),1),"&gt;0")&gt;0,SUM(OFFSET(AV77,1-MIN(p_PenLb,ROW()-4),0,MIN(p_PenLb,ROW()-4),1))/COUNTIF(OFFSET(AV77,1-MIN(p_PenLb,ROW()-4),0,MIN(p_PenLb,ROW()-4),1),"&gt;0"),0.5*Y77)</f>
        <v>0.323405994268593</v>
      </c>
      <c r="AX77" s="41" t="n">
        <f aca="false">2*H77-H76</f>
        <v>26.0439133502996</v>
      </c>
      <c r="AY77" s="40" t="n">
        <f aca="false">ROUND(MAX(AX77-AW77,0.01),2)</f>
        <v>25.72</v>
      </c>
      <c r="AZ77" s="40" t="n">
        <f aca="true">IF(MIN(p_StopLb,ROW()-4)&lt;2,D77,SMALL(OFFSET(D77,1-MIN(p_StopLb,ROW()-4),0,MIN(p_StopLb,ROW()-4),1),2))</f>
        <v>24.98</v>
      </c>
      <c r="BA77" s="40" t="n">
        <f aca="false">IF(MOD(ROUND(ROUNDDOWN(MIN(AZ77-0.01,AY77-p_StopAtr*Y77),2)*100,0),50)=0,ROUNDDOWN(MIN(AZ77-0.01,AY77-p_StopAtr*Y77),2)-0.01,ROUNDDOWN(MIN(AZ77-0.01,AY77-p_StopAtr*Y77),2))</f>
        <v>24.97</v>
      </c>
      <c r="BB77" s="40" t="n">
        <f aca="false">ROUND(AI77,2)</f>
        <v>26.84</v>
      </c>
      <c r="BC77" s="40" t="n">
        <f aca="false">IF(AY77-BA77&gt;0,(BB77-AY77)/(AY77-BA77),0)</f>
        <v>1.49333333333333</v>
      </c>
      <c r="BD77" s="42" t="n">
        <f aca="false">IF(N77&lt;0,1,0)</f>
        <v>0</v>
      </c>
      <c r="BE77" s="41" t="n">
        <f aca="false">IF(AND(BD77=1,BD76=0),N77,IF(BD77=1,MIN(BE76,N77),BE76))</f>
        <v>-0.267100964273217</v>
      </c>
      <c r="BF77" s="40" t="n">
        <f aca="false">IF(AND(BD77=1,BD76=0),D77,IF(BD77=1,MIN(BF76,D77),BF76))</f>
        <v>23.24</v>
      </c>
      <c r="BG77" s="42" t="n">
        <f aca="false">IF(AND(BD77=1,BD76=0),ROW(),IF(BD77=1,IF(N77&lt;BE76,ROW(),BG76),BG76))</f>
        <v>52</v>
      </c>
      <c r="BH77" s="41" t="n">
        <f aca="false">IF(AND(BD77=1,BD76=0),BE76,BH76)</f>
        <v>-0.0234128043712021</v>
      </c>
      <c r="BI77" s="40" t="n">
        <f aca="false">IF(AND(BD77=1,BD76=0),BF76,BI76)</f>
        <v>19.42</v>
      </c>
      <c r="BJ77" s="42" t="n">
        <f aca="false">IF(AND(BD77=1,BD76=0),BG76,BJ76)</f>
        <v>10</v>
      </c>
      <c r="BK77" s="42" t="n">
        <f aca="false">IF(AND(ISNUMBER(BG77),ISNUMBER(BJ77)),BG77-BJ77,"")</f>
        <v>42</v>
      </c>
      <c r="BL77" s="42" t="n">
        <f aca="false">IF(AND(BD77=1,N77&gt;N76,ISNUMBER(BH77),ISNUMBER(BK77)),IF(AND(BE77&gt;BH77,BF77&lt;BI77,BK77&gt;=p_GapMin,BK77&lt;=p_GapMax),1,0),0)</f>
        <v>0</v>
      </c>
      <c r="BM77" s="42" t="n">
        <f aca="false">IF(AND(BL77=1,E77&gt;BI77),1,0)</f>
        <v>0</v>
      </c>
      <c r="BN77" s="42" t="n">
        <f aca="false">IF(BL77=1,IF(BE77&gt;=BH77*0.5,1,0),0)</f>
        <v>0</v>
      </c>
      <c r="BO77" s="42" t="n">
        <f aca="true">IF(V77&gt;MIN(OFFSET(V77,-MIN(p_FiLb-1,ROW()-5),0,MIN(p_FiLb-1,ROW()-5),1)),1,0)</f>
        <v>1</v>
      </c>
      <c r="BP77" s="44" t="n">
        <f aca="true">IF(COUNTIF(OFFSET(V77,1-MIN(100,ROW()-4),0,MIN(100,ROW()-4),1),"&lt;0")&gt;=5,AVERAGEIF(OFFSET(V77,1-MIN(100,ROW()-4),0,MIN(100,ROW()-4),1),"&lt;0"),"")</f>
        <v>-582306.472206517</v>
      </c>
      <c r="BQ77" s="42" t="n">
        <f aca="false">IF(ISNUMBER(BP77),IF(AND(V77&lt;5*BP77,V77&gt;V76,E77&lt;AJ77),1,0),0)</f>
        <v>0</v>
      </c>
      <c r="BR77" s="44" t="n">
        <f aca="true">AVERAGE(OFFSET(F77,1-MIN(5,ROW()-4),0,MIN(5,ROW()-4),1))</f>
        <v>3704160</v>
      </c>
      <c r="BS77" s="42" t="n">
        <f aca="false">IFERROR(IF(MATCH(G77,周线!$A$5:$A$84,0)&lt;=1,"",INDEX(周线!$R$5:$R$84,MATCH(G77,周线!$A$5:$A$84,0)-1)),"")</f>
        <v>1</v>
      </c>
      <c r="BT77" s="42" t="n">
        <f aca="false">IFERROR(IF(MATCH(G77,周线!$A$5:$A$84,0)&lt;=1,"",INDEX(周线!$S$5:$S$84,MATCH(G77,周线!$A$5:$A$84,0)-1)),"")</f>
        <v>1</v>
      </c>
      <c r="BU77" s="42" t="n">
        <f aca="false">IFERROR(IF(MATCH(G77,周线!$A$5:$A$84,0)&lt;=1,"",INDEX(周线!$U$5:$U$84,MATCH(G77,周线!$A$5:$A$84,0)-1)),"")</f>
        <v>1</v>
      </c>
      <c r="BV77" s="42" t="n">
        <f aca="false">IF(AND(BS77=1,S77&lt;&gt;-1,V77&lt;0,BO77=1,E77&lt;=H77,E77&gt;=AJ77),1,0)</f>
        <v>0</v>
      </c>
      <c r="BW77" s="42" t="n">
        <f aca="false">BL77</f>
        <v>0</v>
      </c>
      <c r="BX77" s="42" t="n">
        <f aca="false">BQ77</f>
        <v>0</v>
      </c>
      <c r="BY77" s="42" t="n">
        <f aca="false">IF(BS77=1,10,0)+IF(BU77=1,5,IF(BU77=-1,0,3))+IF(BT77=1,5,0)+IF(AND(AE77&gt;AF77,AH77&gt;AH76),5,0)</f>
        <v>25</v>
      </c>
      <c r="BZ77" s="42" t="n">
        <f aca="false">IF(AND(E77&lt;=H77,E77&gt;=I77),10,IF(AND(E77&gt;=AJ77,E77&lt;I77),6,0))+IF(AND(V77&lt;0,BO77=1),8,0)+IF(AT77&lt;30,7,IF(AT77&lt;50,3,0))</f>
        <v>8</v>
      </c>
      <c r="CA77" s="42" t="n">
        <f aca="false">IF(AND(BV77=1,BW77=1),25,IF(BW77=1,22,IF(BV77=1,15,IF(BX77=1,12,0))))</f>
        <v>0</v>
      </c>
      <c r="CB77" s="42" t="n">
        <f aca="false">IF(W77&gt;0,6,0)+IF(F77&lt;BR77,4,0)</f>
        <v>10</v>
      </c>
      <c r="CC77" s="42" t="n">
        <f aca="false">IF(BC77&gt;=3,15,IF(BC77&gt;=p_RRmin,10,IF(BC77&gt;=1.5,4,0)))</f>
        <v>0</v>
      </c>
      <c r="CD77" s="42" t="n">
        <f aca="false">BY77+BZ77+CA77+CB77+CC77</f>
        <v>43</v>
      </c>
      <c r="CE77" s="42" t="n">
        <f aca="false">IF(AND(BS77&lt;&gt;1,BW77+BX77=0),1,0)</f>
        <v>0</v>
      </c>
      <c r="CF77" s="42" t="n">
        <f aca="false">IF(BU77=-1,1,0)</f>
        <v>0</v>
      </c>
      <c r="CG77" s="42" t="n">
        <f aca="false">IF(S77=-1,1,0)</f>
        <v>0</v>
      </c>
      <c r="CH77" s="42" t="n">
        <f aca="false">IF(BV77+BW77+BX77=0,1,0)</f>
        <v>1</v>
      </c>
      <c r="CI77" s="42" t="n">
        <f aca="false">IF(BC77&lt;p_RRmin,1,0)</f>
        <v>1</v>
      </c>
      <c r="CJ77" s="46" t="str">
        <f aca="false">IF(SUM(CE77:CI77)=0,IF(CD77&gt;=p_GradeA,"A",IF(CD77&gt;=p_GradeB,"B","C")),IF(AND(CI77=1,SUM(CE77:CH77)=0,CD77&gt;=p_GradeB),"B","C"))</f>
        <v>C</v>
      </c>
    </row>
    <row r="78" customFormat="false" ht="15" hidden="false" customHeight="false" outlineLevel="0" collapsed="false">
      <c r="A78" s="36" t="n">
        <v>45762</v>
      </c>
      <c r="B78" s="37" t="n">
        <v>26.62</v>
      </c>
      <c r="C78" s="37" t="n">
        <v>26.72</v>
      </c>
      <c r="D78" s="37" t="n">
        <v>26.44</v>
      </c>
      <c r="E78" s="37" t="n">
        <v>26.54</v>
      </c>
      <c r="F78" s="38" t="n">
        <v>2283600</v>
      </c>
      <c r="G78" s="39" t="n">
        <f aca="false">A78-WEEKDAY(A78,3)</f>
        <v>45761</v>
      </c>
      <c r="H78" s="40" t="n">
        <f aca="false">2/(p_EmaF+1)*E78+(1-2/(p_EmaF+1))*H77</f>
        <v>26.0245965888796</v>
      </c>
      <c r="I78" s="40" t="n">
        <f aca="false">2/(p_EmaS+1)*E78+(1-2/(p_EmaS+1))*I77</f>
        <v>25.4149971831847</v>
      </c>
      <c r="J78" s="41" t="n">
        <f aca="false">2/(p_MacdF+1)*E78+(1-2/(p_MacdF+1))*J77</f>
        <v>26.0817263377678</v>
      </c>
      <c r="K78" s="41" t="n">
        <f aca="false">2/(p_MacdS+1)*E78+(1-2/(p_MacdS+1))*K77</f>
        <v>25.4149971831847</v>
      </c>
      <c r="L78" s="41" t="n">
        <f aca="false">J78-K78</f>
        <v>0.666729154583067</v>
      </c>
      <c r="M78" s="41" t="n">
        <f aca="false">2/(p_MacdSig+1)*L78+(1-2/(p_MacdSig+1))*M77</f>
        <v>0.581433078138628</v>
      </c>
      <c r="N78" s="41" t="n">
        <f aca="false">L78-M78</f>
        <v>0.0852960764444383</v>
      </c>
      <c r="O78" s="42" t="n">
        <f aca="false">IF(H78&gt;H77,1,0)</f>
        <v>1</v>
      </c>
      <c r="P78" s="42" t="n">
        <f aca="false">IF(H78&lt;H77,1,0)</f>
        <v>0</v>
      </c>
      <c r="Q78" s="42" t="n">
        <f aca="false">IF(N78&gt;N77,1,0)</f>
        <v>0</v>
      </c>
      <c r="R78" s="42" t="n">
        <f aca="false">IF(N78&lt;N77,1,0)</f>
        <v>1</v>
      </c>
      <c r="S78" s="42" t="n">
        <f aca="false">IF(AND(O78=1,Q78=1),1,IF(AND(P78=1,R78=1),-1,0))</f>
        <v>0</v>
      </c>
      <c r="T78" s="43" t="str">
        <f aca="false">IF(S78=1,"绿",IF(S78=-1,"红","蓝"))</f>
        <v>蓝</v>
      </c>
      <c r="U78" s="44" t="n">
        <f aca="false">F78*(E78-E77)</f>
        <v>-68508.0000000026</v>
      </c>
      <c r="V78" s="44" t="n">
        <f aca="false">2/(p_FiS+1)*U78+(1-2/(p_FiS+1))*V77</f>
        <v>-51727.2016086234</v>
      </c>
      <c r="W78" s="44" t="n">
        <f aca="false">2/(p_FiL+1)*U78+(1-2/(p_FiL+1))*W77</f>
        <v>441697.473950294</v>
      </c>
      <c r="X78" s="41" t="n">
        <f aca="false">MAX(C78-D78,ABS(C78-E77),ABS(D78-E77))</f>
        <v>0.279999999999998</v>
      </c>
      <c r="Y78" s="41" t="n">
        <f aca="true">AVERAGE(OFFSET(X78,1-MIN(p_AtrN,ROW()-4),0,MIN(p_AtrN,ROW()-4),1))</f>
        <v>0.561538461538461</v>
      </c>
      <c r="Z78" s="41" t="n">
        <f aca="false">IF(AND(C78-C77&gt;D77-D78,C78-C77&gt;0),C78-C77,0)</f>
        <v>0</v>
      </c>
      <c r="AA78" s="41" t="n">
        <f aca="false">IF(AND(D77-D78&gt;C78-C77,D77-D78&gt;0),D77-D78,0)</f>
        <v>0.0700000000000003</v>
      </c>
      <c r="AB78" s="41" t="n">
        <f aca="false">2/(p_AdxN+1)*X78+(1-2/(p_AdxN+1))*AB77</f>
        <v>0.518524260605166</v>
      </c>
      <c r="AC78" s="41" t="n">
        <f aca="false">2/(p_AdxN+1)*Z78+(1-2/(p_AdxN+1))*AC77</f>
        <v>0.134017357326368</v>
      </c>
      <c r="AD78" s="41" t="n">
        <f aca="false">2/(p_AdxN+1)*AA78+(1-2/(p_AdxN+1))*AD77</f>
        <v>0.0338598037620724</v>
      </c>
      <c r="AE78" s="45" t="n">
        <f aca="false">100*AC78/AB78</f>
        <v>25.8459184089009</v>
      </c>
      <c r="AF78" s="45" t="n">
        <f aca="false">100*AD78/AB78</f>
        <v>6.53003269751638</v>
      </c>
      <c r="AG78" s="45" t="n">
        <f aca="false">IFERROR(100*ABS(AE78-AF78)/(AE78+AF78),0)</f>
        <v>59.6612147327955</v>
      </c>
      <c r="AH78" s="45" t="n">
        <f aca="false">2/(p_AdxN+1)*AG78+(1-2/(p_AdxN+1))*AH77</f>
        <v>53.2231511275735</v>
      </c>
      <c r="AI78" s="40" t="n">
        <f aca="false">I78*(1+p_ChPct)</f>
        <v>26.9398970141758</v>
      </c>
      <c r="AJ78" s="40" t="n">
        <f aca="false">I78*(1-p_ChPct)</f>
        <v>23.8900973521936</v>
      </c>
      <c r="AK78" s="40" t="n">
        <f aca="false">I78+1*Y78</f>
        <v>25.9765356447232</v>
      </c>
      <c r="AL78" s="40" t="n">
        <f aca="false">I78+2*Y78</f>
        <v>26.5380741062617</v>
      </c>
      <c r="AM78" s="40" t="n">
        <f aca="false">I78+3*Y78</f>
        <v>27.0996125678001</v>
      </c>
      <c r="AN78" s="40" t="n">
        <f aca="false">I78-1*Y78</f>
        <v>24.8534587216463</v>
      </c>
      <c r="AO78" s="40" t="n">
        <f aca="false">I78-2*Y78</f>
        <v>24.2919202601078</v>
      </c>
      <c r="AP78" s="40" t="n">
        <f aca="false">I78-3*Y78</f>
        <v>23.7303817985693</v>
      </c>
      <c r="AQ78" s="40" t="n">
        <f aca="true">MAX(OFFSET(C78,1-MIN(p_StochN,ROW()-4),0,MIN(p_StochN,ROW()-4),1))</f>
        <v>27.03</v>
      </c>
      <c r="AR78" s="40" t="n">
        <f aca="true">MIN(OFFSET(D78,1-MIN(p_StochN,ROW()-4),0,MIN(p_StochN,ROW()-4),1))</f>
        <v>26.27</v>
      </c>
      <c r="AS78" s="45" t="n">
        <f aca="false">IF(AQ78=AR78,50,100*(E78-AR78)/(AQ78-AR78))</f>
        <v>35.5263157894736</v>
      </c>
      <c r="AT78" s="45" t="n">
        <f aca="true">AVERAGE(OFFSET(AS78,1-MIN(p_StochSm,ROW()-4),0,MIN(p_StochSm,ROW()-4),1))</f>
        <v>50.330077771749</v>
      </c>
      <c r="AU78" s="45" t="n">
        <f aca="true">AVERAGE(OFFSET(AT78,1-MIN(p_StochSm,ROW()-4),0,MIN(p_StochSm,ROW()-4),1))</f>
        <v>63.2367711366074</v>
      </c>
      <c r="AV78" s="41" t="n">
        <f aca="false">MAX(0,H78-D78)</f>
        <v>0</v>
      </c>
      <c r="AW78" s="41" t="n">
        <f aca="true">IF(COUNTIF(OFFSET(AV78,1-MIN(p_PenLb,ROW()-4),0,MIN(p_PenLb,ROW()-4),1),"&gt;0")&gt;0,SUM(OFFSET(AV78,1-MIN(p_PenLb,ROW()-4),0,MIN(p_PenLb,ROW()-4),1))/COUNTIF(OFFSET(AV78,1-MIN(p_PenLb,ROW()-4),0,MIN(p_PenLb,ROW()-4),1),"&gt;0"),0.5*Y78)</f>
        <v>0.323405994268593</v>
      </c>
      <c r="AX78" s="41" t="n">
        <f aca="false">2*H78-H77</f>
        <v>26.1104971573997</v>
      </c>
      <c r="AY78" s="40" t="n">
        <f aca="false">ROUND(MAX(AX78-AW78,0.01),2)</f>
        <v>25.79</v>
      </c>
      <c r="AZ78" s="40" t="n">
        <f aca="true">IF(MIN(p_StopLb,ROW()-4)&lt;2,D78,SMALL(OFFSET(D78,1-MIN(p_StopLb,ROW()-4),0,MIN(p_StopLb,ROW()-4),1),2))</f>
        <v>25</v>
      </c>
      <c r="BA78" s="40" t="n">
        <f aca="false">IF(MOD(ROUND(ROUNDDOWN(MIN(AZ78-0.01,AY78-p_StopAtr*Y78),2)*100,0),50)=0,ROUNDDOWN(MIN(AZ78-0.01,AY78-p_StopAtr*Y78),2)-0.01,ROUNDDOWN(MIN(AZ78-0.01,AY78-p_StopAtr*Y78),2))</f>
        <v>24.99</v>
      </c>
      <c r="BB78" s="40" t="n">
        <f aca="false">ROUND(AI78,2)</f>
        <v>26.94</v>
      </c>
      <c r="BC78" s="40" t="n">
        <f aca="false">IF(AY78-BA78&gt;0,(BB78-AY78)/(AY78-BA78),0)</f>
        <v>1.4375</v>
      </c>
      <c r="BD78" s="42" t="n">
        <f aca="false">IF(N78&lt;0,1,0)</f>
        <v>0</v>
      </c>
      <c r="BE78" s="41" t="n">
        <f aca="false">IF(AND(BD78=1,BD77=0),N78,IF(BD78=1,MIN(BE77,N78),BE77))</f>
        <v>-0.267100964273217</v>
      </c>
      <c r="BF78" s="40" t="n">
        <f aca="false">IF(AND(BD78=1,BD77=0),D78,IF(BD78=1,MIN(BF77,D78),BF77))</f>
        <v>23.24</v>
      </c>
      <c r="BG78" s="42" t="n">
        <f aca="false">IF(AND(BD78=1,BD77=0),ROW(),IF(BD78=1,IF(N78&lt;BE77,ROW(),BG77),BG77))</f>
        <v>52</v>
      </c>
      <c r="BH78" s="41" t="n">
        <f aca="false">IF(AND(BD78=1,BD77=0),BE77,BH77)</f>
        <v>-0.0234128043712021</v>
      </c>
      <c r="BI78" s="40" t="n">
        <f aca="false">IF(AND(BD78=1,BD77=0),BF77,BI77)</f>
        <v>19.42</v>
      </c>
      <c r="BJ78" s="42" t="n">
        <f aca="false">IF(AND(BD78=1,BD77=0),BG77,BJ77)</f>
        <v>10</v>
      </c>
      <c r="BK78" s="42" t="n">
        <f aca="false">IF(AND(ISNUMBER(BG78),ISNUMBER(BJ78)),BG78-BJ78,"")</f>
        <v>42</v>
      </c>
      <c r="BL78" s="42" t="n">
        <f aca="false">IF(AND(BD78=1,N78&gt;N77,ISNUMBER(BH78),ISNUMBER(BK78)),IF(AND(BE78&gt;BH78,BF78&lt;BI78,BK78&gt;=p_GapMin,BK78&lt;=p_GapMax),1,0),0)</f>
        <v>0</v>
      </c>
      <c r="BM78" s="42" t="n">
        <f aca="false">IF(AND(BL78=1,E78&gt;BI78),1,0)</f>
        <v>0</v>
      </c>
      <c r="BN78" s="42" t="n">
        <f aca="false">IF(BL78=1,IF(BE78&gt;=BH78*0.5,1,0),0)</f>
        <v>0</v>
      </c>
      <c r="BO78" s="42" t="n">
        <f aca="true">IF(V78&gt;MIN(OFFSET(V78,-MIN(p_FiLb-1,ROW()-5),0,MIN(p_FiLb-1,ROW()-5),1)),1,0)</f>
        <v>1</v>
      </c>
      <c r="BP78" s="44" t="n">
        <f aca="true">IF(COUNTIF(OFFSET(V78,1-MIN(100,ROW()-4),0,MIN(100,ROW()-4),1),"&lt;0")&gt;=5,AVERAGEIF(OFFSET(V78,1-MIN(100,ROW()-4),0,MIN(100,ROW()-4),1),"&lt;0"),"")</f>
        <v>-561083.301382602</v>
      </c>
      <c r="BQ78" s="42" t="n">
        <f aca="false">IF(ISNUMBER(BP78),IF(AND(V78&lt;5*BP78,V78&gt;V77,E78&lt;AJ78),1,0),0)</f>
        <v>0</v>
      </c>
      <c r="BR78" s="44" t="n">
        <f aca="true">AVERAGE(OFFSET(F78,1-MIN(5,ROW()-4),0,MIN(5,ROW()-4),1))</f>
        <v>3413840</v>
      </c>
      <c r="BS78" s="42" t="n">
        <f aca="false">IFERROR(IF(MATCH(G78,周线!$A$5:$A$84,0)&lt;=1,"",INDEX(周线!$R$5:$R$84,MATCH(G78,周线!$A$5:$A$84,0)-1)),"")</f>
        <v>1</v>
      </c>
      <c r="BT78" s="42" t="n">
        <f aca="false">IFERROR(IF(MATCH(G78,周线!$A$5:$A$84,0)&lt;=1,"",INDEX(周线!$S$5:$S$84,MATCH(G78,周线!$A$5:$A$84,0)-1)),"")</f>
        <v>1</v>
      </c>
      <c r="BU78" s="42" t="n">
        <f aca="false">IFERROR(IF(MATCH(G78,周线!$A$5:$A$84,0)&lt;=1,"",INDEX(周线!$U$5:$U$84,MATCH(G78,周线!$A$5:$A$84,0)-1)),"")</f>
        <v>1</v>
      </c>
      <c r="BV78" s="42" t="n">
        <f aca="false">IF(AND(BS78=1,S78&lt;&gt;-1,V78&lt;0,BO78=1,E78&lt;=H78,E78&gt;=AJ78),1,0)</f>
        <v>0</v>
      </c>
      <c r="BW78" s="42" t="n">
        <f aca="false">BL78</f>
        <v>0</v>
      </c>
      <c r="BX78" s="42" t="n">
        <f aca="false">BQ78</f>
        <v>0</v>
      </c>
      <c r="BY78" s="42" t="n">
        <f aca="false">IF(BS78=1,10,0)+IF(BU78=1,5,IF(BU78=-1,0,3))+IF(BT78=1,5,0)+IF(AND(AE78&gt;AF78,AH78&gt;AH77),5,0)</f>
        <v>25</v>
      </c>
      <c r="BZ78" s="42" t="n">
        <f aca="false">IF(AND(E78&lt;=H78,E78&gt;=I78),10,IF(AND(E78&gt;=AJ78,E78&lt;I78),6,0))+IF(AND(V78&lt;0,BO78=1),8,0)+IF(AT78&lt;30,7,IF(AT78&lt;50,3,0))</f>
        <v>8</v>
      </c>
      <c r="CA78" s="42" t="n">
        <f aca="false">IF(AND(BV78=1,BW78=1),25,IF(BW78=1,22,IF(BV78=1,15,IF(BX78=1,12,0))))</f>
        <v>0</v>
      </c>
      <c r="CB78" s="42" t="n">
        <f aca="false">IF(W78&gt;0,6,0)+IF(F78&lt;BR78,4,0)</f>
        <v>10</v>
      </c>
      <c r="CC78" s="42" t="n">
        <f aca="false">IF(BC78&gt;=3,15,IF(BC78&gt;=p_RRmin,10,IF(BC78&gt;=1.5,4,0)))</f>
        <v>0</v>
      </c>
      <c r="CD78" s="42" t="n">
        <f aca="false">BY78+BZ78+CA78+CB78+CC78</f>
        <v>43</v>
      </c>
      <c r="CE78" s="42" t="n">
        <f aca="false">IF(AND(BS78&lt;&gt;1,BW78+BX78=0),1,0)</f>
        <v>0</v>
      </c>
      <c r="CF78" s="42" t="n">
        <f aca="false">IF(BU78=-1,1,0)</f>
        <v>0</v>
      </c>
      <c r="CG78" s="42" t="n">
        <f aca="false">IF(S78=-1,1,0)</f>
        <v>0</v>
      </c>
      <c r="CH78" s="42" t="n">
        <f aca="false">IF(BV78+BW78+BX78=0,1,0)</f>
        <v>1</v>
      </c>
      <c r="CI78" s="42" t="n">
        <f aca="false">IF(BC78&lt;p_RRmin,1,0)</f>
        <v>1</v>
      </c>
      <c r="CJ78" s="46" t="str">
        <f aca="false">IF(SUM(CE78:CI78)=0,IF(CD78&gt;=p_GradeA,"A",IF(CD78&gt;=p_GradeB,"B","C")),IF(AND(CI78=1,SUM(CE78:CH78)=0,CD78&gt;=p_GradeB),"B","C"))</f>
        <v>C</v>
      </c>
    </row>
    <row r="79" customFormat="false" ht="15" hidden="false" customHeight="false" outlineLevel="0" collapsed="false">
      <c r="A79" s="36" t="n">
        <v>45763</v>
      </c>
      <c r="B79" s="37" t="n">
        <v>26.6</v>
      </c>
      <c r="C79" s="37" t="n">
        <v>26.89</v>
      </c>
      <c r="D79" s="37" t="n">
        <v>26.13</v>
      </c>
      <c r="E79" s="37" t="n">
        <v>26.21</v>
      </c>
      <c r="F79" s="38" t="n">
        <v>3807800</v>
      </c>
      <c r="G79" s="39" t="n">
        <f aca="false">A79-WEEKDAY(A79,3)</f>
        <v>45761</v>
      </c>
      <c r="H79" s="40" t="n">
        <f aca="false">2/(p_EmaF+1)*E79+(1-2/(p_EmaF+1))*H78</f>
        <v>26.0510827904683</v>
      </c>
      <c r="I79" s="40" t="n">
        <f aca="false">2/(p_EmaS+1)*E79+(1-2/(p_EmaS+1))*I78</f>
        <v>25.4738862807266</v>
      </c>
      <c r="J79" s="41" t="n">
        <f aca="false">2/(p_MacdF+1)*E79+(1-2/(p_MacdF+1))*J78</f>
        <v>26.101460747342</v>
      </c>
      <c r="K79" s="41" t="n">
        <f aca="false">2/(p_MacdS+1)*E79+(1-2/(p_MacdS+1))*K78</f>
        <v>25.4738862807266</v>
      </c>
      <c r="L79" s="41" t="n">
        <f aca="false">J79-K79</f>
        <v>0.627574466615378</v>
      </c>
      <c r="M79" s="41" t="n">
        <f aca="false">2/(p_MacdSig+1)*L79+(1-2/(p_MacdSig+1))*M78</f>
        <v>0.590661355833978</v>
      </c>
      <c r="N79" s="41" t="n">
        <f aca="false">L79-M79</f>
        <v>0.0369131107814001</v>
      </c>
      <c r="O79" s="42" t="n">
        <f aca="false">IF(H79&gt;H78,1,0)</f>
        <v>1</v>
      </c>
      <c r="P79" s="42" t="n">
        <f aca="false">IF(H79&lt;H78,1,0)</f>
        <v>0</v>
      </c>
      <c r="Q79" s="42" t="n">
        <f aca="false">IF(N79&gt;N78,1,0)</f>
        <v>0</v>
      </c>
      <c r="R79" s="42" t="n">
        <f aca="false">IF(N79&lt;N78,1,0)</f>
        <v>1</v>
      </c>
      <c r="S79" s="42" t="n">
        <f aca="false">IF(AND(O79=1,Q79=1),1,IF(AND(P79=1,R79=1),-1,0))</f>
        <v>0</v>
      </c>
      <c r="T79" s="43" t="str">
        <f aca="false">IF(S79=1,"绿",IF(S79=-1,"红","蓝"))</f>
        <v>蓝</v>
      </c>
      <c r="U79" s="44" t="n">
        <f aca="false">F79*(E79-E78)</f>
        <v>-1256573.99999999</v>
      </c>
      <c r="V79" s="44" t="n">
        <f aca="false">2/(p_FiS+1)*U79+(1-2/(p_FiS+1))*V78</f>
        <v>-854958.400536203</v>
      </c>
      <c r="W79" s="44" t="n">
        <f aca="false">2/(p_FiL+1)*U79+(1-2/(p_FiL+1))*W78</f>
        <v>199087.263385967</v>
      </c>
      <c r="X79" s="41" t="n">
        <f aca="false">MAX(C79-D79,ABS(C79-E78),ABS(D79-E78))</f>
        <v>0.760000000000002</v>
      </c>
      <c r="Y79" s="41" t="n">
        <f aca="true">AVERAGE(OFFSET(X79,1-MIN(p_AtrN,ROW()-4),0,MIN(p_AtrN,ROW()-4),1))</f>
        <v>0.583846153846154</v>
      </c>
      <c r="Z79" s="41" t="n">
        <f aca="false">IF(AND(C79-C78&gt;D78-D79,C79-C78&gt;0),C79-C78,0)</f>
        <v>0</v>
      </c>
      <c r="AA79" s="41" t="n">
        <f aca="false">IF(AND(D78-D79&gt;C79-C78,D78-D79&gt;0),D78-D79,0)</f>
        <v>0.310000000000002</v>
      </c>
      <c r="AB79" s="41" t="n">
        <f aca="false">2/(p_AdxN+1)*X79+(1-2/(p_AdxN+1))*AB78</f>
        <v>0.553020794804428</v>
      </c>
      <c r="AC79" s="41" t="n">
        <f aca="false">2/(p_AdxN+1)*Z79+(1-2/(p_AdxN+1))*AC78</f>
        <v>0.114872020565458</v>
      </c>
      <c r="AD79" s="41" t="n">
        <f aca="false">2/(p_AdxN+1)*AA79+(1-2/(p_AdxN+1))*AD78</f>
        <v>0.0733084032246338</v>
      </c>
      <c r="AE79" s="45" t="n">
        <f aca="false">100*AC79/AB79</f>
        <v>20.7717361887055</v>
      </c>
      <c r="AF79" s="45" t="n">
        <f aca="false">100*AD79/AB79</f>
        <v>13.2559939722626</v>
      </c>
      <c r="AG79" s="45" t="n">
        <f aca="false">IFERROR(100*ABS(AE79-AF79)/(AE79+AF79),0)</f>
        <v>22.0871100743119</v>
      </c>
      <c r="AH79" s="45" t="n">
        <f aca="false">2/(p_AdxN+1)*AG79+(1-2/(p_AdxN+1))*AH78</f>
        <v>48.7751452628219</v>
      </c>
      <c r="AI79" s="40" t="n">
        <f aca="false">I79*(1+p_ChPct)</f>
        <v>27.0023194575702</v>
      </c>
      <c r="AJ79" s="40" t="n">
        <f aca="false">I79*(1-p_ChPct)</f>
        <v>23.945453103883</v>
      </c>
      <c r="AK79" s="40" t="n">
        <f aca="false">I79+1*Y79</f>
        <v>26.0577324345728</v>
      </c>
      <c r="AL79" s="40" t="n">
        <f aca="false">I79+2*Y79</f>
        <v>26.6415785884189</v>
      </c>
      <c r="AM79" s="40" t="n">
        <f aca="false">I79+3*Y79</f>
        <v>27.2254247422651</v>
      </c>
      <c r="AN79" s="40" t="n">
        <f aca="false">I79-1*Y79</f>
        <v>24.8900401268805</v>
      </c>
      <c r="AO79" s="40" t="n">
        <f aca="false">I79-2*Y79</f>
        <v>24.3061939730343</v>
      </c>
      <c r="AP79" s="40" t="n">
        <f aca="false">I79-3*Y79</f>
        <v>23.7223478191881</v>
      </c>
      <c r="AQ79" s="40" t="n">
        <f aca="true">MAX(OFFSET(C79,1-MIN(p_StochN,ROW()-4),0,MIN(p_StochN,ROW()-4),1))</f>
        <v>27.03</v>
      </c>
      <c r="AR79" s="40" t="n">
        <f aca="true">MIN(OFFSET(D79,1-MIN(p_StochN,ROW()-4),0,MIN(p_StochN,ROW()-4),1))</f>
        <v>26.13</v>
      </c>
      <c r="AS79" s="45" t="n">
        <f aca="false">IF(AQ79=AR79,50,100*(E79-AR79)/(AQ79-AR79))</f>
        <v>8.88888888888907</v>
      </c>
      <c r="AT79" s="45" t="n">
        <f aca="true">AVERAGE(OFFSET(AS79,1-MIN(p_StochSm,ROW()-4),0,MIN(p_StochSm,ROW()-4),1))</f>
        <v>32.3308414219972</v>
      </c>
      <c r="AU79" s="45" t="n">
        <f aca="true">AVERAGE(OFFSET(AT79,1-MIN(p_StochSm,ROW()-4),0,MIN(p_StochSm,ROW()-4),1))</f>
        <v>48.5672457435975</v>
      </c>
      <c r="AV79" s="41" t="n">
        <f aca="false">MAX(0,H79-D79)</f>
        <v>0</v>
      </c>
      <c r="AW79" s="41" t="n">
        <f aca="true">IF(COUNTIF(OFFSET(AV79,1-MIN(p_PenLb,ROW()-4),0,MIN(p_PenLb,ROW()-4),1),"&gt;0")&gt;0,SUM(OFFSET(AV79,1-MIN(p_PenLb,ROW()-4),0,MIN(p_PenLb,ROW()-4),1))/COUNTIF(OFFSET(AV79,1-MIN(p_PenLb,ROW()-4),0,MIN(p_PenLb,ROW()-4),1),"&gt;0"),0.5*Y79)</f>
        <v>0.316221902031015</v>
      </c>
      <c r="AX79" s="41" t="n">
        <f aca="false">2*H79-H78</f>
        <v>26.0775689920569</v>
      </c>
      <c r="AY79" s="40" t="n">
        <f aca="false">ROUND(MAX(AX79-AW79,0.01),2)</f>
        <v>25.76</v>
      </c>
      <c r="AZ79" s="40" t="n">
        <f aca="true">IF(MIN(p_StopLb,ROW()-4)&lt;2,D79,SMALL(OFFSET(D79,1-MIN(p_StopLb,ROW()-4),0,MIN(p_StopLb,ROW()-4),1),2))</f>
        <v>25</v>
      </c>
      <c r="BA79" s="40" t="n">
        <f aca="false">IF(MOD(ROUND(ROUNDDOWN(MIN(AZ79-0.01,AY79-p_StopAtr*Y79),2)*100,0),50)=0,ROUNDDOWN(MIN(AZ79-0.01,AY79-p_StopAtr*Y79),2)-0.01,ROUNDDOWN(MIN(AZ79-0.01,AY79-p_StopAtr*Y79),2))</f>
        <v>24.99</v>
      </c>
      <c r="BB79" s="40" t="n">
        <f aca="false">ROUND(AI79,2)</f>
        <v>27</v>
      </c>
      <c r="BC79" s="40" t="n">
        <f aca="false">IF(AY79-BA79&gt;0,(BB79-AY79)/(AY79-BA79),0)</f>
        <v>1.6103896103896</v>
      </c>
      <c r="BD79" s="42" t="n">
        <f aca="false">IF(N79&lt;0,1,0)</f>
        <v>0</v>
      </c>
      <c r="BE79" s="41" t="n">
        <f aca="false">IF(AND(BD79=1,BD78=0),N79,IF(BD79=1,MIN(BE78,N79),BE78))</f>
        <v>-0.267100964273217</v>
      </c>
      <c r="BF79" s="40" t="n">
        <f aca="false">IF(AND(BD79=1,BD78=0),D79,IF(BD79=1,MIN(BF78,D79),BF78))</f>
        <v>23.24</v>
      </c>
      <c r="BG79" s="42" t="n">
        <f aca="false">IF(AND(BD79=1,BD78=0),ROW(),IF(BD79=1,IF(N79&lt;BE78,ROW(),BG78),BG78))</f>
        <v>52</v>
      </c>
      <c r="BH79" s="41" t="n">
        <f aca="false">IF(AND(BD79=1,BD78=0),BE78,BH78)</f>
        <v>-0.0234128043712021</v>
      </c>
      <c r="BI79" s="40" t="n">
        <f aca="false">IF(AND(BD79=1,BD78=0),BF78,BI78)</f>
        <v>19.42</v>
      </c>
      <c r="BJ79" s="42" t="n">
        <f aca="false">IF(AND(BD79=1,BD78=0),BG78,BJ78)</f>
        <v>10</v>
      </c>
      <c r="BK79" s="42" t="n">
        <f aca="false">IF(AND(ISNUMBER(BG79),ISNUMBER(BJ79)),BG79-BJ79,"")</f>
        <v>42</v>
      </c>
      <c r="BL79" s="42" t="n">
        <f aca="false">IF(AND(BD79=1,N79&gt;N78,ISNUMBER(BH79),ISNUMBER(BK79)),IF(AND(BE79&gt;BH79,BF79&lt;BI79,BK79&gt;=p_GapMin,BK79&lt;=p_GapMax),1,0),0)</f>
        <v>0</v>
      </c>
      <c r="BM79" s="42" t="n">
        <f aca="false">IF(AND(BL79=1,E79&gt;BI79),1,0)</f>
        <v>0</v>
      </c>
      <c r="BN79" s="42" t="n">
        <f aca="false">IF(BL79=1,IF(BE79&gt;=BH79*0.5,1,0),0)</f>
        <v>0</v>
      </c>
      <c r="BO79" s="42" t="n">
        <f aca="true">IF(V79&gt;MIN(OFFSET(V79,-MIN(p_FiLb-1,ROW()-5),0,MIN(p_FiLb-1,ROW()-5),1)),1,0)</f>
        <v>1</v>
      </c>
      <c r="BP79" s="44" t="n">
        <f aca="true">IF(COUNTIF(OFFSET(V79,1-MIN(100,ROW()-4),0,MIN(100,ROW()-4),1),"&lt;0")&gt;=5,AVERAGEIF(OFFSET(V79,1-MIN(100,ROW()-4),0,MIN(100,ROW()-4),1),"&lt;0"),"")</f>
        <v>-572386.189811586</v>
      </c>
      <c r="BQ79" s="42" t="n">
        <f aca="false">IF(ISNUMBER(BP79),IF(AND(V79&lt;5*BP79,V79&gt;V78,E79&lt;AJ79),1,0),0)</f>
        <v>0</v>
      </c>
      <c r="BR79" s="44" t="n">
        <f aca="true">AVERAGE(OFFSET(F79,1-MIN(5,ROW()-4),0,MIN(5,ROW()-4),1))</f>
        <v>3210780</v>
      </c>
      <c r="BS79" s="42" t="n">
        <f aca="false">IFERROR(IF(MATCH(G79,周线!$A$5:$A$84,0)&lt;=1,"",INDEX(周线!$R$5:$R$84,MATCH(G79,周线!$A$5:$A$84,0)-1)),"")</f>
        <v>1</v>
      </c>
      <c r="BT79" s="42" t="n">
        <f aca="false">IFERROR(IF(MATCH(G79,周线!$A$5:$A$84,0)&lt;=1,"",INDEX(周线!$S$5:$S$84,MATCH(G79,周线!$A$5:$A$84,0)-1)),"")</f>
        <v>1</v>
      </c>
      <c r="BU79" s="42" t="n">
        <f aca="false">IFERROR(IF(MATCH(G79,周线!$A$5:$A$84,0)&lt;=1,"",INDEX(周线!$U$5:$U$84,MATCH(G79,周线!$A$5:$A$84,0)-1)),"")</f>
        <v>1</v>
      </c>
      <c r="BV79" s="42" t="n">
        <f aca="false">IF(AND(BS79=1,S79&lt;&gt;-1,V79&lt;0,BO79=1,E79&lt;=H79,E79&gt;=AJ79),1,0)</f>
        <v>0</v>
      </c>
      <c r="BW79" s="42" t="n">
        <f aca="false">BL79</f>
        <v>0</v>
      </c>
      <c r="BX79" s="42" t="n">
        <f aca="false">BQ79</f>
        <v>0</v>
      </c>
      <c r="BY79" s="42" t="n">
        <f aca="false">IF(BS79=1,10,0)+IF(BU79=1,5,IF(BU79=-1,0,3))+IF(BT79=1,5,0)+IF(AND(AE79&gt;AF79,AH79&gt;AH78),5,0)</f>
        <v>20</v>
      </c>
      <c r="BZ79" s="42" t="n">
        <f aca="false">IF(AND(E79&lt;=H79,E79&gt;=I79),10,IF(AND(E79&gt;=AJ79,E79&lt;I79),6,0))+IF(AND(V79&lt;0,BO79=1),8,0)+IF(AT79&lt;30,7,IF(AT79&lt;50,3,0))</f>
        <v>11</v>
      </c>
      <c r="CA79" s="42" t="n">
        <f aca="false">IF(AND(BV79=1,BW79=1),25,IF(BW79=1,22,IF(BV79=1,15,IF(BX79=1,12,0))))</f>
        <v>0</v>
      </c>
      <c r="CB79" s="42" t="n">
        <f aca="false">IF(W79&gt;0,6,0)+IF(F79&lt;BR79,4,0)</f>
        <v>6</v>
      </c>
      <c r="CC79" s="42" t="n">
        <f aca="false">IF(BC79&gt;=3,15,IF(BC79&gt;=p_RRmin,10,IF(BC79&gt;=1.5,4,0)))</f>
        <v>4</v>
      </c>
      <c r="CD79" s="42" t="n">
        <f aca="false">BY79+BZ79+CA79+CB79+CC79</f>
        <v>41</v>
      </c>
      <c r="CE79" s="42" t="n">
        <f aca="false">IF(AND(BS79&lt;&gt;1,BW79+BX79=0),1,0)</f>
        <v>0</v>
      </c>
      <c r="CF79" s="42" t="n">
        <f aca="false">IF(BU79=-1,1,0)</f>
        <v>0</v>
      </c>
      <c r="CG79" s="42" t="n">
        <f aca="false">IF(S79=-1,1,0)</f>
        <v>0</v>
      </c>
      <c r="CH79" s="42" t="n">
        <f aca="false">IF(BV79+BW79+BX79=0,1,0)</f>
        <v>1</v>
      </c>
      <c r="CI79" s="42" t="n">
        <f aca="false">IF(BC79&lt;p_RRmin,1,0)</f>
        <v>1</v>
      </c>
      <c r="CJ79" s="46" t="str">
        <f aca="false">IF(SUM(CE79:CI79)=0,IF(CD79&gt;=p_GradeA,"A",IF(CD79&gt;=p_GradeB,"B","C")),IF(AND(CI79=1,SUM(CE79:CH79)=0,CD79&gt;=p_GradeB),"B","C"))</f>
        <v>C</v>
      </c>
    </row>
    <row r="80" customFormat="false" ht="15" hidden="false" customHeight="false" outlineLevel="0" collapsed="false">
      <c r="A80" s="36" t="n">
        <v>45764</v>
      </c>
      <c r="B80" s="37" t="n">
        <v>26.23</v>
      </c>
      <c r="C80" s="37" t="n">
        <v>26.38</v>
      </c>
      <c r="D80" s="37" t="n">
        <v>25.9</v>
      </c>
      <c r="E80" s="37" t="n">
        <v>26.07</v>
      </c>
      <c r="F80" s="38" t="n">
        <v>2778300</v>
      </c>
      <c r="G80" s="39" t="n">
        <f aca="false">A80-WEEKDAY(A80,3)</f>
        <v>45761</v>
      </c>
      <c r="H80" s="40" t="n">
        <f aca="false">2/(p_EmaF+1)*E80+(1-2/(p_EmaF+1))*H79</f>
        <v>26.0537852489728</v>
      </c>
      <c r="I80" s="40" t="n">
        <f aca="false">2/(p_EmaS+1)*E80+(1-2/(p_EmaS+1))*I79</f>
        <v>25.5180428525246</v>
      </c>
      <c r="J80" s="41" t="n">
        <f aca="false">2/(p_MacdF+1)*E80+(1-2/(p_MacdF+1))*J79</f>
        <v>26.0966206323663</v>
      </c>
      <c r="K80" s="41" t="n">
        <f aca="false">2/(p_MacdS+1)*E80+(1-2/(p_MacdS+1))*K79</f>
        <v>25.5180428525246</v>
      </c>
      <c r="L80" s="41" t="n">
        <f aca="false">J80-K80</f>
        <v>0.578577779841659</v>
      </c>
      <c r="M80" s="41" t="n">
        <f aca="false">2/(p_MacdSig+1)*L80+(1-2/(p_MacdSig+1))*M79</f>
        <v>0.588244640635514</v>
      </c>
      <c r="N80" s="41" t="n">
        <f aca="false">L80-M80</f>
        <v>-0.00966686079385548</v>
      </c>
      <c r="O80" s="42" t="n">
        <f aca="false">IF(H80&gt;H79,1,0)</f>
        <v>1</v>
      </c>
      <c r="P80" s="42" t="n">
        <f aca="false">IF(H80&lt;H79,1,0)</f>
        <v>0</v>
      </c>
      <c r="Q80" s="42" t="n">
        <f aca="false">IF(N80&gt;N79,1,0)</f>
        <v>0</v>
      </c>
      <c r="R80" s="42" t="n">
        <f aca="false">IF(N80&lt;N79,1,0)</f>
        <v>1</v>
      </c>
      <c r="S80" s="42" t="n">
        <f aca="false">IF(AND(O80=1,Q80=1),1,IF(AND(P80=1,R80=1),-1,0))</f>
        <v>0</v>
      </c>
      <c r="T80" s="43" t="str">
        <f aca="false">IF(S80=1,"绿",IF(S80=-1,"红","蓝"))</f>
        <v>蓝</v>
      </c>
      <c r="U80" s="44" t="n">
        <f aca="false">F80*(E80-E79)</f>
        <v>-388962.000000002</v>
      </c>
      <c r="V80" s="44" t="n">
        <f aca="false">2/(p_FiS+1)*U80+(1-2/(p_FiS+1))*V79</f>
        <v>-544294.133512069</v>
      </c>
      <c r="W80" s="44" t="n">
        <f aca="false">2/(p_FiL+1)*U80+(1-2/(p_FiL+1))*W79</f>
        <v>115080.2257594</v>
      </c>
      <c r="X80" s="41" t="n">
        <f aca="false">MAX(C80-D80,ABS(C80-E79),ABS(D80-E79))</f>
        <v>0.48</v>
      </c>
      <c r="Y80" s="41" t="n">
        <f aca="true">AVERAGE(OFFSET(X80,1-MIN(p_AtrN,ROW()-4),0,MIN(p_AtrN,ROW()-4),1))</f>
        <v>0.561538461538461</v>
      </c>
      <c r="Z80" s="41" t="n">
        <f aca="false">IF(AND(C80-C79&gt;D79-D80,C80-C79&gt;0),C80-C79,0)</f>
        <v>0</v>
      </c>
      <c r="AA80" s="41" t="n">
        <f aca="false">IF(AND(D79-D80&gt;C80-C79,D79-D80&gt;0),D79-D80,0)</f>
        <v>0.23</v>
      </c>
      <c r="AB80" s="41" t="n">
        <f aca="false">2/(p_AdxN+1)*X80+(1-2/(p_AdxN+1))*AB79</f>
        <v>0.54258925268951</v>
      </c>
      <c r="AC80" s="41" t="n">
        <f aca="false">2/(p_AdxN+1)*Z80+(1-2/(p_AdxN+1))*AC79</f>
        <v>0.0984617319132497</v>
      </c>
      <c r="AD80" s="41" t="n">
        <f aca="false">2/(p_AdxN+1)*AA80+(1-2/(p_AdxN+1))*AD79</f>
        <v>0.0956929170496862</v>
      </c>
      <c r="AE80" s="45" t="n">
        <f aca="false">100*AC80/AB80</f>
        <v>18.1466424970996</v>
      </c>
      <c r="AF80" s="45" t="n">
        <f aca="false">100*AD80/AB80</f>
        <v>17.6363458316498</v>
      </c>
      <c r="AG80" s="45" t="n">
        <f aca="false">IFERROR(100*ABS(AE80-AF80)/(AE80+AF80),0)</f>
        <v>1.42608733726079</v>
      </c>
      <c r="AH80" s="45" t="n">
        <f aca="false">2/(p_AdxN+1)*AG80+(1-2/(p_AdxN+1))*AH79</f>
        <v>42.0109941305989</v>
      </c>
      <c r="AI80" s="40" t="n">
        <f aca="false">I80*(1+p_ChPct)</f>
        <v>27.0491254236761</v>
      </c>
      <c r="AJ80" s="40" t="n">
        <f aca="false">I80*(1-p_ChPct)</f>
        <v>23.9869602813732</v>
      </c>
      <c r="AK80" s="40" t="n">
        <f aca="false">I80+1*Y80</f>
        <v>26.0795813140631</v>
      </c>
      <c r="AL80" s="40" t="n">
        <f aca="false">I80+2*Y80</f>
        <v>26.6411197756016</v>
      </c>
      <c r="AM80" s="40" t="n">
        <f aca="false">I80+3*Y80</f>
        <v>27.20265823714</v>
      </c>
      <c r="AN80" s="40" t="n">
        <f aca="false">I80-1*Y80</f>
        <v>24.9565043909862</v>
      </c>
      <c r="AO80" s="40" t="n">
        <f aca="false">I80-2*Y80</f>
        <v>24.3949659294477</v>
      </c>
      <c r="AP80" s="40" t="n">
        <f aca="false">I80-3*Y80</f>
        <v>23.8334274679093</v>
      </c>
      <c r="AQ80" s="40" t="n">
        <f aca="true">MAX(OFFSET(C80,1-MIN(p_StochN,ROW()-4),0,MIN(p_StochN,ROW()-4),1))</f>
        <v>26.9</v>
      </c>
      <c r="AR80" s="40" t="n">
        <f aca="true">MIN(OFFSET(D80,1-MIN(p_StochN,ROW()-4),0,MIN(p_StochN,ROW()-4),1))</f>
        <v>25.9</v>
      </c>
      <c r="AS80" s="45" t="n">
        <f aca="false">IF(AQ80=AR80,50,100*(E80-AR80)/(AQ80-AR80))</f>
        <v>17.0000000000002</v>
      </c>
      <c r="AT80" s="45" t="n">
        <f aca="true">AVERAGE(OFFSET(AS80,1-MIN(p_StochSm,ROW()-4),0,MIN(p_StochSm,ROW()-4),1))</f>
        <v>20.4717348927876</v>
      </c>
      <c r="AU80" s="45" t="n">
        <f aca="true">AVERAGE(OFFSET(AT80,1-MIN(p_StochSm,ROW()-4),0,MIN(p_StochSm,ROW()-4),1))</f>
        <v>34.3775513621779</v>
      </c>
      <c r="AV80" s="41" t="n">
        <f aca="false">MAX(0,H80-D80)</f>
        <v>0.153785248972792</v>
      </c>
      <c r="AW80" s="41" t="n">
        <f aca="true">IF(COUNTIF(OFFSET(AV80,1-MIN(p_PenLb,ROW()-4),0,MIN(p_PenLb,ROW()-4),1),"&gt;0")&gt;0,SUM(OFFSET(AV80,1-MIN(p_PenLb,ROW()-4),0,MIN(p_PenLb,ROW()-4),1))/COUNTIF(OFFSET(AV80,1-MIN(p_PenLb,ROW()-4),0,MIN(p_PenLb,ROW()-4),1),"&gt;0"),0.5*Y80)</f>
        <v>0.300432075798785</v>
      </c>
      <c r="AX80" s="41" t="n">
        <f aca="false">2*H80-H79</f>
        <v>26.0564877074773</v>
      </c>
      <c r="AY80" s="40" t="n">
        <f aca="false">ROUND(MAX(AX80-AW80,0.01),2)</f>
        <v>25.76</v>
      </c>
      <c r="AZ80" s="40" t="n">
        <f aca="true">IF(MIN(p_StopLb,ROW()-4)&lt;2,D80,SMALL(OFFSET(D80,1-MIN(p_StopLb,ROW()-4),0,MIN(p_StopLb,ROW()-4),1),2))</f>
        <v>25.9</v>
      </c>
      <c r="BA80" s="40" t="n">
        <f aca="false">IF(MOD(ROUND(ROUNDDOWN(MIN(AZ80-0.01,AY80-p_StopAtr*Y80),2)*100,0),50)=0,ROUNDDOWN(MIN(AZ80-0.01,AY80-p_StopAtr*Y80),2)-0.01,ROUNDDOWN(MIN(AZ80-0.01,AY80-p_StopAtr*Y80),2))</f>
        <v>25.19</v>
      </c>
      <c r="BB80" s="40" t="n">
        <f aca="false">ROUND(AI80,2)</f>
        <v>27.05</v>
      </c>
      <c r="BC80" s="40" t="n">
        <f aca="false">IF(AY80-BA80&gt;0,(BB80-AY80)/(AY80-BA80),0)</f>
        <v>2.26315789473684</v>
      </c>
      <c r="BD80" s="42" t="n">
        <f aca="false">IF(N80&lt;0,1,0)</f>
        <v>1</v>
      </c>
      <c r="BE80" s="41" t="n">
        <f aca="false">IF(AND(BD80=1,BD79=0),N80,IF(BD80=1,MIN(BE79,N80),BE79))</f>
        <v>-0.00966686079385548</v>
      </c>
      <c r="BF80" s="40" t="n">
        <f aca="false">IF(AND(BD80=1,BD79=0),D80,IF(BD80=1,MIN(BF79,D80),BF79))</f>
        <v>25.9</v>
      </c>
      <c r="BG80" s="42" t="n">
        <f aca="false">IF(AND(BD80=1,BD79=0),ROW(),IF(BD80=1,IF(N80&lt;BE79,ROW(),BG79),BG79))</f>
        <v>80</v>
      </c>
      <c r="BH80" s="41" t="n">
        <f aca="false">IF(AND(BD80=1,BD79=0),BE79,BH79)</f>
        <v>-0.267100964273217</v>
      </c>
      <c r="BI80" s="40" t="n">
        <f aca="false">IF(AND(BD80=1,BD79=0),BF79,BI79)</f>
        <v>23.24</v>
      </c>
      <c r="BJ80" s="42" t="n">
        <f aca="false">IF(AND(BD80=1,BD79=0),BG79,BJ79)</f>
        <v>52</v>
      </c>
      <c r="BK80" s="42" t="n">
        <f aca="false">IF(AND(ISNUMBER(BG80),ISNUMBER(BJ80)),BG80-BJ80,"")</f>
        <v>28</v>
      </c>
      <c r="BL80" s="42" t="n">
        <f aca="false">IF(AND(BD80=1,N80&gt;N79,ISNUMBER(BH80),ISNUMBER(BK80)),IF(AND(BE80&gt;BH80,BF80&lt;BI80,BK80&gt;=p_GapMin,BK80&lt;=p_GapMax),1,0),0)</f>
        <v>0</v>
      </c>
      <c r="BM80" s="42" t="n">
        <f aca="false">IF(AND(BL80=1,E80&gt;BI80),1,0)</f>
        <v>0</v>
      </c>
      <c r="BN80" s="42" t="n">
        <f aca="false">IF(BL80=1,IF(BE80&gt;=BH80*0.5,1,0),0)</f>
        <v>0</v>
      </c>
      <c r="BO80" s="42" t="n">
        <f aca="true">IF(V80&gt;MIN(OFFSET(V80,-MIN(p_FiLb-1,ROW()-5),0,MIN(p_FiLb-1,ROW()-5),1)),1,0)</f>
        <v>1</v>
      </c>
      <c r="BP80" s="44" t="n">
        <f aca="true">IF(COUNTIF(OFFSET(V80,1-MIN(100,ROW()-4),0,MIN(100,ROW()-4),1),"&lt;0")&gt;=5,AVERAGEIF(OFFSET(V80,1-MIN(100,ROW()-4),0,MIN(100,ROW()-4),1),"&lt;0"),"")</f>
        <v>-571345.743281975</v>
      </c>
      <c r="BQ80" s="42" t="n">
        <f aca="false">IF(ISNUMBER(BP80),IF(AND(V80&lt;5*BP80,V80&gt;V79,E80&lt;AJ80),1,0),0)</f>
        <v>0</v>
      </c>
      <c r="BR80" s="44" t="n">
        <f aca="true">AVERAGE(OFFSET(F80,1-MIN(5,ROW()-4),0,MIN(5,ROW()-4),1))</f>
        <v>3190540</v>
      </c>
      <c r="BS80" s="42" t="n">
        <f aca="false">IFERROR(IF(MATCH(G80,周线!$A$5:$A$84,0)&lt;=1,"",INDEX(周线!$R$5:$R$84,MATCH(G80,周线!$A$5:$A$84,0)-1)),"")</f>
        <v>1</v>
      </c>
      <c r="BT80" s="42" t="n">
        <f aca="false">IFERROR(IF(MATCH(G80,周线!$A$5:$A$84,0)&lt;=1,"",INDEX(周线!$S$5:$S$84,MATCH(G80,周线!$A$5:$A$84,0)-1)),"")</f>
        <v>1</v>
      </c>
      <c r="BU80" s="42" t="n">
        <f aca="false">IFERROR(IF(MATCH(G80,周线!$A$5:$A$84,0)&lt;=1,"",INDEX(周线!$U$5:$U$84,MATCH(G80,周线!$A$5:$A$84,0)-1)),"")</f>
        <v>1</v>
      </c>
      <c r="BV80" s="42" t="n">
        <f aca="false">IF(AND(BS80=1,S80&lt;&gt;-1,V80&lt;0,BO80=1,E80&lt;=H80,E80&gt;=AJ80),1,0)</f>
        <v>0</v>
      </c>
      <c r="BW80" s="42" t="n">
        <f aca="false">BL80</f>
        <v>0</v>
      </c>
      <c r="BX80" s="42" t="n">
        <f aca="false">BQ80</f>
        <v>0</v>
      </c>
      <c r="BY80" s="42" t="n">
        <f aca="false">IF(BS80=1,10,0)+IF(BU80=1,5,IF(BU80=-1,0,3))+IF(BT80=1,5,0)+IF(AND(AE80&gt;AF80,AH80&gt;AH79),5,0)</f>
        <v>20</v>
      </c>
      <c r="BZ80" s="42" t="n">
        <f aca="false">IF(AND(E80&lt;=H80,E80&gt;=I80),10,IF(AND(E80&gt;=AJ80,E80&lt;I80),6,0))+IF(AND(V80&lt;0,BO80=1),8,0)+IF(AT80&lt;30,7,IF(AT80&lt;50,3,0))</f>
        <v>15</v>
      </c>
      <c r="CA80" s="42" t="n">
        <f aca="false">IF(AND(BV80=1,BW80=1),25,IF(BW80=1,22,IF(BV80=1,15,IF(BX80=1,12,0))))</f>
        <v>0</v>
      </c>
      <c r="CB80" s="42" t="n">
        <f aca="false">IF(W80&gt;0,6,0)+IF(F80&lt;BR80,4,0)</f>
        <v>10</v>
      </c>
      <c r="CC80" s="42" t="n">
        <f aca="false">IF(BC80&gt;=3,15,IF(BC80&gt;=p_RRmin,10,IF(BC80&gt;=1.5,4,0)))</f>
        <v>10</v>
      </c>
      <c r="CD80" s="42" t="n">
        <f aca="false">BY80+BZ80+CA80+CB80+CC80</f>
        <v>55</v>
      </c>
      <c r="CE80" s="42" t="n">
        <f aca="false">IF(AND(BS80&lt;&gt;1,BW80+BX80=0),1,0)</f>
        <v>0</v>
      </c>
      <c r="CF80" s="42" t="n">
        <f aca="false">IF(BU80=-1,1,0)</f>
        <v>0</v>
      </c>
      <c r="CG80" s="42" t="n">
        <f aca="false">IF(S80=-1,1,0)</f>
        <v>0</v>
      </c>
      <c r="CH80" s="42" t="n">
        <f aca="false">IF(BV80+BW80+BX80=0,1,0)</f>
        <v>1</v>
      </c>
      <c r="CI80" s="42" t="n">
        <f aca="false">IF(BC80&lt;p_RRmin,1,0)</f>
        <v>0</v>
      </c>
      <c r="CJ80" s="46" t="str">
        <f aca="false">IF(SUM(CE80:CI80)=0,IF(CD80&gt;=p_GradeA,"A",IF(CD80&gt;=p_GradeB,"B","C")),IF(AND(CI80=1,SUM(CE80:CH80)=0,CD80&gt;=p_GradeB),"B","C"))</f>
        <v>C</v>
      </c>
    </row>
    <row r="81" customFormat="false" ht="15" hidden="false" customHeight="false" outlineLevel="0" collapsed="false">
      <c r="A81" s="36" t="n">
        <v>45765</v>
      </c>
      <c r="B81" s="37" t="n">
        <v>25.99</v>
      </c>
      <c r="C81" s="37" t="n">
        <v>26.63</v>
      </c>
      <c r="D81" s="37" t="n">
        <v>25.86</v>
      </c>
      <c r="E81" s="37" t="n">
        <v>26.31</v>
      </c>
      <c r="F81" s="38" t="n">
        <v>2669900</v>
      </c>
      <c r="G81" s="39" t="n">
        <f aca="false">A81-WEEKDAY(A81,3)</f>
        <v>45761</v>
      </c>
      <c r="H81" s="40" t="n">
        <f aca="false">2/(p_EmaF+1)*E81+(1-2/(p_EmaF+1))*H80</f>
        <v>26.0903873562624</v>
      </c>
      <c r="I81" s="40" t="n">
        <f aca="false">2/(p_EmaS+1)*E81+(1-2/(p_EmaS+1))*I80</f>
        <v>25.5767063449302</v>
      </c>
      <c r="J81" s="41" t="n">
        <f aca="false">2/(p_MacdF+1)*E81+(1-2/(p_MacdF+1))*J80</f>
        <v>26.1294482273869</v>
      </c>
      <c r="K81" s="41" t="n">
        <f aca="false">2/(p_MacdS+1)*E81+(1-2/(p_MacdS+1))*K80</f>
        <v>25.5767063449302</v>
      </c>
      <c r="L81" s="41" t="n">
        <f aca="false">J81-K81</f>
        <v>0.552741882456648</v>
      </c>
      <c r="M81" s="41" t="n">
        <f aca="false">2/(p_MacdSig+1)*L81+(1-2/(p_MacdSig+1))*M80</f>
        <v>0.581144088999741</v>
      </c>
      <c r="N81" s="41" t="n">
        <f aca="false">L81-M81</f>
        <v>-0.0284022065430936</v>
      </c>
      <c r="O81" s="42" t="n">
        <f aca="false">IF(H81&gt;H80,1,0)</f>
        <v>1</v>
      </c>
      <c r="P81" s="42" t="n">
        <f aca="false">IF(H81&lt;H80,1,0)</f>
        <v>0</v>
      </c>
      <c r="Q81" s="42" t="n">
        <f aca="false">IF(N81&gt;N80,1,0)</f>
        <v>0</v>
      </c>
      <c r="R81" s="42" t="n">
        <f aca="false">IF(N81&lt;N80,1,0)</f>
        <v>1</v>
      </c>
      <c r="S81" s="42" t="n">
        <f aca="false">IF(AND(O81=1,Q81=1),1,IF(AND(P81=1,R81=1),-1,0))</f>
        <v>0</v>
      </c>
      <c r="T81" s="43" t="str">
        <f aca="false">IF(S81=1,"绿",IF(S81=-1,"红","蓝"))</f>
        <v>蓝</v>
      </c>
      <c r="U81" s="44" t="n">
        <f aca="false">F81*(E81-E80)</f>
        <v>640775.999999996</v>
      </c>
      <c r="V81" s="44" t="n">
        <f aca="false">2/(p_FiS+1)*U81+(1-2/(p_FiS+1))*V80</f>
        <v>245752.622162641</v>
      </c>
      <c r="W81" s="44" t="n">
        <f aca="false">2/(p_FiL+1)*U81+(1-2/(p_FiL+1))*W80</f>
        <v>190179.622079485</v>
      </c>
      <c r="X81" s="41" t="n">
        <f aca="false">MAX(C81-D81,ABS(C81-E80),ABS(D81-E80))</f>
        <v>0.77</v>
      </c>
      <c r="Y81" s="41" t="n">
        <f aca="true">AVERAGE(OFFSET(X81,1-MIN(p_AtrN,ROW()-4),0,MIN(p_AtrN,ROW()-4),1))</f>
        <v>0.579230769230769</v>
      </c>
      <c r="Z81" s="41" t="n">
        <f aca="false">IF(AND(C81-C80&gt;D80-D81,C81-C80&gt;0),C81-C80,0)</f>
        <v>0.25</v>
      </c>
      <c r="AA81" s="41" t="n">
        <f aca="false">IF(AND(D80-D81&gt;C81-C80,D80-D81&gt;0),D80-D81,0)</f>
        <v>0</v>
      </c>
      <c r="AB81" s="41" t="n">
        <f aca="false">2/(p_AdxN+1)*X81+(1-2/(p_AdxN+1))*AB80</f>
        <v>0.575076502305294</v>
      </c>
      <c r="AC81" s="41" t="n">
        <f aca="false">2/(p_AdxN+1)*Z81+(1-2/(p_AdxN+1))*AC80</f>
        <v>0.120110055925643</v>
      </c>
      <c r="AD81" s="41" t="n">
        <f aca="false">2/(p_AdxN+1)*AA81+(1-2/(p_AdxN+1))*AD80</f>
        <v>0.0820225003283024</v>
      </c>
      <c r="AE81" s="45" t="n">
        <f aca="false">100*AC81/AB81</f>
        <v>20.8859265583206</v>
      </c>
      <c r="AF81" s="45" t="n">
        <f aca="false">100*AD81/AB81</f>
        <v>14.2628850247751</v>
      </c>
      <c r="AG81" s="45" t="n">
        <f aca="false">IFERROR(100*ABS(AE81-AF81)/(AE81+AF81),0)</f>
        <v>18.8428604986768</v>
      </c>
      <c r="AH81" s="45" t="n">
        <f aca="false">2/(p_AdxN+1)*AG81+(1-2/(p_AdxN+1))*AH80</f>
        <v>38.70126075461</v>
      </c>
      <c r="AI81" s="40" t="n">
        <f aca="false">I81*(1+p_ChPct)</f>
        <v>27.111308725626</v>
      </c>
      <c r="AJ81" s="40" t="n">
        <f aca="false">I81*(1-p_ChPct)</f>
        <v>24.0421039642344</v>
      </c>
      <c r="AK81" s="40" t="n">
        <f aca="false">I81+1*Y81</f>
        <v>26.155937114161</v>
      </c>
      <c r="AL81" s="40" t="n">
        <f aca="false">I81+2*Y81</f>
        <v>26.7351678833918</v>
      </c>
      <c r="AM81" s="40" t="n">
        <f aca="false">I81+3*Y81</f>
        <v>27.3143986526225</v>
      </c>
      <c r="AN81" s="40" t="n">
        <f aca="false">I81-1*Y81</f>
        <v>24.9974755756994</v>
      </c>
      <c r="AO81" s="40" t="n">
        <f aca="false">I81-2*Y81</f>
        <v>24.4182448064687</v>
      </c>
      <c r="AP81" s="40" t="n">
        <f aca="false">I81-3*Y81</f>
        <v>23.8390140372379</v>
      </c>
      <c r="AQ81" s="40" t="n">
        <f aca="true">MAX(OFFSET(C81,1-MIN(p_StochN,ROW()-4),0,MIN(p_StochN,ROW()-4),1))</f>
        <v>26.89</v>
      </c>
      <c r="AR81" s="40" t="n">
        <f aca="true">MIN(OFFSET(D81,1-MIN(p_StochN,ROW()-4),0,MIN(p_StochN,ROW()-4),1))</f>
        <v>25.86</v>
      </c>
      <c r="AS81" s="45" t="n">
        <f aca="false">IF(AQ81=AR81,50,100*(E81-AR81)/(AQ81-AR81))</f>
        <v>43.6893203883494</v>
      </c>
      <c r="AT81" s="45" t="n">
        <f aca="true">AVERAGE(OFFSET(AS81,1-MIN(p_StochSm,ROW()-4),0,MIN(p_StochSm,ROW()-4),1))</f>
        <v>23.1927364257462</v>
      </c>
      <c r="AU81" s="45" t="n">
        <f aca="true">AVERAGE(OFFSET(AT81,1-MIN(p_StochSm,ROW()-4),0,MIN(p_StochSm,ROW()-4),1))</f>
        <v>25.3317709135103</v>
      </c>
      <c r="AV81" s="41" t="n">
        <f aca="false">MAX(0,H81-D81)</f>
        <v>0.230387356262394</v>
      </c>
      <c r="AW81" s="41" t="n">
        <f aca="true">IF(COUNTIF(OFFSET(AV81,1-MIN(p_PenLb,ROW()-4),0,MIN(p_PenLb,ROW()-4),1),"&gt;0")&gt;0,SUM(OFFSET(AV81,1-MIN(p_PenLb,ROW()-4),0,MIN(p_PenLb,ROW()-4),1))/COUNTIF(OFFSET(AV81,1-MIN(p_PenLb,ROW()-4),0,MIN(p_PenLb,ROW()-4),1),"&gt;0"),0.5*Y81)</f>
        <v>0.256285694130342</v>
      </c>
      <c r="AX81" s="41" t="n">
        <f aca="false">2*H81-H80</f>
        <v>26.126989463552</v>
      </c>
      <c r="AY81" s="40" t="n">
        <f aca="false">ROUND(MAX(AX81-AW81,0.01),2)</f>
        <v>25.87</v>
      </c>
      <c r="AZ81" s="40" t="n">
        <f aca="true">IF(MIN(p_StopLb,ROW()-4)&lt;2,D81,SMALL(OFFSET(D81,1-MIN(p_StopLb,ROW()-4),0,MIN(p_StopLb,ROW()-4),1),2))</f>
        <v>25.9</v>
      </c>
      <c r="BA81" s="40" t="n">
        <f aca="false">IF(MOD(ROUND(ROUNDDOWN(MIN(AZ81-0.01,AY81-p_StopAtr*Y81),2)*100,0),50)=0,ROUNDDOWN(MIN(AZ81-0.01,AY81-p_StopAtr*Y81),2)-0.01,ROUNDDOWN(MIN(AZ81-0.01,AY81-p_StopAtr*Y81),2))</f>
        <v>25.29</v>
      </c>
      <c r="BB81" s="40" t="n">
        <f aca="false">ROUND(AI81,2)</f>
        <v>27.11</v>
      </c>
      <c r="BC81" s="40" t="n">
        <f aca="false">IF(AY81-BA81&gt;0,(BB81-AY81)/(AY81-BA81),0)</f>
        <v>2.13793103448275</v>
      </c>
      <c r="BD81" s="42" t="n">
        <f aca="false">IF(N81&lt;0,1,0)</f>
        <v>1</v>
      </c>
      <c r="BE81" s="41" t="n">
        <f aca="false">IF(AND(BD81=1,BD80=0),N81,IF(BD81=1,MIN(BE80,N81),BE80))</f>
        <v>-0.0284022065430936</v>
      </c>
      <c r="BF81" s="40" t="n">
        <f aca="false">IF(AND(BD81=1,BD80=0),D81,IF(BD81=1,MIN(BF80,D81),BF80))</f>
        <v>25.86</v>
      </c>
      <c r="BG81" s="42" t="n">
        <f aca="false">IF(AND(BD81=1,BD80=0),ROW(),IF(BD81=1,IF(N81&lt;BE80,ROW(),BG80),BG80))</f>
        <v>81</v>
      </c>
      <c r="BH81" s="41" t="n">
        <f aca="false">IF(AND(BD81=1,BD80=0),BE80,BH80)</f>
        <v>-0.267100964273217</v>
      </c>
      <c r="BI81" s="40" t="n">
        <f aca="false">IF(AND(BD81=1,BD80=0),BF80,BI80)</f>
        <v>23.24</v>
      </c>
      <c r="BJ81" s="42" t="n">
        <f aca="false">IF(AND(BD81=1,BD80=0),BG80,BJ80)</f>
        <v>52</v>
      </c>
      <c r="BK81" s="42" t="n">
        <f aca="false">IF(AND(ISNUMBER(BG81),ISNUMBER(BJ81)),BG81-BJ81,"")</f>
        <v>29</v>
      </c>
      <c r="BL81" s="42" t="n">
        <f aca="false">IF(AND(BD81=1,N81&gt;N80,ISNUMBER(BH81),ISNUMBER(BK81)),IF(AND(BE81&gt;BH81,BF81&lt;BI81,BK81&gt;=p_GapMin,BK81&lt;=p_GapMax),1,0),0)</f>
        <v>0</v>
      </c>
      <c r="BM81" s="42" t="n">
        <f aca="false">IF(AND(BL81=1,E81&gt;BI81),1,0)</f>
        <v>0</v>
      </c>
      <c r="BN81" s="42" t="n">
        <f aca="false">IF(BL81=1,IF(BE81&gt;=BH81*0.5,1,0),0)</f>
        <v>0</v>
      </c>
      <c r="BO81" s="42" t="n">
        <f aca="true">IF(V81&gt;MIN(OFFSET(V81,-MIN(p_FiLb-1,ROW()-5),0,MIN(p_FiLb-1,ROW()-5),1)),1,0)</f>
        <v>1</v>
      </c>
      <c r="BP81" s="44" t="n">
        <f aca="true">IF(COUNTIF(OFFSET(V81,1-MIN(100,ROW()-4),0,MIN(100,ROW()-4),1),"&lt;0")&gt;=5,AVERAGEIF(OFFSET(V81,1-MIN(100,ROW()-4),0,MIN(100,ROW()-4),1),"&lt;0"),"")</f>
        <v>-571345.743281975</v>
      </c>
      <c r="BQ81" s="42" t="n">
        <f aca="false">IF(ISNUMBER(BP81),IF(AND(V81&lt;5*BP81,V81&gt;V80,E81&lt;AJ81),1,0),0)</f>
        <v>0</v>
      </c>
      <c r="BR81" s="44" t="n">
        <f aca="true">AVERAGE(OFFSET(F81,1-MIN(5,ROW()-4),0,MIN(5,ROW()-4),1))</f>
        <v>2872460</v>
      </c>
      <c r="BS81" s="42" t="n">
        <f aca="false">IFERROR(IF(MATCH(G81,周线!$A$5:$A$84,0)&lt;=1,"",INDEX(周线!$R$5:$R$84,MATCH(G81,周线!$A$5:$A$84,0)-1)),"")</f>
        <v>1</v>
      </c>
      <c r="BT81" s="42" t="n">
        <f aca="false">IFERROR(IF(MATCH(G81,周线!$A$5:$A$84,0)&lt;=1,"",INDEX(周线!$S$5:$S$84,MATCH(G81,周线!$A$5:$A$84,0)-1)),"")</f>
        <v>1</v>
      </c>
      <c r="BU81" s="42" t="n">
        <f aca="false">IFERROR(IF(MATCH(G81,周线!$A$5:$A$84,0)&lt;=1,"",INDEX(周线!$U$5:$U$84,MATCH(G81,周线!$A$5:$A$84,0)-1)),"")</f>
        <v>1</v>
      </c>
      <c r="BV81" s="42" t="n">
        <f aca="false">IF(AND(BS81=1,S81&lt;&gt;-1,V81&lt;0,BO81=1,E81&lt;=H81,E81&gt;=AJ81),1,0)</f>
        <v>0</v>
      </c>
      <c r="BW81" s="42" t="n">
        <f aca="false">BL81</f>
        <v>0</v>
      </c>
      <c r="BX81" s="42" t="n">
        <f aca="false">BQ81</f>
        <v>0</v>
      </c>
      <c r="BY81" s="42" t="n">
        <f aca="false">IF(BS81=1,10,0)+IF(BU81=1,5,IF(BU81=-1,0,3))+IF(BT81=1,5,0)+IF(AND(AE81&gt;AF81,AH81&gt;AH80),5,0)</f>
        <v>20</v>
      </c>
      <c r="BZ81" s="42" t="n">
        <f aca="false">IF(AND(E81&lt;=H81,E81&gt;=I81),10,IF(AND(E81&gt;=AJ81,E81&lt;I81),6,0))+IF(AND(V81&lt;0,BO81=1),8,0)+IF(AT81&lt;30,7,IF(AT81&lt;50,3,0))</f>
        <v>7</v>
      </c>
      <c r="CA81" s="42" t="n">
        <f aca="false">IF(AND(BV81=1,BW81=1),25,IF(BW81=1,22,IF(BV81=1,15,IF(BX81=1,12,0))))</f>
        <v>0</v>
      </c>
      <c r="CB81" s="42" t="n">
        <f aca="false">IF(W81&gt;0,6,0)+IF(F81&lt;BR81,4,0)</f>
        <v>10</v>
      </c>
      <c r="CC81" s="42" t="n">
        <f aca="false">IF(BC81&gt;=3,15,IF(BC81&gt;=p_RRmin,10,IF(BC81&gt;=1.5,4,0)))</f>
        <v>10</v>
      </c>
      <c r="CD81" s="42" t="n">
        <f aca="false">BY81+BZ81+CA81+CB81+CC81</f>
        <v>47</v>
      </c>
      <c r="CE81" s="42" t="n">
        <f aca="false">IF(AND(BS81&lt;&gt;1,BW81+BX81=0),1,0)</f>
        <v>0</v>
      </c>
      <c r="CF81" s="42" t="n">
        <f aca="false">IF(BU81=-1,1,0)</f>
        <v>0</v>
      </c>
      <c r="CG81" s="42" t="n">
        <f aca="false">IF(S81=-1,1,0)</f>
        <v>0</v>
      </c>
      <c r="CH81" s="42" t="n">
        <f aca="false">IF(BV81+BW81+BX81=0,1,0)</f>
        <v>1</v>
      </c>
      <c r="CI81" s="42" t="n">
        <f aca="false">IF(BC81&lt;p_RRmin,1,0)</f>
        <v>0</v>
      </c>
      <c r="CJ81" s="46" t="str">
        <f aca="false">IF(SUM(CE81:CI81)=0,IF(CD81&gt;=p_GradeA,"A",IF(CD81&gt;=p_GradeB,"B","C")),IF(AND(CI81=1,SUM(CE81:CH81)=0,CD81&gt;=p_GradeB),"B","C"))</f>
        <v>C</v>
      </c>
    </row>
    <row r="82" customFormat="false" ht="15" hidden="false" customHeight="false" outlineLevel="0" collapsed="false">
      <c r="A82" s="36" t="n">
        <v>45768</v>
      </c>
      <c r="B82" s="37" t="n">
        <v>26.22</v>
      </c>
      <c r="C82" s="37" t="n">
        <v>26.42</v>
      </c>
      <c r="D82" s="37" t="n">
        <v>25.27</v>
      </c>
      <c r="E82" s="37" t="n">
        <v>25.38</v>
      </c>
      <c r="F82" s="38" t="n">
        <v>6193200</v>
      </c>
      <c r="G82" s="39" t="n">
        <f aca="false">A82-WEEKDAY(A82,3)</f>
        <v>45768</v>
      </c>
      <c r="H82" s="40" t="n">
        <f aca="false">2/(p_EmaF+1)*E82+(1-2/(p_EmaF+1))*H81</f>
        <v>25.9889034482249</v>
      </c>
      <c r="I82" s="40" t="n">
        <f aca="false">2/(p_EmaS+1)*E82+(1-2/(p_EmaS+1))*I81</f>
        <v>25.562135504565</v>
      </c>
      <c r="J82" s="41" t="n">
        <f aca="false">2/(p_MacdF+1)*E82+(1-2/(p_MacdF+1))*J81</f>
        <v>26.0141485000966</v>
      </c>
      <c r="K82" s="41" t="n">
        <f aca="false">2/(p_MacdS+1)*E82+(1-2/(p_MacdS+1))*K81</f>
        <v>25.562135504565</v>
      </c>
      <c r="L82" s="41" t="n">
        <f aca="false">J82-K82</f>
        <v>0.452012995531561</v>
      </c>
      <c r="M82" s="41" t="n">
        <f aca="false">2/(p_MacdSig+1)*L82+(1-2/(p_MacdSig+1))*M81</f>
        <v>0.555317870306105</v>
      </c>
      <c r="N82" s="41" t="n">
        <f aca="false">L82-M82</f>
        <v>-0.103304874774544</v>
      </c>
      <c r="O82" s="42" t="n">
        <f aca="false">IF(H82&gt;H81,1,0)</f>
        <v>0</v>
      </c>
      <c r="P82" s="42" t="n">
        <f aca="false">IF(H82&lt;H81,1,0)</f>
        <v>1</v>
      </c>
      <c r="Q82" s="42" t="n">
        <f aca="false">IF(N82&gt;N81,1,0)</f>
        <v>0</v>
      </c>
      <c r="R82" s="42" t="n">
        <f aca="false">IF(N82&lt;N81,1,0)</f>
        <v>1</v>
      </c>
      <c r="S82" s="42" t="n">
        <f aca="false">IF(AND(O82=1,Q82=1),1,IF(AND(P82=1,R82=1),-1,0))</f>
        <v>-1</v>
      </c>
      <c r="T82" s="43" t="str">
        <f aca="false">IF(S82=1,"绿",IF(S82=-1,"红","蓝"))</f>
        <v>红</v>
      </c>
      <c r="U82" s="44" t="n">
        <f aca="false">F82*(E82-E81)</f>
        <v>-5759676</v>
      </c>
      <c r="V82" s="44" t="n">
        <f aca="false">2/(p_FiS+1)*U82+(1-2/(p_FiS+1))*V81</f>
        <v>-3757866.45927912</v>
      </c>
      <c r="W82" s="44" t="n">
        <f aca="false">2/(p_FiL+1)*U82+(1-2/(p_FiL+1))*W81</f>
        <v>-659799.752503298</v>
      </c>
      <c r="X82" s="41" t="n">
        <f aca="false">MAX(C82-D82,ABS(C82-E81),ABS(D82-E81))</f>
        <v>1.15</v>
      </c>
      <c r="Y82" s="41" t="n">
        <f aca="true">AVERAGE(OFFSET(X82,1-MIN(p_AtrN,ROW()-4),0,MIN(p_AtrN,ROW()-4),1))</f>
        <v>0.645384615384615</v>
      </c>
      <c r="Z82" s="41" t="n">
        <f aca="false">IF(AND(C82-C81&gt;D81-D82,C82-C81&gt;0),C82-C81,0)</f>
        <v>0</v>
      </c>
      <c r="AA82" s="41" t="n">
        <f aca="false">IF(AND(D81-D82&gt;C82-C81,D81-D82&gt;0),D81-D82,0)</f>
        <v>0.59</v>
      </c>
      <c r="AB82" s="41" t="n">
        <f aca="false">2/(p_AdxN+1)*X82+(1-2/(p_AdxN+1))*AB81</f>
        <v>0.657208430547396</v>
      </c>
      <c r="AC82" s="41" t="n">
        <f aca="false">2/(p_AdxN+1)*Z82+(1-2/(p_AdxN+1))*AC81</f>
        <v>0.102951476507694</v>
      </c>
      <c r="AD82" s="41" t="n">
        <f aca="false">2/(p_AdxN+1)*AA82+(1-2/(p_AdxN+1))*AD81</f>
        <v>0.154590714567116</v>
      </c>
      <c r="AE82" s="45" t="n">
        <f aca="false">100*AC82/AB82</f>
        <v>15.6649658955142</v>
      </c>
      <c r="AF82" s="45" t="n">
        <f aca="false">100*AD82/AB82</f>
        <v>23.5223267660088</v>
      </c>
      <c r="AG82" s="45" t="n">
        <f aca="false">IFERROR(100*ABS(AE82-AF82)/(AE82+AF82),0)</f>
        <v>20.0507877345901</v>
      </c>
      <c r="AH82" s="45" t="n">
        <f aca="false">2/(p_AdxN+1)*AG82+(1-2/(p_AdxN+1))*AH81</f>
        <v>36.0369074660357</v>
      </c>
      <c r="AI82" s="40" t="n">
        <f aca="false">I82*(1+p_ChPct)</f>
        <v>27.0958636348389</v>
      </c>
      <c r="AJ82" s="40" t="n">
        <f aca="false">I82*(1-p_ChPct)</f>
        <v>24.0284073742911</v>
      </c>
      <c r="AK82" s="40" t="n">
        <f aca="false">I82+1*Y82</f>
        <v>26.2075201199496</v>
      </c>
      <c r="AL82" s="40" t="n">
        <f aca="false">I82+2*Y82</f>
        <v>26.8529047353342</v>
      </c>
      <c r="AM82" s="40" t="n">
        <f aca="false">I82+3*Y82</f>
        <v>27.4982893507189</v>
      </c>
      <c r="AN82" s="40" t="n">
        <f aca="false">I82-1*Y82</f>
        <v>24.9167508891804</v>
      </c>
      <c r="AO82" s="40" t="n">
        <f aca="false">I82-2*Y82</f>
        <v>24.2713662737958</v>
      </c>
      <c r="AP82" s="40" t="n">
        <f aca="false">I82-3*Y82</f>
        <v>23.6259816584112</v>
      </c>
      <c r="AQ82" s="40" t="n">
        <f aca="true">MAX(OFFSET(C82,1-MIN(p_StochN,ROW()-4),0,MIN(p_StochN,ROW()-4),1))</f>
        <v>26.89</v>
      </c>
      <c r="AR82" s="40" t="n">
        <f aca="true">MIN(OFFSET(D82,1-MIN(p_StochN,ROW()-4),0,MIN(p_StochN,ROW()-4),1))</f>
        <v>25.27</v>
      </c>
      <c r="AS82" s="45" t="n">
        <f aca="false">IF(AQ82=AR82,50,100*(E82-AR82)/(AQ82-AR82))</f>
        <v>6.79012345679008</v>
      </c>
      <c r="AT82" s="45" t="n">
        <f aca="true">AVERAGE(OFFSET(AS82,1-MIN(p_StochSm,ROW()-4),0,MIN(p_StochSm,ROW()-4),1))</f>
        <v>22.4931479483799</v>
      </c>
      <c r="AU82" s="45" t="n">
        <f aca="true">AVERAGE(OFFSET(AT82,1-MIN(p_StochSm,ROW()-4),0,MIN(p_StochSm,ROW()-4),1))</f>
        <v>22.0525397556379</v>
      </c>
      <c r="AV82" s="41" t="n">
        <f aca="false">MAX(0,H82-D82)</f>
        <v>0.718903448224911</v>
      </c>
      <c r="AW82" s="41" t="n">
        <f aca="true">IF(COUNTIF(OFFSET(AV82,1-MIN(p_PenLb,ROW()-4),0,MIN(p_PenLb,ROW()-4),1),"&gt;0")&gt;0,SUM(OFFSET(AV82,1-MIN(p_PenLb,ROW()-4),0,MIN(p_PenLb,ROW()-4),1))/COUNTIF(OFFSET(AV82,1-MIN(p_PenLb,ROW()-4),0,MIN(p_PenLb,ROW()-4),1),"&gt;0"),0.5*Y82)</f>
        <v>0.252323489434943</v>
      </c>
      <c r="AX82" s="41" t="n">
        <f aca="false">2*H82-H81</f>
        <v>25.8874195401874</v>
      </c>
      <c r="AY82" s="40" t="n">
        <f aca="false">ROUND(MAX(AX82-AW82,0.01),2)</f>
        <v>25.64</v>
      </c>
      <c r="AZ82" s="40" t="n">
        <f aca="true">IF(MIN(p_StopLb,ROW()-4)&lt;2,D82,SMALL(OFFSET(D82,1-MIN(p_StopLb,ROW()-4),0,MIN(p_StopLb,ROW()-4),1),2))</f>
        <v>25.86</v>
      </c>
      <c r="BA82" s="40" t="n">
        <f aca="false">IF(MOD(ROUND(ROUNDDOWN(MIN(AZ82-0.01,AY82-p_StopAtr*Y82),2)*100,0),50)=0,ROUNDDOWN(MIN(AZ82-0.01,AY82-p_StopAtr*Y82),2)-0.01,ROUNDDOWN(MIN(AZ82-0.01,AY82-p_StopAtr*Y82),2))</f>
        <v>24.99</v>
      </c>
      <c r="BB82" s="40" t="n">
        <f aca="false">ROUND(AI82,2)</f>
        <v>27.1</v>
      </c>
      <c r="BC82" s="40" t="n">
        <f aca="false">IF(AY82-BA82&gt;0,(BB82-AY82)/(AY82-BA82),0)</f>
        <v>2.24615384615384</v>
      </c>
      <c r="BD82" s="42" t="n">
        <f aca="false">IF(N82&lt;0,1,0)</f>
        <v>1</v>
      </c>
      <c r="BE82" s="41" t="n">
        <f aca="false">IF(AND(BD82=1,BD81=0),N82,IF(BD82=1,MIN(BE81,N82),BE81))</f>
        <v>-0.103304874774544</v>
      </c>
      <c r="BF82" s="40" t="n">
        <f aca="false">IF(AND(BD82=1,BD81=0),D82,IF(BD82=1,MIN(BF81,D82),BF81))</f>
        <v>25.27</v>
      </c>
      <c r="BG82" s="42" t="n">
        <f aca="false">IF(AND(BD82=1,BD81=0),ROW(),IF(BD82=1,IF(N82&lt;BE81,ROW(),BG81),BG81))</f>
        <v>82</v>
      </c>
      <c r="BH82" s="41" t="n">
        <f aca="false">IF(AND(BD82=1,BD81=0),BE81,BH81)</f>
        <v>-0.267100964273217</v>
      </c>
      <c r="BI82" s="40" t="n">
        <f aca="false">IF(AND(BD82=1,BD81=0),BF81,BI81)</f>
        <v>23.24</v>
      </c>
      <c r="BJ82" s="42" t="n">
        <f aca="false">IF(AND(BD82=1,BD81=0),BG81,BJ81)</f>
        <v>52</v>
      </c>
      <c r="BK82" s="42" t="n">
        <f aca="false">IF(AND(ISNUMBER(BG82),ISNUMBER(BJ82)),BG82-BJ82,"")</f>
        <v>30</v>
      </c>
      <c r="BL82" s="42" t="n">
        <f aca="false">IF(AND(BD82=1,N82&gt;N81,ISNUMBER(BH82),ISNUMBER(BK82)),IF(AND(BE82&gt;BH82,BF82&lt;BI82,BK82&gt;=p_GapMin,BK82&lt;=p_GapMax),1,0),0)</f>
        <v>0</v>
      </c>
      <c r="BM82" s="42" t="n">
        <f aca="false">IF(AND(BL82=1,E82&gt;BI82),1,0)</f>
        <v>0</v>
      </c>
      <c r="BN82" s="42" t="n">
        <f aca="false">IF(BL82=1,IF(BE82&gt;=BH82*0.5,1,0),0)</f>
        <v>0</v>
      </c>
      <c r="BO82" s="42" t="n">
        <f aca="true">IF(V82&gt;MIN(OFFSET(V82,-MIN(p_FiLb-1,ROW()-5),0,MIN(p_FiLb-1,ROW()-5),1)),1,0)</f>
        <v>0</v>
      </c>
      <c r="BP82" s="44" t="n">
        <f aca="true">IF(COUNTIF(OFFSET(V82,1-MIN(100,ROW()-4),0,MIN(100,ROW()-4),1),"&lt;0")&gt;=5,AVERAGEIF(OFFSET(V82,1-MIN(100,ROW()-4),0,MIN(100,ROW()-4),1),"&lt;0"),"")</f>
        <v>-685150.054567587</v>
      </c>
      <c r="BQ82" s="42" t="n">
        <f aca="false">IF(ISNUMBER(BP82),IF(AND(V82&lt;5*BP82,V82&gt;V81,E82&lt;AJ82),1,0),0)</f>
        <v>0</v>
      </c>
      <c r="BR82" s="44" t="n">
        <f aca="true">AVERAGE(OFFSET(F82,1-MIN(5,ROW()-4),0,MIN(5,ROW()-4),1))</f>
        <v>3546560</v>
      </c>
      <c r="BS82" s="42" t="n">
        <f aca="false">IFERROR(IF(MATCH(G82,周线!$A$5:$A$84,0)&lt;=1,"",INDEX(周线!$R$5:$R$84,MATCH(G82,周线!$A$5:$A$84,0)-1)),"")</f>
        <v>1</v>
      </c>
      <c r="BT82" s="42" t="n">
        <f aca="false">IFERROR(IF(MATCH(G82,周线!$A$5:$A$84,0)&lt;=1,"",INDEX(周线!$S$5:$S$84,MATCH(G82,周线!$A$5:$A$84,0)-1)),"")</f>
        <v>0</v>
      </c>
      <c r="BU82" s="42" t="n">
        <f aca="false">IFERROR(IF(MATCH(G82,周线!$A$5:$A$84,0)&lt;=1,"",INDEX(周线!$U$5:$U$84,MATCH(G82,周线!$A$5:$A$84,0)-1)),"")</f>
        <v>0</v>
      </c>
      <c r="BV82" s="42" t="n">
        <f aca="false">IF(AND(BS82=1,S82&lt;&gt;-1,V82&lt;0,BO82=1,E82&lt;=H82,E82&gt;=AJ82),1,0)</f>
        <v>0</v>
      </c>
      <c r="BW82" s="42" t="n">
        <f aca="false">BL82</f>
        <v>0</v>
      </c>
      <c r="BX82" s="42" t="n">
        <f aca="false">BQ82</f>
        <v>0</v>
      </c>
      <c r="BY82" s="42" t="n">
        <f aca="false">IF(BS82=1,10,0)+IF(BU82=1,5,IF(BU82=-1,0,3))+IF(BT82=1,5,0)+IF(AND(AE82&gt;AF82,AH82&gt;AH81),5,0)</f>
        <v>13</v>
      </c>
      <c r="BZ82" s="42" t="n">
        <f aca="false">IF(AND(E82&lt;=H82,E82&gt;=I82),10,IF(AND(E82&gt;=AJ82,E82&lt;I82),6,0))+IF(AND(V82&lt;0,BO82=1),8,0)+IF(AT82&lt;30,7,IF(AT82&lt;50,3,0))</f>
        <v>13</v>
      </c>
      <c r="CA82" s="42" t="n">
        <f aca="false">IF(AND(BV82=1,BW82=1),25,IF(BW82=1,22,IF(BV82=1,15,IF(BX82=1,12,0))))</f>
        <v>0</v>
      </c>
      <c r="CB82" s="42" t="n">
        <f aca="false">IF(W82&gt;0,6,0)+IF(F82&lt;BR82,4,0)</f>
        <v>0</v>
      </c>
      <c r="CC82" s="42" t="n">
        <f aca="false">IF(BC82&gt;=3,15,IF(BC82&gt;=p_RRmin,10,IF(BC82&gt;=1.5,4,0)))</f>
        <v>10</v>
      </c>
      <c r="CD82" s="42" t="n">
        <f aca="false">BY82+BZ82+CA82+CB82+CC82</f>
        <v>36</v>
      </c>
      <c r="CE82" s="42" t="n">
        <f aca="false">IF(AND(BS82&lt;&gt;1,BW82+BX82=0),1,0)</f>
        <v>0</v>
      </c>
      <c r="CF82" s="42" t="n">
        <f aca="false">IF(BU82=-1,1,0)</f>
        <v>0</v>
      </c>
      <c r="CG82" s="42" t="n">
        <f aca="false">IF(S82=-1,1,0)</f>
        <v>1</v>
      </c>
      <c r="CH82" s="42" t="n">
        <f aca="false">IF(BV82+BW82+BX82=0,1,0)</f>
        <v>1</v>
      </c>
      <c r="CI82" s="42" t="n">
        <f aca="false">IF(BC82&lt;p_RRmin,1,0)</f>
        <v>0</v>
      </c>
      <c r="CJ82" s="46" t="str">
        <f aca="false">IF(SUM(CE82:CI82)=0,IF(CD82&gt;=p_GradeA,"A",IF(CD82&gt;=p_GradeB,"B","C")),IF(AND(CI82=1,SUM(CE82:CH82)=0,CD82&gt;=p_GradeB),"B","C"))</f>
        <v>C</v>
      </c>
    </row>
    <row r="83" customFormat="false" ht="15" hidden="false" customHeight="false" outlineLevel="0" collapsed="false">
      <c r="A83" s="36" t="n">
        <v>45769</v>
      </c>
      <c r="B83" s="37" t="n">
        <v>25.49</v>
      </c>
      <c r="C83" s="37" t="n">
        <v>25.6</v>
      </c>
      <c r="D83" s="37" t="n">
        <v>25.09</v>
      </c>
      <c r="E83" s="37" t="n">
        <v>25.22</v>
      </c>
      <c r="F83" s="38" t="n">
        <v>3468800</v>
      </c>
      <c r="G83" s="39" t="n">
        <f aca="false">A83-WEEKDAY(A83,3)</f>
        <v>45768</v>
      </c>
      <c r="H83" s="40" t="n">
        <f aca="false">2/(p_EmaF+1)*E83+(1-2/(p_EmaF+1))*H82</f>
        <v>25.8790600984785</v>
      </c>
      <c r="I83" s="40" t="n">
        <f aca="false">2/(p_EmaS+1)*E83+(1-2/(p_EmaS+1))*I82</f>
        <v>25.5367921338565</v>
      </c>
      <c r="J83" s="41" t="n">
        <f aca="false">2/(p_MacdF+1)*E83+(1-2/(p_MacdF+1))*J82</f>
        <v>25.891971807774</v>
      </c>
      <c r="K83" s="41" t="n">
        <f aca="false">2/(p_MacdS+1)*E83+(1-2/(p_MacdS+1))*K82</f>
        <v>25.5367921338565</v>
      </c>
      <c r="L83" s="41" t="n">
        <f aca="false">J83-K83</f>
        <v>0.355179673917529</v>
      </c>
      <c r="M83" s="41" t="n">
        <f aca="false">2/(p_MacdSig+1)*L83+(1-2/(p_MacdSig+1))*M82</f>
        <v>0.51529023102839</v>
      </c>
      <c r="N83" s="41" t="n">
        <f aca="false">L83-M83</f>
        <v>-0.160110557110861</v>
      </c>
      <c r="O83" s="42" t="n">
        <f aca="false">IF(H83&gt;H82,1,0)</f>
        <v>0</v>
      </c>
      <c r="P83" s="42" t="n">
        <f aca="false">IF(H83&lt;H82,1,0)</f>
        <v>1</v>
      </c>
      <c r="Q83" s="42" t="n">
        <f aca="false">IF(N83&gt;N82,1,0)</f>
        <v>0</v>
      </c>
      <c r="R83" s="42" t="n">
        <f aca="false">IF(N83&lt;N82,1,0)</f>
        <v>1</v>
      </c>
      <c r="S83" s="42" t="n">
        <f aca="false">IF(AND(O83=1,Q83=1),1,IF(AND(P83=1,R83=1),-1,0))</f>
        <v>-1</v>
      </c>
      <c r="T83" s="43" t="str">
        <f aca="false">IF(S83=1,"绿",IF(S83=-1,"红","蓝"))</f>
        <v>红</v>
      </c>
      <c r="U83" s="44" t="n">
        <f aca="false">F83*(E83-E82)</f>
        <v>-555008.000000001</v>
      </c>
      <c r="V83" s="44" t="n">
        <f aca="false">2/(p_FiS+1)*U83+(1-2/(p_FiS+1))*V82</f>
        <v>-1622627.48642637</v>
      </c>
      <c r="W83" s="44" t="n">
        <f aca="false">2/(p_FiL+1)*U83+(1-2/(p_FiL+1))*W82</f>
        <v>-644829.502145684</v>
      </c>
      <c r="X83" s="41" t="n">
        <f aca="false">MAX(C83-D83,ABS(C83-E82),ABS(D83-E82))</f>
        <v>0.510000000000002</v>
      </c>
      <c r="Y83" s="41" t="n">
        <f aca="true">AVERAGE(OFFSET(X83,1-MIN(p_AtrN,ROW()-4),0,MIN(p_AtrN,ROW()-4),1))</f>
        <v>0.646153846153846</v>
      </c>
      <c r="Z83" s="41" t="n">
        <f aca="false">IF(AND(C83-C82&gt;D82-D83,C83-C82&gt;0),C83-C82,0)</f>
        <v>0</v>
      </c>
      <c r="AA83" s="41" t="n">
        <f aca="false">IF(AND(D82-D83&gt;C83-C82,D82-D83&gt;0),D82-D83,0)</f>
        <v>0.18</v>
      </c>
      <c r="AB83" s="41" t="n">
        <f aca="false">2/(p_AdxN+1)*X83+(1-2/(p_AdxN+1))*AB82</f>
        <v>0.636178654754911</v>
      </c>
      <c r="AC83" s="41" t="n">
        <f aca="false">2/(p_AdxN+1)*Z83+(1-2/(p_AdxN+1))*AC82</f>
        <v>0.0882441227208803</v>
      </c>
      <c r="AD83" s="41" t="n">
        <f aca="false">2/(p_AdxN+1)*AA83+(1-2/(p_AdxN+1))*AD82</f>
        <v>0.1582206124861</v>
      </c>
      <c r="AE83" s="45" t="n">
        <f aca="false">100*AC83/AB83</f>
        <v>13.8709656574184</v>
      </c>
      <c r="AF83" s="45" t="n">
        <f aca="false">100*AD83/AB83</f>
        <v>24.8704685866983</v>
      </c>
      <c r="AG83" s="45" t="n">
        <f aca="false">IFERROR(100*ABS(AE83-AF83)/(AE83+AF83),0)</f>
        <v>28.3920901326729</v>
      </c>
      <c r="AH83" s="45" t="n">
        <f aca="false">2/(p_AdxN+1)*AG83+(1-2/(p_AdxN+1))*AH82</f>
        <v>34.9447907041268</v>
      </c>
      <c r="AI83" s="40" t="n">
        <f aca="false">I83*(1+p_ChPct)</f>
        <v>27.0689996618879</v>
      </c>
      <c r="AJ83" s="40" t="n">
        <f aca="false">I83*(1-p_ChPct)</f>
        <v>24.0045846058251</v>
      </c>
      <c r="AK83" s="40" t="n">
        <f aca="false">I83+1*Y83</f>
        <v>26.1829459800103</v>
      </c>
      <c r="AL83" s="40" t="n">
        <f aca="false">I83+2*Y83</f>
        <v>26.8290998261642</v>
      </c>
      <c r="AM83" s="40" t="n">
        <f aca="false">I83+3*Y83</f>
        <v>27.475253672318</v>
      </c>
      <c r="AN83" s="40" t="n">
        <f aca="false">I83-1*Y83</f>
        <v>24.8906382877026</v>
      </c>
      <c r="AO83" s="40" t="n">
        <f aca="false">I83-2*Y83</f>
        <v>24.2444844415488</v>
      </c>
      <c r="AP83" s="40" t="n">
        <f aca="false">I83-3*Y83</f>
        <v>23.598330595395</v>
      </c>
      <c r="AQ83" s="40" t="n">
        <f aca="true">MAX(OFFSET(C83,1-MIN(p_StochN,ROW()-4),0,MIN(p_StochN,ROW()-4),1))</f>
        <v>26.89</v>
      </c>
      <c r="AR83" s="40" t="n">
        <f aca="true">MIN(OFFSET(D83,1-MIN(p_StochN,ROW()-4),0,MIN(p_StochN,ROW()-4),1))</f>
        <v>25.09</v>
      </c>
      <c r="AS83" s="45" t="n">
        <f aca="false">IF(AQ83=AR83,50,100*(E83-AR83)/(AQ83-AR83))</f>
        <v>7.22222222222216</v>
      </c>
      <c r="AT83" s="45" t="n">
        <f aca="true">AVERAGE(OFFSET(AS83,1-MIN(p_StochSm,ROW()-4),0,MIN(p_StochSm,ROW()-4),1))</f>
        <v>19.2338886891205</v>
      </c>
      <c r="AU83" s="45" t="n">
        <f aca="true">AVERAGE(OFFSET(AT83,1-MIN(p_StochSm,ROW()-4),0,MIN(p_StochSm,ROW()-4),1))</f>
        <v>21.6399243544156</v>
      </c>
      <c r="AV83" s="41" t="n">
        <f aca="false">MAX(0,H83-D83)</f>
        <v>0.789060098478498</v>
      </c>
      <c r="AW83" s="41" t="n">
        <f aca="true">IF(COUNTIF(OFFSET(AV83,1-MIN(p_PenLb,ROW()-4),0,MIN(p_PenLb,ROW()-4),1),"&gt;0")&gt;0,SUM(OFFSET(AV83,1-MIN(p_PenLb,ROW()-4),0,MIN(p_PenLb,ROW()-4),1))/COUNTIF(OFFSET(AV83,1-MIN(p_PenLb,ROW()-4),0,MIN(p_PenLb,ROW()-4),1),"&gt;0"),0.5*Y83)</f>
        <v>0.262396701736845</v>
      </c>
      <c r="AX83" s="41" t="n">
        <f aca="false">2*H83-H82</f>
        <v>25.7692167487321</v>
      </c>
      <c r="AY83" s="40" t="n">
        <f aca="false">ROUND(MAX(AX83-AW83,0.01),2)</f>
        <v>25.51</v>
      </c>
      <c r="AZ83" s="40" t="n">
        <f aca="true">IF(MIN(p_StopLb,ROW()-4)&lt;2,D83,SMALL(OFFSET(D83,1-MIN(p_StopLb,ROW()-4),0,MIN(p_StopLb,ROW()-4),1),2))</f>
        <v>25.27</v>
      </c>
      <c r="BA83" s="40" t="n">
        <f aca="false">IF(MOD(ROUND(ROUNDDOWN(MIN(AZ83-0.01,AY83-p_StopAtr*Y83),2)*100,0),50)=0,ROUNDDOWN(MIN(AZ83-0.01,AY83-p_StopAtr*Y83),2)-0.01,ROUNDDOWN(MIN(AZ83-0.01,AY83-p_StopAtr*Y83),2))</f>
        <v>24.86</v>
      </c>
      <c r="BB83" s="40" t="n">
        <f aca="false">ROUND(AI83,2)</f>
        <v>27.07</v>
      </c>
      <c r="BC83" s="40" t="n">
        <f aca="false">IF(AY83-BA83&gt;0,(BB83-AY83)/(AY83-BA83),0)</f>
        <v>2.39999999999999</v>
      </c>
      <c r="BD83" s="42" t="n">
        <f aca="false">IF(N83&lt;0,1,0)</f>
        <v>1</v>
      </c>
      <c r="BE83" s="41" t="n">
        <f aca="false">IF(AND(BD83=1,BD82=0),N83,IF(BD83=1,MIN(BE82,N83),BE82))</f>
        <v>-0.160110557110861</v>
      </c>
      <c r="BF83" s="40" t="n">
        <f aca="false">IF(AND(BD83=1,BD82=0),D83,IF(BD83=1,MIN(BF82,D83),BF82))</f>
        <v>25.09</v>
      </c>
      <c r="BG83" s="42" t="n">
        <f aca="false">IF(AND(BD83=1,BD82=0),ROW(),IF(BD83=1,IF(N83&lt;BE82,ROW(),BG82),BG82))</f>
        <v>83</v>
      </c>
      <c r="BH83" s="41" t="n">
        <f aca="false">IF(AND(BD83=1,BD82=0),BE82,BH82)</f>
        <v>-0.267100964273217</v>
      </c>
      <c r="BI83" s="40" t="n">
        <f aca="false">IF(AND(BD83=1,BD82=0),BF82,BI82)</f>
        <v>23.24</v>
      </c>
      <c r="BJ83" s="42" t="n">
        <f aca="false">IF(AND(BD83=1,BD82=0),BG82,BJ82)</f>
        <v>52</v>
      </c>
      <c r="BK83" s="42" t="n">
        <f aca="false">IF(AND(ISNUMBER(BG83),ISNUMBER(BJ83)),BG83-BJ83,"")</f>
        <v>31</v>
      </c>
      <c r="BL83" s="42" t="n">
        <f aca="false">IF(AND(BD83=1,N83&gt;N82,ISNUMBER(BH83),ISNUMBER(BK83)),IF(AND(BE83&gt;BH83,BF83&lt;BI83,BK83&gt;=p_GapMin,BK83&lt;=p_GapMax),1,0),0)</f>
        <v>0</v>
      </c>
      <c r="BM83" s="42" t="n">
        <f aca="false">IF(AND(BL83=1,E83&gt;BI83),1,0)</f>
        <v>0</v>
      </c>
      <c r="BN83" s="42" t="n">
        <f aca="false">IF(BL83=1,IF(BE83&gt;=BH83*0.5,1,0),0)</f>
        <v>0</v>
      </c>
      <c r="BO83" s="42" t="n">
        <f aca="true">IF(V83&gt;MIN(OFFSET(V83,-MIN(p_FiLb-1,ROW()-5),0,MIN(p_FiLb-1,ROW()-5),1)),1,0)</f>
        <v>1</v>
      </c>
      <c r="BP83" s="44" t="n">
        <f aca="true">IF(COUNTIF(OFFSET(V83,1-MIN(100,ROW()-4),0,MIN(100,ROW()-4),1),"&lt;0")&gt;=5,AVERAGEIF(OFFSET(V83,1-MIN(100,ROW()-4),0,MIN(100,ROW()-4),1),"&lt;0"),"")</f>
        <v>-717476.862562717</v>
      </c>
      <c r="BQ83" s="42" t="n">
        <f aca="false">IF(ISNUMBER(BP83),IF(AND(V83&lt;5*BP83,V83&gt;V82,E83&lt;AJ83),1,0),0)</f>
        <v>0</v>
      </c>
      <c r="BR83" s="44" t="n">
        <f aca="true">AVERAGE(OFFSET(F83,1-MIN(5,ROW()-4),0,MIN(5,ROW()-4),1))</f>
        <v>3783600</v>
      </c>
      <c r="BS83" s="42" t="n">
        <f aca="false">IFERROR(IF(MATCH(G83,周线!$A$5:$A$84,0)&lt;=1,"",INDEX(周线!$R$5:$R$84,MATCH(G83,周线!$A$5:$A$84,0)-1)),"")</f>
        <v>1</v>
      </c>
      <c r="BT83" s="42" t="n">
        <f aca="false">IFERROR(IF(MATCH(G83,周线!$A$5:$A$84,0)&lt;=1,"",INDEX(周线!$S$5:$S$84,MATCH(G83,周线!$A$5:$A$84,0)-1)),"")</f>
        <v>0</v>
      </c>
      <c r="BU83" s="42" t="n">
        <f aca="false">IFERROR(IF(MATCH(G83,周线!$A$5:$A$84,0)&lt;=1,"",INDEX(周线!$U$5:$U$84,MATCH(G83,周线!$A$5:$A$84,0)-1)),"")</f>
        <v>0</v>
      </c>
      <c r="BV83" s="42" t="n">
        <f aca="false">IF(AND(BS83=1,S83&lt;&gt;-1,V83&lt;0,BO83=1,E83&lt;=H83,E83&gt;=AJ83),1,0)</f>
        <v>0</v>
      </c>
      <c r="BW83" s="42" t="n">
        <f aca="false">BL83</f>
        <v>0</v>
      </c>
      <c r="BX83" s="42" t="n">
        <f aca="false">BQ83</f>
        <v>0</v>
      </c>
      <c r="BY83" s="42" t="n">
        <f aca="false">IF(BS83=1,10,0)+IF(BU83=1,5,IF(BU83=-1,0,3))+IF(BT83=1,5,0)+IF(AND(AE83&gt;AF83,AH83&gt;AH82),5,0)</f>
        <v>13</v>
      </c>
      <c r="BZ83" s="42" t="n">
        <f aca="false">IF(AND(E83&lt;=H83,E83&gt;=I83),10,IF(AND(E83&gt;=AJ83,E83&lt;I83),6,0))+IF(AND(V83&lt;0,BO83=1),8,0)+IF(AT83&lt;30,7,IF(AT83&lt;50,3,0))</f>
        <v>21</v>
      </c>
      <c r="CA83" s="42" t="n">
        <f aca="false">IF(AND(BV83=1,BW83=1),25,IF(BW83=1,22,IF(BV83=1,15,IF(BX83=1,12,0))))</f>
        <v>0</v>
      </c>
      <c r="CB83" s="42" t="n">
        <f aca="false">IF(W83&gt;0,6,0)+IF(F83&lt;BR83,4,0)</f>
        <v>4</v>
      </c>
      <c r="CC83" s="42" t="n">
        <f aca="false">IF(BC83&gt;=3,15,IF(BC83&gt;=p_RRmin,10,IF(BC83&gt;=1.5,4,0)))</f>
        <v>10</v>
      </c>
      <c r="CD83" s="42" t="n">
        <f aca="false">BY83+BZ83+CA83+CB83+CC83</f>
        <v>48</v>
      </c>
      <c r="CE83" s="42" t="n">
        <f aca="false">IF(AND(BS83&lt;&gt;1,BW83+BX83=0),1,0)</f>
        <v>0</v>
      </c>
      <c r="CF83" s="42" t="n">
        <f aca="false">IF(BU83=-1,1,0)</f>
        <v>0</v>
      </c>
      <c r="CG83" s="42" t="n">
        <f aca="false">IF(S83=-1,1,0)</f>
        <v>1</v>
      </c>
      <c r="CH83" s="42" t="n">
        <f aca="false">IF(BV83+BW83+BX83=0,1,0)</f>
        <v>1</v>
      </c>
      <c r="CI83" s="42" t="n">
        <f aca="false">IF(BC83&lt;p_RRmin,1,0)</f>
        <v>0</v>
      </c>
      <c r="CJ83" s="46" t="str">
        <f aca="false">IF(SUM(CE83:CI83)=0,IF(CD83&gt;=p_GradeA,"A",IF(CD83&gt;=p_GradeB,"B","C")),IF(AND(CI83=1,SUM(CE83:CH83)=0,CD83&gt;=p_GradeB),"B","C"))</f>
        <v>C</v>
      </c>
    </row>
    <row r="84" customFormat="false" ht="15" hidden="false" customHeight="false" outlineLevel="0" collapsed="false">
      <c r="A84" s="36" t="n">
        <v>45770</v>
      </c>
      <c r="B84" s="37" t="n">
        <v>25.09</v>
      </c>
      <c r="C84" s="37" t="n">
        <v>25.56</v>
      </c>
      <c r="D84" s="37" t="n">
        <v>24.96</v>
      </c>
      <c r="E84" s="37" t="n">
        <v>25.42</v>
      </c>
      <c r="F84" s="38" t="n">
        <v>2911000</v>
      </c>
      <c r="G84" s="39" t="n">
        <f aca="false">A84-WEEKDAY(A84,3)</f>
        <v>45768</v>
      </c>
      <c r="H84" s="40" t="n">
        <f aca="false">2/(p_EmaF+1)*E84+(1-2/(p_EmaF+1))*H83</f>
        <v>25.8134800844101</v>
      </c>
      <c r="I84" s="40" t="n">
        <f aca="false">2/(p_EmaS+1)*E84+(1-2/(p_EmaS+1))*I83</f>
        <v>25.5281408646819</v>
      </c>
      <c r="J84" s="41" t="n">
        <f aca="false">2/(p_MacdF+1)*E84+(1-2/(p_MacdF+1))*J83</f>
        <v>25.8193607604242</v>
      </c>
      <c r="K84" s="41" t="n">
        <f aca="false">2/(p_MacdS+1)*E84+(1-2/(p_MacdS+1))*K83</f>
        <v>25.5281408646819</v>
      </c>
      <c r="L84" s="41" t="n">
        <f aca="false">J84-K84</f>
        <v>0.291219895742234</v>
      </c>
      <c r="M84" s="41" t="n">
        <f aca="false">2/(p_MacdSig+1)*L84+(1-2/(p_MacdSig+1))*M83</f>
        <v>0.470476163971159</v>
      </c>
      <c r="N84" s="41" t="n">
        <f aca="false">L84-M84</f>
        <v>-0.179256268228925</v>
      </c>
      <c r="O84" s="42" t="n">
        <f aca="false">IF(H84&gt;H83,1,0)</f>
        <v>0</v>
      </c>
      <c r="P84" s="42" t="n">
        <f aca="false">IF(H84&lt;H83,1,0)</f>
        <v>1</v>
      </c>
      <c r="Q84" s="42" t="n">
        <f aca="false">IF(N84&gt;N83,1,0)</f>
        <v>0</v>
      </c>
      <c r="R84" s="42" t="n">
        <f aca="false">IF(N84&lt;N83,1,0)</f>
        <v>1</v>
      </c>
      <c r="S84" s="42" t="n">
        <f aca="false">IF(AND(O84=1,Q84=1),1,IF(AND(P84=1,R84=1),-1,0))</f>
        <v>-1</v>
      </c>
      <c r="T84" s="43" t="str">
        <f aca="false">IF(S84=1,"绿",IF(S84=-1,"红","蓝"))</f>
        <v>红</v>
      </c>
      <c r="U84" s="44" t="n">
        <f aca="false">F84*(E84-E83)</f>
        <v>582200.000000008</v>
      </c>
      <c r="V84" s="44" t="n">
        <f aca="false">2/(p_FiS+1)*U84+(1-2/(p_FiS+1))*V83</f>
        <v>-152742.495475452</v>
      </c>
      <c r="W84" s="44" t="n">
        <f aca="false">2/(p_FiL+1)*U84+(1-2/(p_FiL+1))*W83</f>
        <v>-469539.573267728</v>
      </c>
      <c r="X84" s="41" t="n">
        <f aca="false">MAX(C84-D84,ABS(C84-E83),ABS(D84-E83))</f>
        <v>0.599999999999998</v>
      </c>
      <c r="Y84" s="41" t="n">
        <f aca="true">AVERAGE(OFFSET(X84,1-MIN(p_AtrN,ROW()-4),0,MIN(p_AtrN,ROW()-4),1))</f>
        <v>0.575384615384615</v>
      </c>
      <c r="Z84" s="41" t="n">
        <f aca="false">IF(AND(C84-C83&gt;D83-D84,C84-C83&gt;0),C84-C83,0)</f>
        <v>0</v>
      </c>
      <c r="AA84" s="41" t="n">
        <f aca="false">IF(AND(D83-D84&gt;C84-C83,D83-D84&gt;0),D83-D84,0)</f>
        <v>0.129999999999999</v>
      </c>
      <c r="AB84" s="41" t="n">
        <f aca="false">2/(p_AdxN+1)*X84+(1-2/(p_AdxN+1))*AB83</f>
        <v>0.631010275504209</v>
      </c>
      <c r="AC84" s="41" t="n">
        <f aca="false">2/(p_AdxN+1)*Z84+(1-2/(p_AdxN+1))*AC83</f>
        <v>0.0756378194750403</v>
      </c>
      <c r="AD84" s="41" t="n">
        <f aca="false">2/(p_AdxN+1)*AA84+(1-2/(p_AdxN+1))*AD83</f>
        <v>0.154189096416657</v>
      </c>
      <c r="AE84" s="45" t="n">
        <f aca="false">100*AC84/AB84</f>
        <v>11.9867809465705</v>
      </c>
      <c r="AF84" s="45" t="n">
        <f aca="false">100*AD84/AB84</f>
        <v>24.4352750505452</v>
      </c>
      <c r="AG84" s="45" t="n">
        <f aca="false">IFERROR(100*ABS(AE84-AF84)/(AE84+AF84),0)</f>
        <v>34.1784497419931</v>
      </c>
      <c r="AH84" s="45" t="n">
        <f aca="false">2/(p_AdxN+1)*AG84+(1-2/(p_AdxN+1))*AH83</f>
        <v>34.835313423822</v>
      </c>
      <c r="AI84" s="40" t="n">
        <f aca="false">I84*(1+p_ChPct)</f>
        <v>27.0598293165629</v>
      </c>
      <c r="AJ84" s="40" t="n">
        <f aca="false">I84*(1-p_ChPct)</f>
        <v>23.996452412801</v>
      </c>
      <c r="AK84" s="40" t="n">
        <f aca="false">I84+1*Y84</f>
        <v>26.1035254800666</v>
      </c>
      <c r="AL84" s="40" t="n">
        <f aca="false">I84+2*Y84</f>
        <v>26.6789100954512</v>
      </c>
      <c r="AM84" s="40" t="n">
        <f aca="false">I84+3*Y84</f>
        <v>27.2542947108358</v>
      </c>
      <c r="AN84" s="40" t="n">
        <f aca="false">I84-1*Y84</f>
        <v>24.9527562492973</v>
      </c>
      <c r="AO84" s="40" t="n">
        <f aca="false">I84-2*Y84</f>
        <v>24.3773716339127</v>
      </c>
      <c r="AP84" s="40" t="n">
        <f aca="false">I84-3*Y84</f>
        <v>23.8019870185281</v>
      </c>
      <c r="AQ84" s="40" t="n">
        <f aca="true">MAX(OFFSET(C84,1-MIN(p_StochN,ROW()-4),0,MIN(p_StochN,ROW()-4),1))</f>
        <v>26.63</v>
      </c>
      <c r="AR84" s="40" t="n">
        <f aca="true">MIN(OFFSET(D84,1-MIN(p_StochN,ROW()-4),0,MIN(p_StochN,ROW()-4),1))</f>
        <v>24.96</v>
      </c>
      <c r="AS84" s="45" t="n">
        <f aca="false">IF(AQ84=AR84,50,100*(E84-AR84)/(AQ84-AR84))</f>
        <v>27.5449101796408</v>
      </c>
      <c r="AT84" s="45" t="n">
        <f aca="true">AVERAGE(OFFSET(AS84,1-MIN(p_StochSm,ROW()-4),0,MIN(p_StochSm,ROW()-4),1))</f>
        <v>13.852418619551</v>
      </c>
      <c r="AU84" s="45" t="n">
        <f aca="true">AVERAGE(OFFSET(AT84,1-MIN(p_StochSm,ROW()-4),0,MIN(p_StochSm,ROW()-4),1))</f>
        <v>18.5264850856838</v>
      </c>
      <c r="AV84" s="41" t="n">
        <f aca="false">MAX(0,H84-D84)</f>
        <v>0.85348008441014</v>
      </c>
      <c r="AW84" s="41" t="n">
        <f aca="true">IF(COUNTIF(OFFSET(AV84,1-MIN(p_PenLb,ROW()-4),0,MIN(p_PenLb,ROW()-4),1),"&gt;0")&gt;0,SUM(OFFSET(AV84,1-MIN(p_PenLb,ROW()-4),0,MIN(p_PenLb,ROW()-4),1))/COUNTIF(OFFSET(AV84,1-MIN(p_PenLb,ROW()-4),0,MIN(p_PenLb,ROW()-4),1),"&gt;0"),0.5*Y84)</f>
        <v>0.320928842893578</v>
      </c>
      <c r="AX84" s="41" t="n">
        <f aca="false">2*H84-H83</f>
        <v>25.7479000703418</v>
      </c>
      <c r="AY84" s="40" t="n">
        <f aca="false">ROUND(MAX(AX84-AW84,0.01),2)</f>
        <v>25.43</v>
      </c>
      <c r="AZ84" s="40" t="n">
        <f aca="true">IF(MIN(p_StopLb,ROW()-4)&lt;2,D84,SMALL(OFFSET(D84,1-MIN(p_StopLb,ROW()-4),0,MIN(p_StopLb,ROW()-4),1),2))</f>
        <v>25.09</v>
      </c>
      <c r="BA84" s="40" t="n">
        <f aca="false">IF(MOD(ROUND(ROUNDDOWN(MIN(AZ84-0.01,AY84-p_StopAtr*Y84),2)*100,0),50)=0,ROUNDDOWN(MIN(AZ84-0.01,AY84-p_StopAtr*Y84),2)-0.01,ROUNDDOWN(MIN(AZ84-0.01,AY84-p_StopAtr*Y84),2))</f>
        <v>24.85</v>
      </c>
      <c r="BB84" s="40" t="n">
        <f aca="false">ROUND(AI84,2)</f>
        <v>27.06</v>
      </c>
      <c r="BC84" s="40" t="n">
        <f aca="false">IF(AY84-BA84&gt;0,(BB84-AY84)/(AY84-BA84),0)</f>
        <v>2.81034482758621</v>
      </c>
      <c r="BD84" s="42" t="n">
        <f aca="false">IF(N84&lt;0,1,0)</f>
        <v>1</v>
      </c>
      <c r="BE84" s="41" t="n">
        <f aca="false">IF(AND(BD84=1,BD83=0),N84,IF(BD84=1,MIN(BE83,N84),BE83))</f>
        <v>-0.179256268228925</v>
      </c>
      <c r="BF84" s="40" t="n">
        <f aca="false">IF(AND(BD84=1,BD83=0),D84,IF(BD84=1,MIN(BF83,D84),BF83))</f>
        <v>24.96</v>
      </c>
      <c r="BG84" s="42" t="n">
        <f aca="false">IF(AND(BD84=1,BD83=0),ROW(),IF(BD84=1,IF(N84&lt;BE83,ROW(),BG83),BG83))</f>
        <v>84</v>
      </c>
      <c r="BH84" s="41" t="n">
        <f aca="false">IF(AND(BD84=1,BD83=0),BE83,BH83)</f>
        <v>-0.267100964273217</v>
      </c>
      <c r="BI84" s="40" t="n">
        <f aca="false">IF(AND(BD84=1,BD83=0),BF83,BI83)</f>
        <v>23.24</v>
      </c>
      <c r="BJ84" s="42" t="n">
        <f aca="false">IF(AND(BD84=1,BD83=0),BG83,BJ83)</f>
        <v>52</v>
      </c>
      <c r="BK84" s="42" t="n">
        <f aca="false">IF(AND(ISNUMBER(BG84),ISNUMBER(BJ84)),BG84-BJ84,"")</f>
        <v>32</v>
      </c>
      <c r="BL84" s="42" t="n">
        <f aca="false">IF(AND(BD84=1,N84&gt;N83,ISNUMBER(BH84),ISNUMBER(BK84)),IF(AND(BE84&gt;BH84,BF84&lt;BI84,BK84&gt;=p_GapMin,BK84&lt;=p_GapMax),1,0),0)</f>
        <v>0</v>
      </c>
      <c r="BM84" s="42" t="n">
        <f aca="false">IF(AND(BL84=1,E84&gt;BI84),1,0)</f>
        <v>0</v>
      </c>
      <c r="BN84" s="42" t="n">
        <f aca="false">IF(BL84=1,IF(BE84&gt;=BH84*0.5,1,0),0)</f>
        <v>0</v>
      </c>
      <c r="BO84" s="42" t="n">
        <f aca="true">IF(V84&gt;MIN(OFFSET(V84,-MIN(p_FiLb-1,ROW()-5),0,MIN(p_FiLb-1,ROW()-5),1)),1,0)</f>
        <v>1</v>
      </c>
      <c r="BP84" s="44" t="n">
        <f aca="true">IF(COUNTIF(OFFSET(V84,1-MIN(100,ROW()-4),0,MIN(100,ROW()-4),1),"&lt;0")&gt;=5,AVERAGEIF(OFFSET(V84,1-MIN(100,ROW()-4),0,MIN(100,ROW()-4),1),"&lt;0"),"")</f>
        <v>-698652.383659809</v>
      </c>
      <c r="BQ84" s="42" t="n">
        <f aca="false">IF(ISNUMBER(BP84),IF(AND(V84&lt;5*BP84,V84&gt;V83,E84&lt;AJ84),1,0),0)</f>
        <v>0</v>
      </c>
      <c r="BR84" s="44" t="n">
        <f aca="true">AVERAGE(OFFSET(F84,1-MIN(5,ROW()-4),0,MIN(5,ROW()-4),1))</f>
        <v>3604240</v>
      </c>
      <c r="BS84" s="42" t="n">
        <f aca="false">IFERROR(IF(MATCH(G84,周线!$A$5:$A$84,0)&lt;=1,"",INDEX(周线!$R$5:$R$84,MATCH(G84,周线!$A$5:$A$84,0)-1)),"")</f>
        <v>1</v>
      </c>
      <c r="BT84" s="42" t="n">
        <f aca="false">IFERROR(IF(MATCH(G84,周线!$A$5:$A$84,0)&lt;=1,"",INDEX(周线!$S$5:$S$84,MATCH(G84,周线!$A$5:$A$84,0)-1)),"")</f>
        <v>0</v>
      </c>
      <c r="BU84" s="42" t="n">
        <f aca="false">IFERROR(IF(MATCH(G84,周线!$A$5:$A$84,0)&lt;=1,"",INDEX(周线!$U$5:$U$84,MATCH(G84,周线!$A$5:$A$84,0)-1)),"")</f>
        <v>0</v>
      </c>
      <c r="BV84" s="42" t="n">
        <f aca="false">IF(AND(BS84=1,S84&lt;&gt;-1,V84&lt;0,BO84=1,E84&lt;=H84,E84&gt;=AJ84),1,0)</f>
        <v>0</v>
      </c>
      <c r="BW84" s="42" t="n">
        <f aca="false">BL84</f>
        <v>0</v>
      </c>
      <c r="BX84" s="42" t="n">
        <f aca="false">BQ84</f>
        <v>0</v>
      </c>
      <c r="BY84" s="42" t="n">
        <f aca="false">IF(BS84=1,10,0)+IF(BU84=1,5,IF(BU84=-1,0,3))+IF(BT84=1,5,0)+IF(AND(AE84&gt;AF84,AH84&gt;AH83),5,0)</f>
        <v>13</v>
      </c>
      <c r="BZ84" s="42" t="n">
        <f aca="false">IF(AND(E84&lt;=H84,E84&gt;=I84),10,IF(AND(E84&gt;=AJ84,E84&lt;I84),6,0))+IF(AND(V84&lt;0,BO84=1),8,0)+IF(AT84&lt;30,7,IF(AT84&lt;50,3,0))</f>
        <v>21</v>
      </c>
      <c r="CA84" s="42" t="n">
        <f aca="false">IF(AND(BV84=1,BW84=1),25,IF(BW84=1,22,IF(BV84=1,15,IF(BX84=1,12,0))))</f>
        <v>0</v>
      </c>
      <c r="CB84" s="42" t="n">
        <f aca="false">IF(W84&gt;0,6,0)+IF(F84&lt;BR84,4,0)</f>
        <v>4</v>
      </c>
      <c r="CC84" s="42" t="n">
        <f aca="false">IF(BC84&gt;=3,15,IF(BC84&gt;=p_RRmin,10,IF(BC84&gt;=1.5,4,0)))</f>
        <v>10</v>
      </c>
      <c r="CD84" s="42" t="n">
        <f aca="false">BY84+BZ84+CA84+CB84+CC84</f>
        <v>48</v>
      </c>
      <c r="CE84" s="42" t="n">
        <f aca="false">IF(AND(BS84&lt;&gt;1,BW84+BX84=0),1,0)</f>
        <v>0</v>
      </c>
      <c r="CF84" s="42" t="n">
        <f aca="false">IF(BU84=-1,1,0)</f>
        <v>0</v>
      </c>
      <c r="CG84" s="42" t="n">
        <f aca="false">IF(S84=-1,1,0)</f>
        <v>1</v>
      </c>
      <c r="CH84" s="42" t="n">
        <f aca="false">IF(BV84+BW84+BX84=0,1,0)</f>
        <v>1</v>
      </c>
      <c r="CI84" s="42" t="n">
        <f aca="false">IF(BC84&lt;p_RRmin,1,0)</f>
        <v>0</v>
      </c>
      <c r="CJ84" s="46" t="str">
        <f aca="false">IF(SUM(CE84:CI84)=0,IF(CD84&gt;=p_GradeA,"A",IF(CD84&gt;=p_GradeB,"B","C")),IF(AND(CI84=1,SUM(CE84:CH84)=0,CD84&gt;=p_GradeB),"B","C"))</f>
        <v>C</v>
      </c>
    </row>
    <row r="85" customFormat="false" ht="15" hidden="false" customHeight="false" outlineLevel="0" collapsed="false">
      <c r="A85" s="36" t="n">
        <v>45771</v>
      </c>
      <c r="B85" s="37" t="n">
        <v>25.37</v>
      </c>
      <c r="C85" s="37" t="n">
        <v>25.62</v>
      </c>
      <c r="D85" s="37" t="n">
        <v>25.04</v>
      </c>
      <c r="E85" s="37" t="n">
        <v>25.35</v>
      </c>
      <c r="F85" s="38" t="n">
        <v>3949500</v>
      </c>
      <c r="G85" s="39" t="n">
        <f aca="false">A85-WEEKDAY(A85,3)</f>
        <v>45768</v>
      </c>
      <c r="H85" s="40" t="n">
        <f aca="false">2/(p_EmaF+1)*E85+(1-2/(p_EmaF+1))*H84</f>
        <v>25.7472686437801</v>
      </c>
      <c r="I85" s="40" t="n">
        <f aca="false">2/(p_EmaS+1)*E85+(1-2/(p_EmaS+1))*I84</f>
        <v>25.5149452450759</v>
      </c>
      <c r="J85" s="41" t="n">
        <f aca="false">2/(p_MacdF+1)*E85+(1-2/(p_MacdF+1))*J84</f>
        <v>25.7471514126666</v>
      </c>
      <c r="K85" s="41" t="n">
        <f aca="false">2/(p_MacdS+1)*E85+(1-2/(p_MacdS+1))*K84</f>
        <v>25.5149452450759</v>
      </c>
      <c r="L85" s="41" t="n">
        <f aca="false">J85-K85</f>
        <v>0.232206167590739</v>
      </c>
      <c r="M85" s="41" t="n">
        <f aca="false">2/(p_MacdSig+1)*L85+(1-2/(p_MacdSig+1))*M84</f>
        <v>0.422822164695075</v>
      </c>
      <c r="N85" s="41" t="n">
        <f aca="false">L85-M85</f>
        <v>-0.190615997104336</v>
      </c>
      <c r="O85" s="42" t="n">
        <f aca="false">IF(H85&gt;H84,1,0)</f>
        <v>0</v>
      </c>
      <c r="P85" s="42" t="n">
        <f aca="false">IF(H85&lt;H84,1,0)</f>
        <v>1</v>
      </c>
      <c r="Q85" s="42" t="n">
        <f aca="false">IF(N85&gt;N84,1,0)</f>
        <v>0</v>
      </c>
      <c r="R85" s="42" t="n">
        <f aca="false">IF(N85&lt;N84,1,0)</f>
        <v>1</v>
      </c>
      <c r="S85" s="42" t="n">
        <f aca="false">IF(AND(O85=1,Q85=1),1,IF(AND(P85=1,R85=1),-1,0))</f>
        <v>-1</v>
      </c>
      <c r="T85" s="43" t="str">
        <f aca="false">IF(S85=1,"绿",IF(S85=-1,"红","蓝"))</f>
        <v>红</v>
      </c>
      <c r="U85" s="44" t="n">
        <f aca="false">F85*(E85-E84)</f>
        <v>-276465.000000001</v>
      </c>
      <c r="V85" s="44" t="n">
        <f aca="false">2/(p_FiS+1)*U85+(1-2/(p_FiS+1))*V84</f>
        <v>-235224.165158485</v>
      </c>
      <c r="W85" s="44" t="n">
        <f aca="false">2/(p_FiL+1)*U85+(1-2/(p_FiL+1))*W84</f>
        <v>-441957.491372339</v>
      </c>
      <c r="X85" s="41" t="n">
        <f aca="false">MAX(C85-D85,ABS(C85-E84),ABS(D85-E84))</f>
        <v>0.580000000000002</v>
      </c>
      <c r="Y85" s="41" t="n">
        <f aca="true">AVERAGE(OFFSET(X85,1-MIN(p_AtrN,ROW()-4),0,MIN(p_AtrN,ROW()-4),1))</f>
        <v>0.597692307692308</v>
      </c>
      <c r="Z85" s="41" t="n">
        <f aca="false">IF(AND(C85-C84&gt;D84-D85,C85-C84&gt;0),C85-C84,0)</f>
        <v>0.0600000000000023</v>
      </c>
      <c r="AA85" s="41" t="n">
        <f aca="false">IF(AND(D84-D85&gt;C85-C84,D84-D85&gt;0),D84-D85,0)</f>
        <v>0</v>
      </c>
      <c r="AB85" s="41" t="n">
        <f aca="false">2/(p_AdxN+1)*X85+(1-2/(p_AdxN+1))*AB84</f>
        <v>0.623723093289322</v>
      </c>
      <c r="AC85" s="41" t="n">
        <f aca="false">2/(p_AdxN+1)*Z85+(1-2/(p_AdxN+1))*AC84</f>
        <v>0.0734038452643206</v>
      </c>
      <c r="AD85" s="41" t="n">
        <f aca="false">2/(p_AdxN+1)*AA85+(1-2/(p_AdxN+1))*AD84</f>
        <v>0.132162082642849</v>
      </c>
      <c r="AE85" s="45" t="n">
        <f aca="false">100*AC85/AB85</f>
        <v>11.7686592101651</v>
      </c>
      <c r="AF85" s="45" t="n">
        <f aca="false">100*AD85/AB85</f>
        <v>21.1892238823268</v>
      </c>
      <c r="AG85" s="45" t="n">
        <f aca="false">IFERROR(100*ABS(AE85-AF85)/(AE85+AF85),0)</f>
        <v>28.5836461210938</v>
      </c>
      <c r="AH85" s="45" t="n">
        <f aca="false">2/(p_AdxN+1)*AG85+(1-2/(p_AdxN+1))*AH84</f>
        <v>33.9422180948608</v>
      </c>
      <c r="AI85" s="40" t="n">
        <f aca="false">I85*(1+p_ChPct)</f>
        <v>27.0458419597804</v>
      </c>
      <c r="AJ85" s="40" t="n">
        <f aca="false">I85*(1-p_ChPct)</f>
        <v>23.9840485303713</v>
      </c>
      <c r="AK85" s="40" t="n">
        <f aca="false">I85+1*Y85</f>
        <v>26.1126375527682</v>
      </c>
      <c r="AL85" s="40" t="n">
        <f aca="false">I85+2*Y85</f>
        <v>26.7103298604605</v>
      </c>
      <c r="AM85" s="40" t="n">
        <f aca="false">I85+3*Y85</f>
        <v>27.3080221681528</v>
      </c>
      <c r="AN85" s="40" t="n">
        <f aca="false">I85-1*Y85</f>
        <v>24.9172529373836</v>
      </c>
      <c r="AO85" s="40" t="n">
        <f aca="false">I85-2*Y85</f>
        <v>24.3195606296913</v>
      </c>
      <c r="AP85" s="40" t="n">
        <f aca="false">I85-3*Y85</f>
        <v>23.7218683219989</v>
      </c>
      <c r="AQ85" s="40" t="n">
        <f aca="true">MAX(OFFSET(C85,1-MIN(p_StochN,ROW()-4),0,MIN(p_StochN,ROW()-4),1))</f>
        <v>26.63</v>
      </c>
      <c r="AR85" s="40" t="n">
        <f aca="true">MIN(OFFSET(D85,1-MIN(p_StochN,ROW()-4),0,MIN(p_StochN,ROW()-4),1))</f>
        <v>24.96</v>
      </c>
      <c r="AS85" s="45" t="n">
        <f aca="false">IF(AQ85=AR85,50,100*(E85-AR85)/(AQ85-AR85))</f>
        <v>23.3532934131737</v>
      </c>
      <c r="AT85" s="45" t="n">
        <f aca="true">AVERAGE(OFFSET(AS85,1-MIN(p_StochSm,ROW()-4),0,MIN(p_StochSm,ROW()-4),1))</f>
        <v>19.3734752716789</v>
      </c>
      <c r="AU85" s="45" t="n">
        <f aca="true">AVERAGE(OFFSET(AT85,1-MIN(p_StochSm,ROW()-4),0,MIN(p_StochSm,ROW()-4),1))</f>
        <v>17.4865941934502</v>
      </c>
      <c r="AV85" s="41" t="n">
        <f aca="false">MAX(0,H85-D85)</f>
        <v>0.707268643780122</v>
      </c>
      <c r="AW85" s="41" t="n">
        <f aca="true">IF(COUNTIF(OFFSET(AV85,1-MIN(p_PenLb,ROW()-4),0,MIN(p_PenLb,ROW()-4),1),"&gt;0")&gt;0,SUM(OFFSET(AV85,1-MIN(p_PenLb,ROW()-4),0,MIN(p_PenLb,ROW()-4),1))/COUNTIF(OFFSET(AV85,1-MIN(p_PenLb,ROW()-4),0,MIN(p_PenLb,ROW()-4),1),"&gt;0"),0.5*Y85)</f>
        <v>0.346684829619348</v>
      </c>
      <c r="AX85" s="41" t="n">
        <f aca="false">2*H85-H84</f>
        <v>25.6810572031501</v>
      </c>
      <c r="AY85" s="40" t="n">
        <f aca="false">ROUND(MAX(AX85-AW85,0.01),2)</f>
        <v>25.33</v>
      </c>
      <c r="AZ85" s="40" t="n">
        <f aca="true">IF(MIN(p_StopLb,ROW()-4)&lt;2,D85,SMALL(OFFSET(D85,1-MIN(p_StopLb,ROW()-4),0,MIN(p_StopLb,ROW()-4),1),2))</f>
        <v>25.04</v>
      </c>
      <c r="BA85" s="40" t="n">
        <f aca="false">IF(MOD(ROUND(ROUNDDOWN(MIN(AZ85-0.01,AY85-p_StopAtr*Y85),2)*100,0),50)=0,ROUNDDOWN(MIN(AZ85-0.01,AY85-p_StopAtr*Y85),2)-0.01,ROUNDDOWN(MIN(AZ85-0.01,AY85-p_StopAtr*Y85),2))</f>
        <v>24.73</v>
      </c>
      <c r="BB85" s="40" t="n">
        <f aca="false">ROUND(AI85,2)</f>
        <v>27.05</v>
      </c>
      <c r="BC85" s="40" t="n">
        <f aca="false">IF(AY85-BA85&gt;0,(BB85-AY85)/(AY85-BA85),0)</f>
        <v>2.86666666666668</v>
      </c>
      <c r="BD85" s="42" t="n">
        <f aca="false">IF(N85&lt;0,1,0)</f>
        <v>1</v>
      </c>
      <c r="BE85" s="41" t="n">
        <f aca="false">IF(AND(BD85=1,BD84=0),N85,IF(BD85=1,MIN(BE84,N85),BE84))</f>
        <v>-0.190615997104336</v>
      </c>
      <c r="BF85" s="40" t="n">
        <f aca="false">IF(AND(BD85=1,BD84=0),D85,IF(BD85=1,MIN(BF84,D85),BF84))</f>
        <v>24.96</v>
      </c>
      <c r="BG85" s="42" t="n">
        <f aca="false">IF(AND(BD85=1,BD84=0),ROW(),IF(BD85=1,IF(N85&lt;BE84,ROW(),BG84),BG84))</f>
        <v>85</v>
      </c>
      <c r="BH85" s="41" t="n">
        <f aca="false">IF(AND(BD85=1,BD84=0),BE84,BH84)</f>
        <v>-0.267100964273217</v>
      </c>
      <c r="BI85" s="40" t="n">
        <f aca="false">IF(AND(BD85=1,BD84=0),BF84,BI84)</f>
        <v>23.24</v>
      </c>
      <c r="BJ85" s="42" t="n">
        <f aca="false">IF(AND(BD85=1,BD84=0),BG84,BJ84)</f>
        <v>52</v>
      </c>
      <c r="BK85" s="42" t="n">
        <f aca="false">IF(AND(ISNUMBER(BG85),ISNUMBER(BJ85)),BG85-BJ85,"")</f>
        <v>33</v>
      </c>
      <c r="BL85" s="42" t="n">
        <f aca="false">IF(AND(BD85=1,N85&gt;N84,ISNUMBER(BH85),ISNUMBER(BK85)),IF(AND(BE85&gt;BH85,BF85&lt;BI85,BK85&gt;=p_GapMin,BK85&lt;=p_GapMax),1,0),0)</f>
        <v>0</v>
      </c>
      <c r="BM85" s="42" t="n">
        <f aca="false">IF(AND(BL85=1,E85&gt;BI85),1,0)</f>
        <v>0</v>
      </c>
      <c r="BN85" s="42" t="n">
        <f aca="false">IF(BL85=1,IF(BE85&gt;=BH85*0.5,1,0),0)</f>
        <v>0</v>
      </c>
      <c r="BO85" s="42" t="n">
        <f aca="true">IF(V85&gt;MIN(OFFSET(V85,-MIN(p_FiLb-1,ROW()-5),0,MIN(p_FiLb-1,ROW()-5),1)),1,0)</f>
        <v>1</v>
      </c>
      <c r="BP85" s="44" t="n">
        <f aca="true">IF(COUNTIF(OFFSET(V85,1-MIN(100,ROW()-4),0,MIN(100,ROW()-4),1),"&lt;0")&gt;=5,AVERAGEIF(OFFSET(V85,1-MIN(100,ROW()-4),0,MIN(100,ROW()-4),1),"&lt;0"),"")</f>
        <v>-683703.086288798</v>
      </c>
      <c r="BQ85" s="42" t="n">
        <f aca="false">IF(ISNUMBER(BP85),IF(AND(V85&lt;5*BP85,V85&gt;V84,E85&lt;AJ85),1,0),0)</f>
        <v>0</v>
      </c>
      <c r="BR85" s="44" t="n">
        <f aca="true">AVERAGE(OFFSET(F85,1-MIN(5,ROW()-4),0,MIN(5,ROW()-4),1))</f>
        <v>3838480</v>
      </c>
      <c r="BS85" s="42" t="n">
        <f aca="false">IFERROR(IF(MATCH(G85,周线!$A$5:$A$84,0)&lt;=1,"",INDEX(周线!$R$5:$R$84,MATCH(G85,周线!$A$5:$A$84,0)-1)),"")</f>
        <v>1</v>
      </c>
      <c r="BT85" s="42" t="n">
        <f aca="false">IFERROR(IF(MATCH(G85,周线!$A$5:$A$84,0)&lt;=1,"",INDEX(周线!$S$5:$S$84,MATCH(G85,周线!$A$5:$A$84,0)-1)),"")</f>
        <v>0</v>
      </c>
      <c r="BU85" s="42" t="n">
        <f aca="false">IFERROR(IF(MATCH(G85,周线!$A$5:$A$84,0)&lt;=1,"",INDEX(周线!$U$5:$U$84,MATCH(G85,周线!$A$5:$A$84,0)-1)),"")</f>
        <v>0</v>
      </c>
      <c r="BV85" s="42" t="n">
        <f aca="false">IF(AND(BS85=1,S85&lt;&gt;-1,V85&lt;0,BO85=1,E85&lt;=H85,E85&gt;=AJ85),1,0)</f>
        <v>0</v>
      </c>
      <c r="BW85" s="42" t="n">
        <f aca="false">BL85</f>
        <v>0</v>
      </c>
      <c r="BX85" s="42" t="n">
        <f aca="false">BQ85</f>
        <v>0</v>
      </c>
      <c r="BY85" s="42" t="n">
        <f aca="false">IF(BS85=1,10,0)+IF(BU85=1,5,IF(BU85=-1,0,3))+IF(BT85=1,5,0)+IF(AND(AE85&gt;AF85,AH85&gt;AH84),5,0)</f>
        <v>13</v>
      </c>
      <c r="BZ85" s="42" t="n">
        <f aca="false">IF(AND(E85&lt;=H85,E85&gt;=I85),10,IF(AND(E85&gt;=AJ85,E85&lt;I85),6,0))+IF(AND(V85&lt;0,BO85=1),8,0)+IF(AT85&lt;30,7,IF(AT85&lt;50,3,0))</f>
        <v>21</v>
      </c>
      <c r="CA85" s="42" t="n">
        <f aca="false">IF(AND(BV85=1,BW85=1),25,IF(BW85=1,22,IF(BV85=1,15,IF(BX85=1,12,0))))</f>
        <v>0</v>
      </c>
      <c r="CB85" s="42" t="n">
        <f aca="false">IF(W85&gt;0,6,0)+IF(F85&lt;BR85,4,0)</f>
        <v>0</v>
      </c>
      <c r="CC85" s="42" t="n">
        <f aca="false">IF(BC85&gt;=3,15,IF(BC85&gt;=p_RRmin,10,IF(BC85&gt;=1.5,4,0)))</f>
        <v>10</v>
      </c>
      <c r="CD85" s="42" t="n">
        <f aca="false">BY85+BZ85+CA85+CB85+CC85</f>
        <v>44</v>
      </c>
      <c r="CE85" s="42" t="n">
        <f aca="false">IF(AND(BS85&lt;&gt;1,BW85+BX85=0),1,0)</f>
        <v>0</v>
      </c>
      <c r="CF85" s="42" t="n">
        <f aca="false">IF(BU85=-1,1,0)</f>
        <v>0</v>
      </c>
      <c r="CG85" s="42" t="n">
        <f aca="false">IF(S85=-1,1,0)</f>
        <v>1</v>
      </c>
      <c r="CH85" s="42" t="n">
        <f aca="false">IF(BV85+BW85+BX85=0,1,0)</f>
        <v>1</v>
      </c>
      <c r="CI85" s="42" t="n">
        <f aca="false">IF(BC85&lt;p_RRmin,1,0)</f>
        <v>0</v>
      </c>
      <c r="CJ85" s="46" t="str">
        <f aca="false">IF(SUM(CE85:CI85)=0,IF(CD85&gt;=p_GradeA,"A",IF(CD85&gt;=p_GradeB,"B","C")),IF(AND(CI85=1,SUM(CE85:CH85)=0,CD85&gt;=p_GradeB),"B","C"))</f>
        <v>C</v>
      </c>
    </row>
    <row r="86" customFormat="false" ht="15" hidden="false" customHeight="false" outlineLevel="0" collapsed="false">
      <c r="A86" s="36" t="n">
        <v>45772</v>
      </c>
      <c r="B86" s="37" t="n">
        <v>25.34</v>
      </c>
      <c r="C86" s="37" t="n">
        <v>25.56</v>
      </c>
      <c r="D86" s="37" t="n">
        <v>25.12</v>
      </c>
      <c r="E86" s="37" t="n">
        <v>25.36</v>
      </c>
      <c r="F86" s="38" t="n">
        <v>3557900</v>
      </c>
      <c r="G86" s="39" t="n">
        <f aca="false">A86-WEEKDAY(A86,3)</f>
        <v>45768</v>
      </c>
      <c r="H86" s="40" t="n">
        <f aca="false">2/(p_EmaF+1)*E86+(1-2/(p_EmaF+1))*H85</f>
        <v>25.6919445518115</v>
      </c>
      <c r="I86" s="40" t="n">
        <f aca="false">2/(p_EmaS+1)*E86+(1-2/(p_EmaS+1))*I85</f>
        <v>25.5034678195147</v>
      </c>
      <c r="J86" s="41" t="n">
        <f aca="false">2/(p_MacdF+1)*E86+(1-2/(p_MacdF+1))*J85</f>
        <v>25.6875896568717</v>
      </c>
      <c r="K86" s="41" t="n">
        <f aca="false">2/(p_MacdS+1)*E86+(1-2/(p_MacdS+1))*K85</f>
        <v>25.5034678195147</v>
      </c>
      <c r="L86" s="41" t="n">
        <f aca="false">J86-K86</f>
        <v>0.184121837357051</v>
      </c>
      <c r="M86" s="41" t="n">
        <f aca="false">2/(p_MacdSig+1)*L86+(1-2/(p_MacdSig+1))*M85</f>
        <v>0.37508209922747</v>
      </c>
      <c r="N86" s="41" t="n">
        <f aca="false">L86-M86</f>
        <v>-0.190960261870419</v>
      </c>
      <c r="O86" s="42" t="n">
        <f aca="false">IF(H86&gt;H85,1,0)</f>
        <v>0</v>
      </c>
      <c r="P86" s="42" t="n">
        <f aca="false">IF(H86&lt;H85,1,0)</f>
        <v>1</v>
      </c>
      <c r="Q86" s="42" t="n">
        <f aca="false">IF(N86&gt;N85,1,0)</f>
        <v>0</v>
      </c>
      <c r="R86" s="42" t="n">
        <f aca="false">IF(N86&lt;N85,1,0)</f>
        <v>1</v>
      </c>
      <c r="S86" s="42" t="n">
        <f aca="false">IF(AND(O86=1,Q86=1),1,IF(AND(P86=1,R86=1),-1,0))</f>
        <v>-1</v>
      </c>
      <c r="T86" s="43" t="str">
        <f aca="false">IF(S86=1,"绿",IF(S86=-1,"红","蓝"))</f>
        <v>红</v>
      </c>
      <c r="U86" s="44" t="n">
        <f aca="false">F86*(E86-E85)</f>
        <v>35578.9999999929</v>
      </c>
      <c r="V86" s="44" t="n">
        <f aca="false">2/(p_FiS+1)*U86+(1-2/(p_FiS+1))*V85</f>
        <v>-54688.7217194997</v>
      </c>
      <c r="W86" s="44" t="n">
        <f aca="false">2/(p_FiL+1)*U86+(1-2/(p_FiL+1))*W85</f>
        <v>-373737.992604863</v>
      </c>
      <c r="X86" s="41" t="n">
        <f aca="false">MAX(C86-D86,ABS(C86-E85),ABS(D86-E85))</f>
        <v>0.439999999999998</v>
      </c>
      <c r="Y86" s="41" t="n">
        <f aca="true">AVERAGE(OFFSET(X86,1-MIN(p_AtrN,ROW()-4),0,MIN(p_AtrN,ROW()-4),1))</f>
        <v>0.586153846153846</v>
      </c>
      <c r="Z86" s="41" t="n">
        <f aca="false">IF(AND(C86-C85&gt;D85-D86,C86-C85&gt;0),C86-C85,0)</f>
        <v>0</v>
      </c>
      <c r="AA86" s="41" t="n">
        <f aca="false">IF(AND(D85-D86&gt;C86-C85,D85-D86&gt;0),D85-D86,0)</f>
        <v>0</v>
      </c>
      <c r="AB86" s="41" t="n">
        <f aca="false">2/(p_AdxN+1)*X86+(1-2/(p_AdxN+1))*AB85</f>
        <v>0.597476937105133</v>
      </c>
      <c r="AC86" s="41" t="n">
        <f aca="false">2/(p_AdxN+1)*Z86+(1-2/(p_AdxN+1))*AC85</f>
        <v>0.0629175816551319</v>
      </c>
      <c r="AD86" s="41" t="n">
        <f aca="false">2/(p_AdxN+1)*AA86+(1-2/(p_AdxN+1))*AD85</f>
        <v>0.113281785122442</v>
      </c>
      <c r="AE86" s="45" t="n">
        <f aca="false">100*AC86/AB86</f>
        <v>10.5305456575407</v>
      </c>
      <c r="AF86" s="45" t="n">
        <f aca="false">100*AD86/AB86</f>
        <v>18.9600264189793</v>
      </c>
      <c r="AG86" s="45" t="n">
        <f aca="false">IFERROR(100*ABS(AE86-AF86)/(AE86+AF86),0)</f>
        <v>28.5836461210938</v>
      </c>
      <c r="AH86" s="45" t="n">
        <f aca="false">2/(p_AdxN+1)*AG86+(1-2/(p_AdxN+1))*AH85</f>
        <v>33.1767078128941</v>
      </c>
      <c r="AI86" s="40" t="n">
        <f aca="false">I86*(1+p_ChPct)</f>
        <v>27.0336758886856</v>
      </c>
      <c r="AJ86" s="40" t="n">
        <f aca="false">I86*(1-p_ChPct)</f>
        <v>23.9732597503438</v>
      </c>
      <c r="AK86" s="40" t="n">
        <f aca="false">I86+1*Y86</f>
        <v>26.0896216656685</v>
      </c>
      <c r="AL86" s="40" t="n">
        <f aca="false">I86+2*Y86</f>
        <v>26.6757755118224</v>
      </c>
      <c r="AM86" s="40" t="n">
        <f aca="false">I86+3*Y86</f>
        <v>27.2619293579762</v>
      </c>
      <c r="AN86" s="40" t="n">
        <f aca="false">I86-1*Y86</f>
        <v>24.9173139733609</v>
      </c>
      <c r="AO86" s="40" t="n">
        <f aca="false">I86-2*Y86</f>
        <v>24.331160127207</v>
      </c>
      <c r="AP86" s="40" t="n">
        <f aca="false">I86-3*Y86</f>
        <v>23.7450062810532</v>
      </c>
      <c r="AQ86" s="40" t="n">
        <f aca="true">MAX(OFFSET(C86,1-MIN(p_StochN,ROW()-4),0,MIN(p_StochN,ROW()-4),1))</f>
        <v>26.42</v>
      </c>
      <c r="AR86" s="40" t="n">
        <f aca="true">MIN(OFFSET(D86,1-MIN(p_StochN,ROW()-4),0,MIN(p_StochN,ROW()-4),1))</f>
        <v>24.96</v>
      </c>
      <c r="AS86" s="45" t="n">
        <f aca="false">IF(AQ86=AR86,50,100*(E86-AR86)/(AQ86-AR86))</f>
        <v>27.3972602739725</v>
      </c>
      <c r="AT86" s="45" t="n">
        <f aca="true">AVERAGE(OFFSET(AS86,1-MIN(p_StochSm,ROW()-4),0,MIN(p_StochSm,ROW()-4),1))</f>
        <v>26.0984879555957</v>
      </c>
      <c r="AU86" s="45" t="n">
        <f aca="true">AVERAGE(OFFSET(AT86,1-MIN(p_StochSm,ROW()-4),0,MIN(p_StochSm,ROW()-4),1))</f>
        <v>19.7747939489419</v>
      </c>
      <c r="AV86" s="41" t="n">
        <f aca="false">MAX(0,H86-D86)</f>
        <v>0.571944551811534</v>
      </c>
      <c r="AW86" s="41" t="n">
        <f aca="true">IF(COUNTIF(OFFSET(AV86,1-MIN(p_PenLb,ROW()-4),0,MIN(p_PenLb,ROW()-4),1),"&gt;0")&gt;0,SUM(OFFSET(AV86,1-MIN(p_PenLb,ROW()-4),0,MIN(p_PenLb,ROW()-4),1))/COUNTIF(OFFSET(AV86,1-MIN(p_PenLb,ROW()-4),0,MIN(p_PenLb,ROW()-4),1),"&gt;0"),0.5*Y86)</f>
        <v>0.371895984915937</v>
      </c>
      <c r="AX86" s="41" t="n">
        <f aca="false">2*H86-H85</f>
        <v>25.636620459843</v>
      </c>
      <c r="AY86" s="40" t="n">
        <f aca="false">ROUND(MAX(AX86-AW86,0.01),2)</f>
        <v>25.26</v>
      </c>
      <c r="AZ86" s="40" t="n">
        <f aca="true">IF(MIN(p_StopLb,ROW()-4)&lt;2,D86,SMALL(OFFSET(D86,1-MIN(p_StopLb,ROW()-4),0,MIN(p_StopLb,ROW()-4),1),2))</f>
        <v>25.04</v>
      </c>
      <c r="BA86" s="40" t="n">
        <f aca="false">IF(MOD(ROUND(ROUNDDOWN(MIN(AZ86-0.01,AY86-p_StopAtr*Y86),2)*100,0),50)=0,ROUNDDOWN(MIN(AZ86-0.01,AY86-p_StopAtr*Y86),2)-0.01,ROUNDDOWN(MIN(AZ86-0.01,AY86-p_StopAtr*Y86),2))</f>
        <v>24.67</v>
      </c>
      <c r="BB86" s="40" t="n">
        <f aca="false">ROUND(AI86,2)</f>
        <v>27.03</v>
      </c>
      <c r="BC86" s="40" t="n">
        <f aca="false">IF(AY86-BA86&gt;0,(BB86-AY86)/(AY86-BA86),0)</f>
        <v>3</v>
      </c>
      <c r="BD86" s="42" t="n">
        <f aca="false">IF(N86&lt;0,1,0)</f>
        <v>1</v>
      </c>
      <c r="BE86" s="41" t="n">
        <f aca="false">IF(AND(BD86=1,BD85=0),N86,IF(BD86=1,MIN(BE85,N86),BE85))</f>
        <v>-0.190960261870419</v>
      </c>
      <c r="BF86" s="40" t="n">
        <f aca="false">IF(AND(BD86=1,BD85=0),D86,IF(BD86=1,MIN(BF85,D86),BF85))</f>
        <v>24.96</v>
      </c>
      <c r="BG86" s="42" t="n">
        <f aca="false">IF(AND(BD86=1,BD85=0),ROW(),IF(BD86=1,IF(N86&lt;BE85,ROW(),BG85),BG85))</f>
        <v>86</v>
      </c>
      <c r="BH86" s="41" t="n">
        <f aca="false">IF(AND(BD86=1,BD85=0),BE85,BH85)</f>
        <v>-0.267100964273217</v>
      </c>
      <c r="BI86" s="40" t="n">
        <f aca="false">IF(AND(BD86=1,BD85=0),BF85,BI85)</f>
        <v>23.24</v>
      </c>
      <c r="BJ86" s="42" t="n">
        <f aca="false">IF(AND(BD86=1,BD85=0),BG85,BJ85)</f>
        <v>52</v>
      </c>
      <c r="BK86" s="42" t="n">
        <f aca="false">IF(AND(ISNUMBER(BG86),ISNUMBER(BJ86)),BG86-BJ86,"")</f>
        <v>34</v>
      </c>
      <c r="BL86" s="42" t="n">
        <f aca="false">IF(AND(BD86=1,N86&gt;N85,ISNUMBER(BH86),ISNUMBER(BK86)),IF(AND(BE86&gt;BH86,BF86&lt;BI86,BK86&gt;=p_GapMin,BK86&lt;=p_GapMax),1,0),0)</f>
        <v>0</v>
      </c>
      <c r="BM86" s="42" t="n">
        <f aca="false">IF(AND(BL86=1,E86&gt;BI86),1,0)</f>
        <v>0</v>
      </c>
      <c r="BN86" s="42" t="n">
        <f aca="false">IF(BL86=1,IF(BE86&gt;=BH86*0.5,1,0),0)</f>
        <v>0</v>
      </c>
      <c r="BO86" s="42" t="n">
        <f aca="true">IF(V86&gt;MIN(OFFSET(V86,-MIN(p_FiLb-1,ROW()-5),0,MIN(p_FiLb-1,ROW()-5),1)),1,0)</f>
        <v>1</v>
      </c>
      <c r="BP86" s="44" t="n">
        <f aca="true">IF(COUNTIF(OFFSET(V86,1-MIN(100,ROW()-4),0,MIN(100,ROW()-4),1),"&lt;0")&gt;=5,AVERAGEIF(OFFSET(V86,1-MIN(100,ROW()-4),0,MIN(100,ROW()-4),1),"&lt;0"),"")</f>
        <v>-664046.387396008</v>
      </c>
      <c r="BQ86" s="42" t="n">
        <f aca="false">IF(ISNUMBER(BP86),IF(AND(V86&lt;5*BP86,V86&gt;V85,E86&lt;AJ86),1,0),0)</f>
        <v>0</v>
      </c>
      <c r="BR86" s="44" t="n">
        <f aca="true">AVERAGE(OFFSET(F86,1-MIN(5,ROW()-4),0,MIN(5,ROW()-4),1))</f>
        <v>4016080</v>
      </c>
      <c r="BS86" s="42" t="n">
        <f aca="false">IFERROR(IF(MATCH(G86,周线!$A$5:$A$84,0)&lt;=1,"",INDEX(周线!$R$5:$R$84,MATCH(G86,周线!$A$5:$A$84,0)-1)),"")</f>
        <v>1</v>
      </c>
      <c r="BT86" s="42" t="n">
        <f aca="false">IFERROR(IF(MATCH(G86,周线!$A$5:$A$84,0)&lt;=1,"",INDEX(周线!$S$5:$S$84,MATCH(G86,周线!$A$5:$A$84,0)-1)),"")</f>
        <v>0</v>
      </c>
      <c r="BU86" s="42" t="n">
        <f aca="false">IFERROR(IF(MATCH(G86,周线!$A$5:$A$84,0)&lt;=1,"",INDEX(周线!$U$5:$U$84,MATCH(G86,周线!$A$5:$A$84,0)-1)),"")</f>
        <v>0</v>
      </c>
      <c r="BV86" s="42" t="n">
        <f aca="false">IF(AND(BS86=1,S86&lt;&gt;-1,V86&lt;0,BO86=1,E86&lt;=H86,E86&gt;=AJ86),1,0)</f>
        <v>0</v>
      </c>
      <c r="BW86" s="42" t="n">
        <f aca="false">BL86</f>
        <v>0</v>
      </c>
      <c r="BX86" s="42" t="n">
        <f aca="false">BQ86</f>
        <v>0</v>
      </c>
      <c r="BY86" s="42" t="n">
        <f aca="false">IF(BS86=1,10,0)+IF(BU86=1,5,IF(BU86=-1,0,3))+IF(BT86=1,5,0)+IF(AND(AE86&gt;AF86,AH86&gt;AH85),5,0)</f>
        <v>13</v>
      </c>
      <c r="BZ86" s="42" t="n">
        <f aca="false">IF(AND(E86&lt;=H86,E86&gt;=I86),10,IF(AND(E86&gt;=AJ86,E86&lt;I86),6,0))+IF(AND(V86&lt;0,BO86=1),8,0)+IF(AT86&lt;30,7,IF(AT86&lt;50,3,0))</f>
        <v>21</v>
      </c>
      <c r="CA86" s="42" t="n">
        <f aca="false">IF(AND(BV86=1,BW86=1),25,IF(BW86=1,22,IF(BV86=1,15,IF(BX86=1,12,0))))</f>
        <v>0</v>
      </c>
      <c r="CB86" s="42" t="n">
        <f aca="false">IF(W86&gt;0,6,0)+IF(F86&lt;BR86,4,0)</f>
        <v>4</v>
      </c>
      <c r="CC86" s="42" t="n">
        <f aca="false">IF(BC86&gt;=3,15,IF(BC86&gt;=p_RRmin,10,IF(BC86&gt;=1.5,4,0)))</f>
        <v>15</v>
      </c>
      <c r="CD86" s="42" t="n">
        <f aca="false">BY86+BZ86+CA86+CB86+CC86</f>
        <v>53</v>
      </c>
      <c r="CE86" s="42" t="n">
        <f aca="false">IF(AND(BS86&lt;&gt;1,BW86+BX86=0),1,0)</f>
        <v>0</v>
      </c>
      <c r="CF86" s="42" t="n">
        <f aca="false">IF(BU86=-1,1,0)</f>
        <v>0</v>
      </c>
      <c r="CG86" s="42" t="n">
        <f aca="false">IF(S86=-1,1,0)</f>
        <v>1</v>
      </c>
      <c r="CH86" s="42" t="n">
        <f aca="false">IF(BV86+BW86+BX86=0,1,0)</f>
        <v>1</v>
      </c>
      <c r="CI86" s="42" t="n">
        <f aca="false">IF(BC86&lt;p_RRmin,1,0)</f>
        <v>0</v>
      </c>
      <c r="CJ86" s="46" t="str">
        <f aca="false">IF(SUM(CE86:CI86)=0,IF(CD86&gt;=p_GradeA,"A",IF(CD86&gt;=p_GradeB,"B","C")),IF(AND(CI86=1,SUM(CE86:CH86)=0,CD86&gt;=p_GradeB),"B","C"))</f>
        <v>C</v>
      </c>
    </row>
    <row r="87" customFormat="false" ht="15" hidden="false" customHeight="false" outlineLevel="0" collapsed="false">
      <c r="A87" s="36" t="n">
        <v>45775</v>
      </c>
      <c r="B87" s="37" t="n">
        <v>25.33</v>
      </c>
      <c r="C87" s="37" t="n">
        <v>25.44</v>
      </c>
      <c r="D87" s="37" t="n">
        <v>24.9</v>
      </c>
      <c r="E87" s="37" t="n">
        <v>25.06</v>
      </c>
      <c r="F87" s="38" t="n">
        <v>4591100</v>
      </c>
      <c r="G87" s="39" t="n">
        <f aca="false">A87-WEEKDAY(A87,3)</f>
        <v>45775</v>
      </c>
      <c r="H87" s="40" t="n">
        <f aca="false">2/(p_EmaF+1)*E87+(1-2/(p_EmaF+1))*H86</f>
        <v>25.6016667586956</v>
      </c>
      <c r="I87" s="40" t="n">
        <f aca="false">2/(p_EmaS+1)*E87+(1-2/(p_EmaS+1))*I86</f>
        <v>25.4706183514025</v>
      </c>
      <c r="J87" s="41" t="n">
        <f aca="false">2/(p_MacdF+1)*E87+(1-2/(p_MacdF+1))*J86</f>
        <v>25.5910374019684</v>
      </c>
      <c r="K87" s="41" t="n">
        <f aca="false">2/(p_MacdS+1)*E87+(1-2/(p_MacdS+1))*K86</f>
        <v>25.4706183514025</v>
      </c>
      <c r="L87" s="41" t="n">
        <f aca="false">J87-K87</f>
        <v>0.120419050565904</v>
      </c>
      <c r="M87" s="41" t="n">
        <f aca="false">2/(p_MacdSig+1)*L87+(1-2/(p_MacdSig+1))*M86</f>
        <v>0.324149489495157</v>
      </c>
      <c r="N87" s="41" t="n">
        <f aca="false">L87-M87</f>
        <v>-0.203730438929253</v>
      </c>
      <c r="O87" s="42" t="n">
        <f aca="false">IF(H87&gt;H86,1,0)</f>
        <v>0</v>
      </c>
      <c r="P87" s="42" t="n">
        <f aca="false">IF(H87&lt;H86,1,0)</f>
        <v>1</v>
      </c>
      <c r="Q87" s="42" t="n">
        <f aca="false">IF(N87&gt;N86,1,0)</f>
        <v>0</v>
      </c>
      <c r="R87" s="42" t="n">
        <f aca="false">IF(N87&lt;N86,1,0)</f>
        <v>1</v>
      </c>
      <c r="S87" s="42" t="n">
        <f aca="false">IF(AND(O87=1,Q87=1),1,IF(AND(P87=1,R87=1),-1,0))</f>
        <v>-1</v>
      </c>
      <c r="T87" s="43" t="str">
        <f aca="false">IF(S87=1,"绿",IF(S87=-1,"红","蓝"))</f>
        <v>红</v>
      </c>
      <c r="U87" s="44" t="n">
        <f aca="false">F87*(E87-E86)</f>
        <v>-1377330</v>
      </c>
      <c r="V87" s="44" t="n">
        <f aca="false">2/(p_FiS+1)*U87+(1-2/(p_FiS+1))*V86</f>
        <v>-936449.573906502</v>
      </c>
      <c r="W87" s="44" t="n">
        <f aca="false">2/(p_FiL+1)*U87+(1-2/(p_FiL+1))*W86</f>
        <v>-517108.279375597</v>
      </c>
      <c r="X87" s="41" t="n">
        <f aca="false">MAX(C87-D87,ABS(C87-E86),ABS(D87-E86))</f>
        <v>0.540000000000003</v>
      </c>
      <c r="Y87" s="41" t="n">
        <f aca="true">AVERAGE(OFFSET(X87,1-MIN(p_AtrN,ROW()-4),0,MIN(p_AtrN,ROW()-4),1))</f>
        <v>0.58923076923077</v>
      </c>
      <c r="Z87" s="41" t="n">
        <f aca="false">IF(AND(C87-C86&gt;D86-D87,C87-C86&gt;0),C87-C86,0)</f>
        <v>0</v>
      </c>
      <c r="AA87" s="41" t="n">
        <f aca="false">IF(AND(D86-D87&gt;C87-C86,D86-D87&gt;0),D86-D87,0)</f>
        <v>0.220000000000002</v>
      </c>
      <c r="AB87" s="41" t="n">
        <f aca="false">2/(p_AdxN+1)*X87+(1-2/(p_AdxN+1))*AB86</f>
        <v>0.589265946090114</v>
      </c>
      <c r="AC87" s="41" t="n">
        <f aca="false">2/(p_AdxN+1)*Z87+(1-2/(p_AdxN+1))*AC86</f>
        <v>0.0539293557043988</v>
      </c>
      <c r="AD87" s="41" t="n">
        <f aca="false">2/(p_AdxN+1)*AA87+(1-2/(p_AdxN+1))*AD86</f>
        <v>0.128527244390665</v>
      </c>
      <c r="AE87" s="45" t="n">
        <f aca="false">100*AC87/AB87</f>
        <v>9.15195525250182</v>
      </c>
      <c r="AF87" s="45" t="n">
        <f aca="false">100*AD87/AB87</f>
        <v>21.8114155829751</v>
      </c>
      <c r="AG87" s="45" t="n">
        <f aca="false">IFERROR(100*ABS(AE87-AF87)/(AE87+AF87),0)</f>
        <v>40.8852782784503</v>
      </c>
      <c r="AH87" s="45" t="n">
        <f aca="false">2/(p_AdxN+1)*AG87+(1-2/(p_AdxN+1))*AH86</f>
        <v>34.2779321651164</v>
      </c>
      <c r="AI87" s="40" t="n">
        <f aca="false">I87*(1+p_ChPct)</f>
        <v>26.9988554524866</v>
      </c>
      <c r="AJ87" s="40" t="n">
        <f aca="false">I87*(1-p_ChPct)</f>
        <v>23.9423812503183</v>
      </c>
      <c r="AK87" s="40" t="n">
        <f aca="false">I87+1*Y87</f>
        <v>26.0598491206333</v>
      </c>
      <c r="AL87" s="40" t="n">
        <f aca="false">I87+2*Y87</f>
        <v>26.649079889864</v>
      </c>
      <c r="AM87" s="40" t="n">
        <f aca="false">I87+3*Y87</f>
        <v>27.2383106590948</v>
      </c>
      <c r="AN87" s="40" t="n">
        <f aca="false">I87-1*Y87</f>
        <v>24.8813875821717</v>
      </c>
      <c r="AO87" s="40" t="n">
        <f aca="false">I87-2*Y87</f>
        <v>24.292156812941</v>
      </c>
      <c r="AP87" s="40" t="n">
        <f aca="false">I87-3*Y87</f>
        <v>23.7029260437102</v>
      </c>
      <c r="AQ87" s="40" t="n">
        <f aca="true">MAX(OFFSET(C87,1-MIN(p_StochN,ROW()-4),0,MIN(p_StochN,ROW()-4),1))</f>
        <v>25.62</v>
      </c>
      <c r="AR87" s="40" t="n">
        <f aca="true">MIN(OFFSET(D87,1-MIN(p_StochN,ROW()-4),0,MIN(p_StochN,ROW()-4),1))</f>
        <v>24.9</v>
      </c>
      <c r="AS87" s="45" t="n">
        <f aca="false">IF(AQ87=AR87,50,100*(E87-AR87)/(AQ87-AR87))</f>
        <v>22.2222222222222</v>
      </c>
      <c r="AT87" s="45" t="n">
        <f aca="true">AVERAGE(OFFSET(AS87,1-MIN(p_StochSm,ROW()-4),0,MIN(p_StochSm,ROW()-4),1))</f>
        <v>24.3242586364561</v>
      </c>
      <c r="AU87" s="45" t="n">
        <f aca="true">AVERAGE(OFFSET(AT87,1-MIN(p_StochSm,ROW()-4),0,MIN(p_StochSm,ROW()-4),1))</f>
        <v>23.2654072879102</v>
      </c>
      <c r="AV87" s="41" t="n">
        <f aca="false">MAX(0,H87-D87)</f>
        <v>0.701666758695602</v>
      </c>
      <c r="AW87" s="41" t="n">
        <f aca="true">IF(COUNTIF(OFFSET(AV87,1-MIN(p_PenLb,ROW()-4),0,MIN(p_PenLb,ROW()-4),1),"&gt;0")&gt;0,SUM(OFFSET(AV87,1-MIN(p_PenLb,ROW()-4),0,MIN(p_PenLb,ROW()-4),1))/COUNTIF(OFFSET(AV87,1-MIN(p_PenLb,ROW()-4),0,MIN(p_PenLb,ROW()-4),1),"&gt;0"),0.5*Y87)</f>
        <v>0.4149341180273</v>
      </c>
      <c r="AX87" s="41" t="n">
        <f aca="false">2*H87-H86</f>
        <v>25.5113889655797</v>
      </c>
      <c r="AY87" s="40" t="n">
        <f aca="false">ROUND(MAX(AX87-AW87,0.01),2)</f>
        <v>25.1</v>
      </c>
      <c r="AZ87" s="40" t="n">
        <f aca="true">IF(MIN(p_StopLb,ROW()-4)&lt;2,D87,SMALL(OFFSET(D87,1-MIN(p_StopLb,ROW()-4),0,MIN(p_StopLb,ROW()-4),1),2))</f>
        <v>24.96</v>
      </c>
      <c r="BA87" s="40" t="n">
        <f aca="false">IF(MOD(ROUND(ROUNDDOWN(MIN(AZ87-0.01,AY87-p_StopAtr*Y87),2)*100,0),50)=0,ROUNDDOWN(MIN(AZ87-0.01,AY87-p_StopAtr*Y87),2)-0.01,ROUNDDOWN(MIN(AZ87-0.01,AY87-p_StopAtr*Y87),2))</f>
        <v>24.51</v>
      </c>
      <c r="BB87" s="40" t="n">
        <f aca="false">ROUND(AI87,2)</f>
        <v>27</v>
      </c>
      <c r="BC87" s="40" t="n">
        <f aca="false">IF(AY87-BA87&gt;0,(BB87-AY87)/(AY87-BA87),0)</f>
        <v>3.22033898305085</v>
      </c>
      <c r="BD87" s="42" t="n">
        <f aca="false">IF(N87&lt;0,1,0)</f>
        <v>1</v>
      </c>
      <c r="BE87" s="41" t="n">
        <f aca="false">IF(AND(BD87=1,BD86=0),N87,IF(BD87=1,MIN(BE86,N87),BE86))</f>
        <v>-0.203730438929253</v>
      </c>
      <c r="BF87" s="40" t="n">
        <f aca="false">IF(AND(BD87=1,BD86=0),D87,IF(BD87=1,MIN(BF86,D87),BF86))</f>
        <v>24.9</v>
      </c>
      <c r="BG87" s="42" t="n">
        <f aca="false">IF(AND(BD87=1,BD86=0),ROW(),IF(BD87=1,IF(N87&lt;BE86,ROW(),BG86),BG86))</f>
        <v>87</v>
      </c>
      <c r="BH87" s="41" t="n">
        <f aca="false">IF(AND(BD87=1,BD86=0),BE86,BH86)</f>
        <v>-0.267100964273217</v>
      </c>
      <c r="BI87" s="40" t="n">
        <f aca="false">IF(AND(BD87=1,BD86=0),BF86,BI86)</f>
        <v>23.24</v>
      </c>
      <c r="BJ87" s="42" t="n">
        <f aca="false">IF(AND(BD87=1,BD86=0),BG86,BJ86)</f>
        <v>52</v>
      </c>
      <c r="BK87" s="42" t="n">
        <f aca="false">IF(AND(ISNUMBER(BG87),ISNUMBER(BJ87)),BG87-BJ87,"")</f>
        <v>35</v>
      </c>
      <c r="BL87" s="42" t="n">
        <f aca="false">IF(AND(BD87=1,N87&gt;N86,ISNUMBER(BH87),ISNUMBER(BK87)),IF(AND(BE87&gt;BH87,BF87&lt;BI87,BK87&gt;=p_GapMin,BK87&lt;=p_GapMax),1,0),0)</f>
        <v>0</v>
      </c>
      <c r="BM87" s="42" t="n">
        <f aca="false">IF(AND(BL87=1,E87&gt;BI87),1,0)</f>
        <v>0</v>
      </c>
      <c r="BN87" s="42" t="n">
        <f aca="false">IF(BL87=1,IF(BE87&gt;=BH87*0.5,1,0),0)</f>
        <v>0</v>
      </c>
      <c r="BO87" s="42" t="n">
        <f aca="true">IF(V87&gt;MIN(OFFSET(V87,-MIN(p_FiLb-1,ROW()-5),0,MIN(p_FiLb-1,ROW()-5),1)),1,0)</f>
        <v>1</v>
      </c>
      <c r="BP87" s="44" t="n">
        <f aca="true">IF(COUNTIF(OFFSET(V87,1-MIN(100,ROW()-4),0,MIN(100,ROW()-4),1),"&lt;0")&gt;=5,AVERAGEIF(OFFSET(V87,1-MIN(100,ROW()-4),0,MIN(100,ROW()-4),1),"&lt;0"),"")</f>
        <v>-672301.029411477</v>
      </c>
      <c r="BQ87" s="42" t="n">
        <f aca="false">IF(ISNUMBER(BP87),IF(AND(V87&lt;5*BP87,V87&gt;V86,E87&lt;AJ87),1,0),0)</f>
        <v>0</v>
      </c>
      <c r="BR87" s="44" t="n">
        <f aca="true">AVERAGE(OFFSET(F87,1-MIN(5,ROW()-4),0,MIN(5,ROW()-4),1))</f>
        <v>3695660</v>
      </c>
      <c r="BS87" s="42" t="n">
        <f aca="false">IFERROR(IF(MATCH(G87,周线!$A$5:$A$84,0)&lt;=1,"",INDEX(周线!$R$5:$R$84,MATCH(G87,周线!$A$5:$A$84,0)-1)),"")</f>
        <v>1</v>
      </c>
      <c r="BT87" s="42" t="n">
        <f aca="false">IFERROR(IF(MATCH(G87,周线!$A$5:$A$84,0)&lt;=1,"",INDEX(周线!$S$5:$S$84,MATCH(G87,周线!$A$5:$A$84,0)-1)),"")</f>
        <v>0</v>
      </c>
      <c r="BU87" s="42" t="n">
        <f aca="false">IFERROR(IF(MATCH(G87,周线!$A$5:$A$84,0)&lt;=1,"",INDEX(周线!$U$5:$U$84,MATCH(G87,周线!$A$5:$A$84,0)-1)),"")</f>
        <v>0</v>
      </c>
      <c r="BV87" s="42" t="n">
        <f aca="false">IF(AND(BS87=1,S87&lt;&gt;-1,V87&lt;0,BO87=1,E87&lt;=H87,E87&gt;=AJ87),1,0)</f>
        <v>0</v>
      </c>
      <c r="BW87" s="42" t="n">
        <f aca="false">BL87</f>
        <v>0</v>
      </c>
      <c r="BX87" s="42" t="n">
        <f aca="false">BQ87</f>
        <v>0</v>
      </c>
      <c r="BY87" s="42" t="n">
        <f aca="false">IF(BS87=1,10,0)+IF(BU87=1,5,IF(BU87=-1,0,3))+IF(BT87=1,5,0)+IF(AND(AE87&gt;AF87,AH87&gt;AH86),5,0)</f>
        <v>13</v>
      </c>
      <c r="BZ87" s="42" t="n">
        <f aca="false">IF(AND(E87&lt;=H87,E87&gt;=I87),10,IF(AND(E87&gt;=AJ87,E87&lt;I87),6,0))+IF(AND(V87&lt;0,BO87=1),8,0)+IF(AT87&lt;30,7,IF(AT87&lt;50,3,0))</f>
        <v>21</v>
      </c>
      <c r="CA87" s="42" t="n">
        <f aca="false">IF(AND(BV87=1,BW87=1),25,IF(BW87=1,22,IF(BV87=1,15,IF(BX87=1,12,0))))</f>
        <v>0</v>
      </c>
      <c r="CB87" s="42" t="n">
        <f aca="false">IF(W87&gt;0,6,0)+IF(F87&lt;BR87,4,0)</f>
        <v>0</v>
      </c>
      <c r="CC87" s="42" t="n">
        <f aca="false">IF(BC87&gt;=3,15,IF(BC87&gt;=p_RRmin,10,IF(BC87&gt;=1.5,4,0)))</f>
        <v>15</v>
      </c>
      <c r="CD87" s="42" t="n">
        <f aca="false">BY87+BZ87+CA87+CB87+CC87</f>
        <v>49</v>
      </c>
      <c r="CE87" s="42" t="n">
        <f aca="false">IF(AND(BS87&lt;&gt;1,BW87+BX87=0),1,0)</f>
        <v>0</v>
      </c>
      <c r="CF87" s="42" t="n">
        <f aca="false">IF(BU87=-1,1,0)</f>
        <v>0</v>
      </c>
      <c r="CG87" s="42" t="n">
        <f aca="false">IF(S87=-1,1,0)</f>
        <v>1</v>
      </c>
      <c r="CH87" s="42" t="n">
        <f aca="false">IF(BV87+BW87+BX87=0,1,0)</f>
        <v>1</v>
      </c>
      <c r="CI87" s="42" t="n">
        <f aca="false">IF(BC87&lt;p_RRmin,1,0)</f>
        <v>0</v>
      </c>
      <c r="CJ87" s="46" t="str">
        <f aca="false">IF(SUM(CE87:CI87)=0,IF(CD87&gt;=p_GradeA,"A",IF(CD87&gt;=p_GradeB,"B","C")),IF(AND(CI87=1,SUM(CE87:CH87)=0,CD87&gt;=p_GradeB),"B","C"))</f>
        <v>C</v>
      </c>
    </row>
    <row r="88" customFormat="false" ht="15" hidden="false" customHeight="false" outlineLevel="0" collapsed="false">
      <c r="A88" s="36" t="n">
        <v>45776</v>
      </c>
      <c r="B88" s="37" t="n">
        <v>24.98</v>
      </c>
      <c r="C88" s="37" t="n">
        <v>25.11</v>
      </c>
      <c r="D88" s="37" t="n">
        <v>24.68</v>
      </c>
      <c r="E88" s="37" t="n">
        <v>24.83</v>
      </c>
      <c r="F88" s="38" t="n">
        <v>4787000</v>
      </c>
      <c r="G88" s="39" t="n">
        <f aca="false">A88-WEEKDAY(A88,3)</f>
        <v>45775</v>
      </c>
      <c r="H88" s="40" t="n">
        <f aca="false">2/(p_EmaF+1)*E88+(1-2/(p_EmaF+1))*H87</f>
        <v>25.4914286503105</v>
      </c>
      <c r="I88" s="40" t="n">
        <f aca="false">2/(p_EmaS+1)*E88+(1-2/(p_EmaS+1))*I87</f>
        <v>25.4231651401875</v>
      </c>
      <c r="J88" s="41" t="n">
        <f aca="false">2/(p_MacdF+1)*E88+(1-2/(p_MacdF+1))*J87</f>
        <v>25.4739547247425</v>
      </c>
      <c r="K88" s="41" t="n">
        <f aca="false">2/(p_MacdS+1)*E88+(1-2/(p_MacdS+1))*K87</f>
        <v>25.4231651401875</v>
      </c>
      <c r="L88" s="41" t="n">
        <f aca="false">J88-K88</f>
        <v>0.0507895845549946</v>
      </c>
      <c r="M88" s="41" t="n">
        <f aca="false">2/(p_MacdSig+1)*L88+(1-2/(p_MacdSig+1))*M87</f>
        <v>0.269477508507124</v>
      </c>
      <c r="N88" s="41" t="n">
        <f aca="false">L88-M88</f>
        <v>-0.21868792395213</v>
      </c>
      <c r="O88" s="42" t="n">
        <f aca="false">IF(H88&gt;H87,1,0)</f>
        <v>0</v>
      </c>
      <c r="P88" s="42" t="n">
        <f aca="false">IF(H88&lt;H87,1,0)</f>
        <v>1</v>
      </c>
      <c r="Q88" s="42" t="n">
        <f aca="false">IF(N88&gt;N87,1,0)</f>
        <v>0</v>
      </c>
      <c r="R88" s="42" t="n">
        <f aca="false">IF(N88&lt;N87,1,0)</f>
        <v>1</v>
      </c>
      <c r="S88" s="42" t="n">
        <f aca="false">IF(AND(O88=1,Q88=1),1,IF(AND(P88=1,R88=1),-1,0))</f>
        <v>-1</v>
      </c>
      <c r="T88" s="43" t="str">
        <f aca="false">IF(S88=1,"绿",IF(S88=-1,"红","蓝"))</f>
        <v>红</v>
      </c>
      <c r="U88" s="44" t="n">
        <f aca="false">F88*(E88-E87)</f>
        <v>-1101010</v>
      </c>
      <c r="V88" s="44" t="n">
        <f aca="false">2/(p_FiS+1)*U88+(1-2/(p_FiS+1))*V87</f>
        <v>-1046156.5246355</v>
      </c>
      <c r="W88" s="44" t="n">
        <f aca="false">2/(p_FiL+1)*U88+(1-2/(p_FiL+1))*W87</f>
        <v>-600522.810893369</v>
      </c>
      <c r="X88" s="41" t="n">
        <f aca="false">MAX(C88-D88,ABS(C88-E87),ABS(D88-E87))</f>
        <v>0.43</v>
      </c>
      <c r="Y88" s="41" t="n">
        <f aca="true">AVERAGE(OFFSET(X88,1-MIN(p_AtrN,ROW()-4),0,MIN(p_AtrN,ROW()-4),1))</f>
        <v>0.566923076923077</v>
      </c>
      <c r="Z88" s="41" t="n">
        <f aca="false">IF(AND(C88-C87&gt;D87-D88,C88-C87&gt;0),C88-C87,0)</f>
        <v>0</v>
      </c>
      <c r="AA88" s="41" t="n">
        <f aca="false">IF(AND(D87-D88&gt;C88-C87,D87-D88&gt;0),D87-D88,0)</f>
        <v>0.219999999999999</v>
      </c>
      <c r="AB88" s="41" t="n">
        <f aca="false">2/(p_AdxN+1)*X88+(1-2/(p_AdxN+1))*AB87</f>
        <v>0.566513668077241</v>
      </c>
      <c r="AC88" s="41" t="n">
        <f aca="false">2/(p_AdxN+1)*Z88+(1-2/(p_AdxN+1))*AC87</f>
        <v>0.0462251620323418</v>
      </c>
      <c r="AD88" s="41" t="n">
        <f aca="false">2/(p_AdxN+1)*AA88+(1-2/(p_AdxN+1))*AD87</f>
        <v>0.141594780906284</v>
      </c>
      <c r="AE88" s="45" t="n">
        <f aca="false">100*AC88/AB88</f>
        <v>8.15958460265063</v>
      </c>
      <c r="AF88" s="45" t="n">
        <f aca="false">100*AD88/AB88</f>
        <v>24.9940626122684</v>
      </c>
      <c r="AG88" s="45" t="n">
        <f aca="false">IFERROR(100*ABS(AE88-AF88)/(AE88+AF88),0)</f>
        <v>50.7771525120238</v>
      </c>
      <c r="AH88" s="45" t="n">
        <f aca="false">2/(p_AdxN+1)*AG88+(1-2/(p_AdxN+1))*AH87</f>
        <v>36.634963643246</v>
      </c>
      <c r="AI88" s="40" t="n">
        <f aca="false">I88*(1+p_ChPct)</f>
        <v>26.9485550485988</v>
      </c>
      <c r="AJ88" s="40" t="n">
        <f aca="false">I88*(1-p_ChPct)</f>
        <v>23.8977752317762</v>
      </c>
      <c r="AK88" s="40" t="n">
        <f aca="false">I88+1*Y88</f>
        <v>25.9900882171106</v>
      </c>
      <c r="AL88" s="40" t="n">
        <f aca="false">I88+2*Y88</f>
        <v>26.5570112940337</v>
      </c>
      <c r="AM88" s="40" t="n">
        <f aca="false">I88+3*Y88</f>
        <v>27.1239343709567</v>
      </c>
      <c r="AN88" s="40" t="n">
        <f aca="false">I88-1*Y88</f>
        <v>24.8562420632644</v>
      </c>
      <c r="AO88" s="40" t="n">
        <f aca="false">I88-2*Y88</f>
        <v>24.2893189863413</v>
      </c>
      <c r="AP88" s="40" t="n">
        <f aca="false">I88-3*Y88</f>
        <v>23.7223959094183</v>
      </c>
      <c r="AQ88" s="40" t="n">
        <f aca="true">MAX(OFFSET(C88,1-MIN(p_StochN,ROW()-4),0,MIN(p_StochN,ROW()-4),1))</f>
        <v>25.62</v>
      </c>
      <c r="AR88" s="40" t="n">
        <f aca="true">MIN(OFFSET(D88,1-MIN(p_StochN,ROW()-4),0,MIN(p_StochN,ROW()-4),1))</f>
        <v>24.68</v>
      </c>
      <c r="AS88" s="45" t="n">
        <f aca="false">IF(AQ88=AR88,50,100*(E88-AR88)/(AQ88-AR88))</f>
        <v>15.9574468085105</v>
      </c>
      <c r="AT88" s="45" t="n">
        <f aca="true">AVERAGE(OFFSET(AS88,1-MIN(p_StochSm,ROW()-4),0,MIN(p_StochSm,ROW()-4),1))</f>
        <v>21.8589764349017</v>
      </c>
      <c r="AU88" s="45" t="n">
        <f aca="true">AVERAGE(OFFSET(AT88,1-MIN(p_StochSm,ROW()-4),0,MIN(p_StochSm,ROW()-4),1))</f>
        <v>24.0939076756512</v>
      </c>
      <c r="AV88" s="41" t="n">
        <f aca="false">MAX(0,H88-D88)</f>
        <v>0.811428650310514</v>
      </c>
      <c r="AW88" s="41" t="n">
        <f aca="true">IF(COUNTIF(OFFSET(AV88,1-MIN(p_PenLb,ROW()-4),0,MIN(p_PenLb,ROW()-4),1),"&gt;0")&gt;0,SUM(OFFSET(AV88,1-MIN(p_PenLb,ROW()-4),0,MIN(p_PenLb,ROW()-4),1))/COUNTIF(OFFSET(AV88,1-MIN(p_PenLb,ROW()-4),0,MIN(p_PenLb,ROW()-4),1),"&gt;0"),0.5*Y88)</f>
        <v>0.439715026295001</v>
      </c>
      <c r="AX88" s="41" t="n">
        <f aca="false">2*H88-H87</f>
        <v>25.3811905419254</v>
      </c>
      <c r="AY88" s="40" t="n">
        <f aca="false">ROUND(MAX(AX88-AW88,0.01),2)</f>
        <v>24.94</v>
      </c>
      <c r="AZ88" s="40" t="n">
        <f aca="true">IF(MIN(p_StopLb,ROW()-4)&lt;2,D88,SMALL(OFFSET(D88,1-MIN(p_StopLb,ROW()-4),0,MIN(p_StopLb,ROW()-4),1),2))</f>
        <v>24.9</v>
      </c>
      <c r="BA88" s="40" t="n">
        <f aca="false">IF(MOD(ROUND(ROUNDDOWN(MIN(AZ88-0.01,AY88-p_StopAtr*Y88),2)*100,0),50)=0,ROUNDDOWN(MIN(AZ88-0.01,AY88-p_StopAtr*Y88),2)-0.01,ROUNDDOWN(MIN(AZ88-0.01,AY88-p_StopAtr*Y88),2))</f>
        <v>24.37</v>
      </c>
      <c r="BB88" s="40" t="n">
        <f aca="false">ROUND(AI88,2)</f>
        <v>26.95</v>
      </c>
      <c r="BC88" s="40" t="n">
        <f aca="false">IF(AY88-BA88&gt;0,(BB88-AY88)/(AY88-BA88),0)</f>
        <v>3.52631578947368</v>
      </c>
      <c r="BD88" s="42" t="n">
        <f aca="false">IF(N88&lt;0,1,0)</f>
        <v>1</v>
      </c>
      <c r="BE88" s="41" t="n">
        <f aca="false">IF(AND(BD88=1,BD87=0),N88,IF(BD88=1,MIN(BE87,N88),BE87))</f>
        <v>-0.21868792395213</v>
      </c>
      <c r="BF88" s="40" t="n">
        <f aca="false">IF(AND(BD88=1,BD87=0),D88,IF(BD88=1,MIN(BF87,D88),BF87))</f>
        <v>24.68</v>
      </c>
      <c r="BG88" s="42" t="n">
        <f aca="false">IF(AND(BD88=1,BD87=0),ROW(),IF(BD88=1,IF(N88&lt;BE87,ROW(),BG87),BG87))</f>
        <v>88</v>
      </c>
      <c r="BH88" s="41" t="n">
        <f aca="false">IF(AND(BD88=1,BD87=0),BE87,BH87)</f>
        <v>-0.267100964273217</v>
      </c>
      <c r="BI88" s="40" t="n">
        <f aca="false">IF(AND(BD88=1,BD87=0),BF87,BI87)</f>
        <v>23.24</v>
      </c>
      <c r="BJ88" s="42" t="n">
        <f aca="false">IF(AND(BD88=1,BD87=0),BG87,BJ87)</f>
        <v>52</v>
      </c>
      <c r="BK88" s="42" t="n">
        <f aca="false">IF(AND(ISNUMBER(BG88),ISNUMBER(BJ88)),BG88-BJ88,"")</f>
        <v>36</v>
      </c>
      <c r="BL88" s="42" t="n">
        <f aca="false">IF(AND(BD88=1,N88&gt;N87,ISNUMBER(BH88),ISNUMBER(BK88)),IF(AND(BE88&gt;BH88,BF88&lt;BI88,BK88&gt;=p_GapMin,BK88&lt;=p_GapMax),1,0),0)</f>
        <v>0</v>
      </c>
      <c r="BM88" s="42" t="n">
        <f aca="false">IF(AND(BL88=1,E88&gt;BI88),1,0)</f>
        <v>0</v>
      </c>
      <c r="BN88" s="42" t="n">
        <f aca="false">IF(BL88=1,IF(BE88&gt;=BH88*0.5,1,0),0)</f>
        <v>0</v>
      </c>
      <c r="BO88" s="42" t="n">
        <f aca="true">IF(V88&gt;MIN(OFFSET(V88,-MIN(p_FiLb-1,ROW()-5),0,MIN(p_FiLb-1,ROW()-5),1)),1,0)</f>
        <v>1</v>
      </c>
      <c r="BP88" s="44" t="n">
        <f aca="true">IF(COUNTIF(OFFSET(V88,1-MIN(100,ROW()-4),0,MIN(100,ROW()-4),1),"&lt;0")&gt;=5,AVERAGEIF(OFFSET(V88,1-MIN(100,ROW()-4),0,MIN(100,ROW()-4),1),"&lt;0"),"")</f>
        <v>-683296.779271007</v>
      </c>
      <c r="BQ88" s="42" t="n">
        <f aca="false">IF(ISNUMBER(BP88),IF(AND(V88&lt;5*BP88,V88&gt;V87,E88&lt;AJ88),1,0),0)</f>
        <v>0</v>
      </c>
      <c r="BR88" s="44" t="n">
        <f aca="true">AVERAGE(OFFSET(F88,1-MIN(5,ROW()-4),0,MIN(5,ROW()-4),1))</f>
        <v>3959300</v>
      </c>
      <c r="BS88" s="42" t="n">
        <f aca="false">IFERROR(IF(MATCH(G88,周线!$A$5:$A$84,0)&lt;=1,"",INDEX(周线!$R$5:$R$84,MATCH(G88,周线!$A$5:$A$84,0)-1)),"")</f>
        <v>1</v>
      </c>
      <c r="BT88" s="42" t="n">
        <f aca="false">IFERROR(IF(MATCH(G88,周线!$A$5:$A$84,0)&lt;=1,"",INDEX(周线!$S$5:$S$84,MATCH(G88,周线!$A$5:$A$84,0)-1)),"")</f>
        <v>0</v>
      </c>
      <c r="BU88" s="42" t="n">
        <f aca="false">IFERROR(IF(MATCH(G88,周线!$A$5:$A$84,0)&lt;=1,"",INDEX(周线!$U$5:$U$84,MATCH(G88,周线!$A$5:$A$84,0)-1)),"")</f>
        <v>0</v>
      </c>
      <c r="BV88" s="42" t="n">
        <f aca="false">IF(AND(BS88=1,S88&lt;&gt;-1,V88&lt;0,BO88=1,E88&lt;=H88,E88&gt;=AJ88),1,0)</f>
        <v>0</v>
      </c>
      <c r="BW88" s="42" t="n">
        <f aca="false">BL88</f>
        <v>0</v>
      </c>
      <c r="BX88" s="42" t="n">
        <f aca="false">BQ88</f>
        <v>0</v>
      </c>
      <c r="BY88" s="42" t="n">
        <f aca="false">IF(BS88=1,10,0)+IF(BU88=1,5,IF(BU88=-1,0,3))+IF(BT88=1,5,0)+IF(AND(AE88&gt;AF88,AH88&gt;AH87),5,0)</f>
        <v>13</v>
      </c>
      <c r="BZ88" s="42" t="n">
        <f aca="false">IF(AND(E88&lt;=H88,E88&gt;=I88),10,IF(AND(E88&gt;=AJ88,E88&lt;I88),6,0))+IF(AND(V88&lt;0,BO88=1),8,0)+IF(AT88&lt;30,7,IF(AT88&lt;50,3,0))</f>
        <v>21</v>
      </c>
      <c r="CA88" s="42" t="n">
        <f aca="false">IF(AND(BV88=1,BW88=1),25,IF(BW88=1,22,IF(BV88=1,15,IF(BX88=1,12,0))))</f>
        <v>0</v>
      </c>
      <c r="CB88" s="42" t="n">
        <f aca="false">IF(W88&gt;0,6,0)+IF(F88&lt;BR88,4,0)</f>
        <v>0</v>
      </c>
      <c r="CC88" s="42" t="n">
        <f aca="false">IF(BC88&gt;=3,15,IF(BC88&gt;=p_RRmin,10,IF(BC88&gt;=1.5,4,0)))</f>
        <v>15</v>
      </c>
      <c r="CD88" s="42" t="n">
        <f aca="false">BY88+BZ88+CA88+CB88+CC88</f>
        <v>49</v>
      </c>
      <c r="CE88" s="42" t="n">
        <f aca="false">IF(AND(BS88&lt;&gt;1,BW88+BX88=0),1,0)</f>
        <v>0</v>
      </c>
      <c r="CF88" s="42" t="n">
        <f aca="false">IF(BU88=-1,1,0)</f>
        <v>0</v>
      </c>
      <c r="CG88" s="42" t="n">
        <f aca="false">IF(S88=-1,1,0)</f>
        <v>1</v>
      </c>
      <c r="CH88" s="42" t="n">
        <f aca="false">IF(BV88+BW88+BX88=0,1,0)</f>
        <v>1</v>
      </c>
      <c r="CI88" s="42" t="n">
        <f aca="false">IF(BC88&lt;p_RRmin,1,0)</f>
        <v>0</v>
      </c>
      <c r="CJ88" s="46" t="str">
        <f aca="false">IF(SUM(CE88:CI88)=0,IF(CD88&gt;=p_GradeA,"A",IF(CD88&gt;=p_GradeB,"B","C")),IF(AND(CI88=1,SUM(CE88:CH88)=0,CD88&gt;=p_GradeB),"B","C"))</f>
        <v>C</v>
      </c>
    </row>
    <row r="89" customFormat="false" ht="15" hidden="false" customHeight="false" outlineLevel="0" collapsed="false">
      <c r="A89" s="36" t="n">
        <v>45777</v>
      </c>
      <c r="B89" s="37" t="n">
        <v>24.94</v>
      </c>
      <c r="C89" s="37" t="n">
        <v>25.28</v>
      </c>
      <c r="D89" s="37" t="n">
        <v>24.68</v>
      </c>
      <c r="E89" s="37" t="n">
        <v>25.1</v>
      </c>
      <c r="F89" s="38" t="n">
        <v>4099700</v>
      </c>
      <c r="G89" s="39" t="n">
        <f aca="false">A89-WEEKDAY(A89,3)</f>
        <v>45775</v>
      </c>
      <c r="H89" s="40" t="n">
        <f aca="false">2/(p_EmaF+1)*E89+(1-2/(p_EmaF+1))*H88</f>
        <v>25.4355102716947</v>
      </c>
      <c r="I89" s="40" t="n">
        <f aca="false">2/(p_EmaS+1)*E89+(1-2/(p_EmaS+1))*I88</f>
        <v>25.3992269816551</v>
      </c>
      <c r="J89" s="41" t="n">
        <f aca="false">2/(p_MacdF+1)*E89+(1-2/(p_MacdF+1))*J88</f>
        <v>25.4164232286283</v>
      </c>
      <c r="K89" s="41" t="n">
        <f aca="false">2/(p_MacdS+1)*E89+(1-2/(p_MacdS+1))*K88</f>
        <v>25.3992269816551</v>
      </c>
      <c r="L89" s="41" t="n">
        <f aca="false">J89-K89</f>
        <v>0.017196246973171</v>
      </c>
      <c r="M89" s="41" t="n">
        <f aca="false">2/(p_MacdSig+1)*L89+(1-2/(p_MacdSig+1))*M88</f>
        <v>0.219021256200334</v>
      </c>
      <c r="N89" s="41" t="n">
        <f aca="false">L89-M89</f>
        <v>-0.201825009227163</v>
      </c>
      <c r="O89" s="42" t="n">
        <f aca="false">IF(H89&gt;H88,1,0)</f>
        <v>0</v>
      </c>
      <c r="P89" s="42" t="n">
        <f aca="false">IF(H89&lt;H88,1,0)</f>
        <v>1</v>
      </c>
      <c r="Q89" s="42" t="n">
        <f aca="false">IF(N89&gt;N88,1,0)</f>
        <v>1</v>
      </c>
      <c r="R89" s="42" t="n">
        <f aca="false">IF(N89&lt;N88,1,0)</f>
        <v>0</v>
      </c>
      <c r="S89" s="42" t="n">
        <f aca="false">IF(AND(O89=1,Q89=1),1,IF(AND(P89=1,R89=1),-1,0))</f>
        <v>0</v>
      </c>
      <c r="T89" s="43" t="str">
        <f aca="false">IF(S89=1,"绿",IF(S89=-1,"红","蓝"))</f>
        <v>蓝</v>
      </c>
      <c r="U89" s="44" t="n">
        <f aca="false">F89*(E89-E88)</f>
        <v>1106919.00000001</v>
      </c>
      <c r="V89" s="44" t="n">
        <f aca="false">2/(p_FiS+1)*U89+(1-2/(p_FiS+1))*V88</f>
        <v>389227.158454841</v>
      </c>
      <c r="W89" s="44" t="n">
        <f aca="false">2/(p_FiL+1)*U89+(1-2/(p_FiL+1))*W88</f>
        <v>-356602.552194315</v>
      </c>
      <c r="X89" s="41" t="n">
        <f aca="false">MAX(C89-D89,ABS(C89-E88),ABS(D89-E88))</f>
        <v>0.600000000000001</v>
      </c>
      <c r="Y89" s="41" t="n">
        <f aca="true">AVERAGE(OFFSET(X89,1-MIN(p_AtrN,ROW()-4),0,MIN(p_AtrN,ROW()-4),1))</f>
        <v>0.564615384615385</v>
      </c>
      <c r="Z89" s="41" t="n">
        <f aca="false">IF(AND(C89-C88&gt;D88-D89,C89-C88&gt;0),C89-C88,0)</f>
        <v>0.170000000000002</v>
      </c>
      <c r="AA89" s="41" t="n">
        <f aca="false">IF(AND(D88-D89&gt;C89-C88,D88-D89&gt;0),D88-D89,0)</f>
        <v>0</v>
      </c>
      <c r="AB89" s="41" t="n">
        <f aca="false">2/(p_AdxN+1)*X89+(1-2/(p_AdxN+1))*AB88</f>
        <v>0.571297429780493</v>
      </c>
      <c r="AC89" s="41" t="n">
        <f aca="false">2/(p_AdxN+1)*Z89+(1-2/(p_AdxN+1))*AC88</f>
        <v>0.0639072817420075</v>
      </c>
      <c r="AD89" s="41" t="n">
        <f aca="false">2/(p_AdxN+1)*AA89+(1-2/(p_AdxN+1))*AD88</f>
        <v>0.121366955062529</v>
      </c>
      <c r="AE89" s="45" t="n">
        <f aca="false">100*AC89/AB89</f>
        <v>11.1863415465675</v>
      </c>
      <c r="AF89" s="45" t="n">
        <f aca="false">100*AD89/AB89</f>
        <v>21.2440926102471</v>
      </c>
      <c r="AG89" s="45" t="n">
        <f aca="false">IFERROR(100*ABS(AE89-AF89)/(AE89+AF89),0)</f>
        <v>31.0133099515294</v>
      </c>
      <c r="AH89" s="45" t="n">
        <f aca="false">2/(p_AdxN+1)*AG89+(1-2/(p_AdxN+1))*AH88</f>
        <v>35.8318702587151</v>
      </c>
      <c r="AI89" s="40" t="n">
        <f aca="false">I89*(1+p_ChPct)</f>
        <v>26.9231806005544</v>
      </c>
      <c r="AJ89" s="40" t="n">
        <f aca="false">I89*(1-p_ChPct)</f>
        <v>23.8752733627558</v>
      </c>
      <c r="AK89" s="40" t="n">
        <f aca="false">I89+1*Y89</f>
        <v>25.9638423662705</v>
      </c>
      <c r="AL89" s="40" t="n">
        <f aca="false">I89+2*Y89</f>
        <v>26.5284577508859</v>
      </c>
      <c r="AM89" s="40" t="n">
        <f aca="false">I89+3*Y89</f>
        <v>27.0930731355012</v>
      </c>
      <c r="AN89" s="40" t="n">
        <f aca="false">I89-1*Y89</f>
        <v>24.8346115970397</v>
      </c>
      <c r="AO89" s="40" t="n">
        <f aca="false">I89-2*Y89</f>
        <v>24.2699962124243</v>
      </c>
      <c r="AP89" s="40" t="n">
        <f aca="false">I89-3*Y89</f>
        <v>23.7053808278089</v>
      </c>
      <c r="AQ89" s="40" t="n">
        <f aca="true">MAX(OFFSET(C89,1-MIN(p_StochN,ROW()-4),0,MIN(p_StochN,ROW()-4),1))</f>
        <v>25.62</v>
      </c>
      <c r="AR89" s="40" t="n">
        <f aca="true">MIN(OFFSET(D89,1-MIN(p_StochN,ROW()-4),0,MIN(p_StochN,ROW()-4),1))</f>
        <v>24.68</v>
      </c>
      <c r="AS89" s="45" t="n">
        <f aca="false">IF(AQ89=AR89,50,100*(E89-AR89)/(AQ89-AR89))</f>
        <v>44.6808510638299</v>
      </c>
      <c r="AT89" s="45" t="n">
        <f aca="true">AVERAGE(OFFSET(AS89,1-MIN(p_StochSm,ROW()-4),0,MIN(p_StochSm,ROW()-4),1))</f>
        <v>27.6201733648542</v>
      </c>
      <c r="AU89" s="45" t="n">
        <f aca="true">AVERAGE(OFFSET(AT89,1-MIN(p_StochSm,ROW()-4),0,MIN(p_StochSm,ROW()-4),1))</f>
        <v>24.601136145404</v>
      </c>
      <c r="AV89" s="41" t="n">
        <f aca="false">MAX(0,H89-D89)</f>
        <v>0.755510271694728</v>
      </c>
      <c r="AW89" s="41" t="n">
        <f aca="true">IF(COUNTIF(OFFSET(AV89,1-MIN(p_PenLb,ROW()-4),0,MIN(p_PenLb,ROW()-4),1),"&gt;0")&gt;0,SUM(OFFSET(AV89,1-MIN(p_PenLb,ROW()-4),0,MIN(p_PenLb,ROW()-4),1))/COUNTIF(OFFSET(AV89,1-MIN(p_PenLb,ROW()-4),0,MIN(p_PenLb,ROW()-4),1),"&gt;0"),0.5*Y89)</f>
        <v>0.458291217200867</v>
      </c>
      <c r="AX89" s="41" t="n">
        <f aca="false">2*H89-H88</f>
        <v>25.3795918930789</v>
      </c>
      <c r="AY89" s="40" t="n">
        <f aca="false">ROUND(MAX(AX89-AW89,0.01),2)</f>
        <v>24.92</v>
      </c>
      <c r="AZ89" s="40" t="n">
        <f aca="true">IF(MIN(p_StopLb,ROW()-4)&lt;2,D89,SMALL(OFFSET(D89,1-MIN(p_StopLb,ROW()-4),0,MIN(p_StopLb,ROW()-4),1),2))</f>
        <v>24.68</v>
      </c>
      <c r="BA89" s="40" t="n">
        <f aca="false">IF(MOD(ROUND(ROUNDDOWN(MIN(AZ89-0.01,AY89-p_StopAtr*Y89),2)*100,0),50)=0,ROUNDDOWN(MIN(AZ89-0.01,AY89-p_StopAtr*Y89),2)-0.01,ROUNDDOWN(MIN(AZ89-0.01,AY89-p_StopAtr*Y89),2))</f>
        <v>24.35</v>
      </c>
      <c r="BB89" s="40" t="n">
        <f aca="false">ROUND(AI89,2)</f>
        <v>26.92</v>
      </c>
      <c r="BC89" s="40" t="n">
        <f aca="false">IF(AY89-BA89&gt;0,(BB89-AY89)/(AY89-BA89),0)</f>
        <v>3.50877192982456</v>
      </c>
      <c r="BD89" s="42" t="n">
        <f aca="false">IF(N89&lt;0,1,0)</f>
        <v>1</v>
      </c>
      <c r="BE89" s="41" t="n">
        <f aca="false">IF(AND(BD89=1,BD88=0),N89,IF(BD89=1,MIN(BE88,N89),BE88))</f>
        <v>-0.21868792395213</v>
      </c>
      <c r="BF89" s="40" t="n">
        <f aca="false">IF(AND(BD89=1,BD88=0),D89,IF(BD89=1,MIN(BF88,D89),BF88))</f>
        <v>24.68</v>
      </c>
      <c r="BG89" s="42" t="n">
        <f aca="false">IF(AND(BD89=1,BD88=0),ROW(),IF(BD89=1,IF(N89&lt;BE88,ROW(),BG88),BG88))</f>
        <v>88</v>
      </c>
      <c r="BH89" s="41" t="n">
        <f aca="false">IF(AND(BD89=1,BD88=0),BE88,BH88)</f>
        <v>-0.267100964273217</v>
      </c>
      <c r="BI89" s="40" t="n">
        <f aca="false">IF(AND(BD89=1,BD88=0),BF88,BI88)</f>
        <v>23.24</v>
      </c>
      <c r="BJ89" s="42" t="n">
        <f aca="false">IF(AND(BD89=1,BD88=0),BG88,BJ88)</f>
        <v>52</v>
      </c>
      <c r="BK89" s="42" t="n">
        <f aca="false">IF(AND(ISNUMBER(BG89),ISNUMBER(BJ89)),BG89-BJ89,"")</f>
        <v>36</v>
      </c>
      <c r="BL89" s="42" t="n">
        <f aca="false">IF(AND(BD89=1,N89&gt;N88,ISNUMBER(BH89),ISNUMBER(BK89)),IF(AND(BE89&gt;BH89,BF89&lt;BI89,BK89&gt;=p_GapMin,BK89&lt;=p_GapMax),1,0),0)</f>
        <v>0</v>
      </c>
      <c r="BM89" s="42" t="n">
        <f aca="false">IF(AND(BL89=1,E89&gt;BI89),1,0)</f>
        <v>0</v>
      </c>
      <c r="BN89" s="42" t="n">
        <f aca="false">IF(BL89=1,IF(BE89&gt;=BH89*0.5,1,0),0)</f>
        <v>0</v>
      </c>
      <c r="BO89" s="42" t="n">
        <f aca="true">IF(V89&gt;MIN(OFFSET(V89,-MIN(p_FiLb-1,ROW()-5),0,MIN(p_FiLb-1,ROW()-5),1)),1,0)</f>
        <v>1</v>
      </c>
      <c r="BP89" s="44" t="n">
        <f aca="true">IF(COUNTIF(OFFSET(V89,1-MIN(100,ROW()-4),0,MIN(100,ROW()-4),1),"&lt;0")&gt;=5,AVERAGEIF(OFFSET(V89,1-MIN(100,ROW()-4),0,MIN(100,ROW()-4),1),"&lt;0"),"")</f>
        <v>-683296.779271007</v>
      </c>
      <c r="BQ89" s="42" t="n">
        <f aca="false">IF(ISNUMBER(BP89),IF(AND(V89&lt;5*BP89,V89&gt;V88,E89&lt;AJ89),1,0),0)</f>
        <v>0</v>
      </c>
      <c r="BR89" s="44" t="n">
        <f aca="true">AVERAGE(OFFSET(F89,1-MIN(5,ROW()-4),0,MIN(5,ROW()-4),1))</f>
        <v>4197040</v>
      </c>
      <c r="BS89" s="42" t="n">
        <f aca="false">IFERROR(IF(MATCH(G89,周线!$A$5:$A$84,0)&lt;=1,"",INDEX(周线!$R$5:$R$84,MATCH(G89,周线!$A$5:$A$84,0)-1)),"")</f>
        <v>1</v>
      </c>
      <c r="BT89" s="42" t="n">
        <f aca="false">IFERROR(IF(MATCH(G89,周线!$A$5:$A$84,0)&lt;=1,"",INDEX(周线!$S$5:$S$84,MATCH(G89,周线!$A$5:$A$84,0)-1)),"")</f>
        <v>0</v>
      </c>
      <c r="BU89" s="42" t="n">
        <f aca="false">IFERROR(IF(MATCH(G89,周线!$A$5:$A$84,0)&lt;=1,"",INDEX(周线!$U$5:$U$84,MATCH(G89,周线!$A$5:$A$84,0)-1)),"")</f>
        <v>0</v>
      </c>
      <c r="BV89" s="42" t="n">
        <f aca="false">IF(AND(BS89=1,S89&lt;&gt;-1,V89&lt;0,BO89=1,E89&lt;=H89,E89&gt;=AJ89),1,0)</f>
        <v>0</v>
      </c>
      <c r="BW89" s="42" t="n">
        <f aca="false">BL89</f>
        <v>0</v>
      </c>
      <c r="BX89" s="42" t="n">
        <f aca="false">BQ89</f>
        <v>0</v>
      </c>
      <c r="BY89" s="42" t="n">
        <f aca="false">IF(BS89=1,10,0)+IF(BU89=1,5,IF(BU89=-1,0,3))+IF(BT89=1,5,0)+IF(AND(AE89&gt;AF89,AH89&gt;AH88),5,0)</f>
        <v>13</v>
      </c>
      <c r="BZ89" s="42" t="n">
        <f aca="false">IF(AND(E89&lt;=H89,E89&gt;=I89),10,IF(AND(E89&gt;=AJ89,E89&lt;I89),6,0))+IF(AND(V89&lt;0,BO89=1),8,0)+IF(AT89&lt;30,7,IF(AT89&lt;50,3,0))</f>
        <v>13</v>
      </c>
      <c r="CA89" s="42" t="n">
        <f aca="false">IF(AND(BV89=1,BW89=1),25,IF(BW89=1,22,IF(BV89=1,15,IF(BX89=1,12,0))))</f>
        <v>0</v>
      </c>
      <c r="CB89" s="42" t="n">
        <f aca="false">IF(W89&gt;0,6,0)+IF(F89&lt;BR89,4,0)</f>
        <v>4</v>
      </c>
      <c r="CC89" s="42" t="n">
        <f aca="false">IF(BC89&gt;=3,15,IF(BC89&gt;=p_RRmin,10,IF(BC89&gt;=1.5,4,0)))</f>
        <v>15</v>
      </c>
      <c r="CD89" s="42" t="n">
        <f aca="false">BY89+BZ89+CA89+CB89+CC89</f>
        <v>45</v>
      </c>
      <c r="CE89" s="42" t="n">
        <f aca="false">IF(AND(BS89&lt;&gt;1,BW89+BX89=0),1,0)</f>
        <v>0</v>
      </c>
      <c r="CF89" s="42" t="n">
        <f aca="false">IF(BU89=-1,1,0)</f>
        <v>0</v>
      </c>
      <c r="CG89" s="42" t="n">
        <f aca="false">IF(S89=-1,1,0)</f>
        <v>0</v>
      </c>
      <c r="CH89" s="42" t="n">
        <f aca="false">IF(BV89+BW89+BX89=0,1,0)</f>
        <v>1</v>
      </c>
      <c r="CI89" s="42" t="n">
        <f aca="false">IF(BC89&lt;p_RRmin,1,0)</f>
        <v>0</v>
      </c>
      <c r="CJ89" s="46" t="str">
        <f aca="false">IF(SUM(CE89:CI89)=0,IF(CD89&gt;=p_GradeA,"A",IF(CD89&gt;=p_GradeB,"B","C")),IF(AND(CI89=1,SUM(CE89:CH89)=0,CD89&gt;=p_GradeB),"B","C"))</f>
        <v>C</v>
      </c>
    </row>
    <row r="90" customFormat="false" ht="15" hidden="false" customHeight="false" outlineLevel="0" collapsed="false">
      <c r="A90" s="36" t="n">
        <v>45778</v>
      </c>
      <c r="B90" s="37" t="n">
        <v>25.02</v>
      </c>
      <c r="C90" s="37" t="n">
        <v>25.12</v>
      </c>
      <c r="D90" s="37" t="n">
        <v>24.73</v>
      </c>
      <c r="E90" s="37" t="n">
        <v>24.84</v>
      </c>
      <c r="F90" s="38" t="n">
        <v>2907800</v>
      </c>
      <c r="G90" s="39" t="n">
        <f aca="false">A90-WEEKDAY(A90,3)</f>
        <v>45775</v>
      </c>
      <c r="H90" s="40" t="n">
        <f aca="false">2/(p_EmaF+1)*E90+(1-2/(p_EmaF+1))*H89</f>
        <v>25.3504373757383</v>
      </c>
      <c r="I90" s="40" t="n">
        <f aca="false">2/(p_EmaS+1)*E90+(1-2/(p_EmaS+1))*I89</f>
        <v>25.3578027607918</v>
      </c>
      <c r="J90" s="41" t="n">
        <f aca="false">2/(p_MacdF+1)*E90+(1-2/(p_MacdF+1))*J89</f>
        <v>25.3277427319162</v>
      </c>
      <c r="K90" s="41" t="n">
        <f aca="false">2/(p_MacdS+1)*E90+(1-2/(p_MacdS+1))*K89</f>
        <v>25.3578027607918</v>
      </c>
      <c r="L90" s="41" t="n">
        <f aca="false">J90-K90</f>
        <v>-0.0300600288755284</v>
      </c>
      <c r="M90" s="41" t="n">
        <f aca="false">2/(p_MacdSig+1)*L90+(1-2/(p_MacdSig+1))*M89</f>
        <v>0.169204999185161</v>
      </c>
      <c r="N90" s="41" t="n">
        <f aca="false">L90-M90</f>
        <v>-0.19926502806069</v>
      </c>
      <c r="O90" s="42" t="n">
        <f aca="false">IF(H90&gt;H89,1,0)</f>
        <v>0</v>
      </c>
      <c r="P90" s="42" t="n">
        <f aca="false">IF(H90&lt;H89,1,0)</f>
        <v>1</v>
      </c>
      <c r="Q90" s="42" t="n">
        <f aca="false">IF(N90&gt;N89,1,0)</f>
        <v>1</v>
      </c>
      <c r="R90" s="42" t="n">
        <f aca="false">IF(N90&lt;N89,1,0)</f>
        <v>0</v>
      </c>
      <c r="S90" s="42" t="n">
        <f aca="false">IF(AND(O90=1,Q90=1),1,IF(AND(P90=1,R90=1),-1,0))</f>
        <v>0</v>
      </c>
      <c r="T90" s="43" t="str">
        <f aca="false">IF(S90=1,"绿",IF(S90=-1,"红","蓝"))</f>
        <v>蓝</v>
      </c>
      <c r="U90" s="44" t="n">
        <f aca="false">F90*(E90-E89)</f>
        <v>-756028.000000005</v>
      </c>
      <c r="V90" s="44" t="n">
        <f aca="false">2/(p_FiS+1)*U90+(1-2/(p_FiS+1))*V89</f>
        <v>-374276.280515056</v>
      </c>
      <c r="W90" s="44" t="n">
        <f aca="false">2/(p_FiL+1)*U90+(1-2/(p_FiL+1))*W89</f>
        <v>-413663.33045227</v>
      </c>
      <c r="X90" s="41" t="n">
        <f aca="false">MAX(C90-D90,ABS(C90-E89),ABS(D90-E89))</f>
        <v>0.390000000000001</v>
      </c>
      <c r="Y90" s="41" t="n">
        <f aca="true">AVERAGE(OFFSET(X90,1-MIN(p_AtrN,ROW()-4),0,MIN(p_AtrN,ROW()-4),1))</f>
        <v>0.57923076923077</v>
      </c>
      <c r="Z90" s="41" t="n">
        <f aca="false">IF(AND(C90-C89&gt;D89-D90,C90-C89&gt;0),C90-C89,0)</f>
        <v>0</v>
      </c>
      <c r="AA90" s="41" t="n">
        <f aca="false">IF(AND(D89-D90&gt;C90-C89,D89-D90&gt;0),D89-D90,0)</f>
        <v>0</v>
      </c>
      <c r="AB90" s="41" t="n">
        <f aca="false">2/(p_AdxN+1)*X90+(1-2/(p_AdxN+1))*AB89</f>
        <v>0.545397796954708</v>
      </c>
      <c r="AC90" s="41" t="n">
        <f aca="false">2/(p_AdxN+1)*Z90+(1-2/(p_AdxN+1))*AC89</f>
        <v>0.0547776700645779</v>
      </c>
      <c r="AD90" s="41" t="n">
        <f aca="false">2/(p_AdxN+1)*AA90+(1-2/(p_AdxN+1))*AD89</f>
        <v>0.104028818625025</v>
      </c>
      <c r="AE90" s="45" t="n">
        <f aca="false">100*AC90/AB90</f>
        <v>10.0436177722821</v>
      </c>
      <c r="AF90" s="45" t="n">
        <f aca="false">100*AD90/AB90</f>
        <v>19.0739345127322</v>
      </c>
      <c r="AG90" s="45" t="n">
        <f aca="false">IFERROR(100*ABS(AE90-AF90)/(AE90+AF90),0)</f>
        <v>31.0133099515294</v>
      </c>
      <c r="AH90" s="45" t="n">
        <f aca="false">2/(p_AdxN+1)*AG90+(1-2/(p_AdxN+1))*AH89</f>
        <v>35.1435045005457</v>
      </c>
      <c r="AI90" s="40" t="n">
        <f aca="false">I90*(1+p_ChPct)</f>
        <v>26.8792709264393</v>
      </c>
      <c r="AJ90" s="40" t="n">
        <f aca="false">I90*(1-p_ChPct)</f>
        <v>23.8363345951442</v>
      </c>
      <c r="AK90" s="40" t="n">
        <f aca="false">I90+1*Y90</f>
        <v>25.9370335300225</v>
      </c>
      <c r="AL90" s="40" t="n">
        <f aca="false">I90+2*Y90</f>
        <v>26.5162642992533</v>
      </c>
      <c r="AM90" s="40" t="n">
        <f aca="false">I90+3*Y90</f>
        <v>27.0954950684841</v>
      </c>
      <c r="AN90" s="40" t="n">
        <f aca="false">I90-1*Y90</f>
        <v>24.778571991561</v>
      </c>
      <c r="AO90" s="40" t="n">
        <f aca="false">I90-2*Y90</f>
        <v>24.1993412223302</v>
      </c>
      <c r="AP90" s="40" t="n">
        <f aca="false">I90-3*Y90</f>
        <v>23.6201104530994</v>
      </c>
      <c r="AQ90" s="40" t="n">
        <f aca="true">MAX(OFFSET(C90,1-MIN(p_StochN,ROW()-4),0,MIN(p_StochN,ROW()-4),1))</f>
        <v>25.56</v>
      </c>
      <c r="AR90" s="40" t="n">
        <f aca="true">MIN(OFFSET(D90,1-MIN(p_StochN,ROW()-4),0,MIN(p_StochN,ROW()-4),1))</f>
        <v>24.68</v>
      </c>
      <c r="AS90" s="45" t="n">
        <f aca="false">IF(AQ90=AR90,50,100*(E90-AR90)/(AQ90-AR90))</f>
        <v>18.1818181818182</v>
      </c>
      <c r="AT90" s="45" t="n">
        <f aca="true">AVERAGE(OFFSET(AS90,1-MIN(p_StochSm,ROW()-4),0,MIN(p_StochSm,ROW()-4),1))</f>
        <v>26.2733720180529</v>
      </c>
      <c r="AU90" s="45" t="n">
        <f aca="true">AVERAGE(OFFSET(AT90,1-MIN(p_StochSm,ROW()-4),0,MIN(p_StochSm,ROW()-4),1))</f>
        <v>25.2508406059362</v>
      </c>
      <c r="AV90" s="41" t="n">
        <f aca="false">MAX(0,H90-D90)</f>
        <v>0.620437375738337</v>
      </c>
      <c r="AW90" s="41" t="n">
        <f aca="true">IF(COUNTIF(OFFSET(AV90,1-MIN(p_PenLb,ROW()-4),0,MIN(p_PenLb,ROW()-4),1),"&gt;0")&gt;0,SUM(OFFSET(AV90,1-MIN(p_PenLb,ROW()-4),0,MIN(p_PenLb,ROW()-4),1))/COUNTIF(OFFSET(AV90,1-MIN(p_PenLb,ROW()-4),0,MIN(p_PenLb,ROW()-4),1),"&gt;0"),0.5*Y90)</f>
        <v>0.488048300253656</v>
      </c>
      <c r="AX90" s="41" t="n">
        <f aca="false">2*H90-H89</f>
        <v>25.2653644797819</v>
      </c>
      <c r="AY90" s="40" t="n">
        <f aca="false">ROUND(MAX(AX90-AW90,0.01),2)</f>
        <v>24.78</v>
      </c>
      <c r="AZ90" s="40" t="n">
        <f aca="true">IF(MIN(p_StopLb,ROW()-4)&lt;2,D90,SMALL(OFFSET(D90,1-MIN(p_StopLb,ROW()-4),0,MIN(p_StopLb,ROW()-4),1),2))</f>
        <v>24.68</v>
      </c>
      <c r="BA90" s="40" t="n">
        <f aca="false">IF(MOD(ROUND(ROUNDDOWN(MIN(AZ90-0.01,AY90-p_StopAtr*Y90),2)*100,0),50)=0,ROUNDDOWN(MIN(AZ90-0.01,AY90-p_StopAtr*Y90),2)-0.01,ROUNDDOWN(MIN(AZ90-0.01,AY90-p_StopAtr*Y90),2))</f>
        <v>24.2</v>
      </c>
      <c r="BB90" s="40" t="n">
        <f aca="false">ROUND(AI90,2)</f>
        <v>26.88</v>
      </c>
      <c r="BC90" s="40" t="n">
        <f aca="false">IF(AY90-BA90&gt;0,(BB90-AY90)/(AY90-BA90),0)</f>
        <v>3.6206896551724</v>
      </c>
      <c r="BD90" s="42" t="n">
        <f aca="false">IF(N90&lt;0,1,0)</f>
        <v>1</v>
      </c>
      <c r="BE90" s="41" t="n">
        <f aca="false">IF(AND(BD90=1,BD89=0),N90,IF(BD90=1,MIN(BE89,N90),BE89))</f>
        <v>-0.21868792395213</v>
      </c>
      <c r="BF90" s="40" t="n">
        <f aca="false">IF(AND(BD90=1,BD89=0),D90,IF(BD90=1,MIN(BF89,D90),BF89))</f>
        <v>24.68</v>
      </c>
      <c r="BG90" s="42" t="n">
        <f aca="false">IF(AND(BD90=1,BD89=0),ROW(),IF(BD90=1,IF(N90&lt;BE89,ROW(),BG89),BG89))</f>
        <v>88</v>
      </c>
      <c r="BH90" s="41" t="n">
        <f aca="false">IF(AND(BD90=1,BD89=0),BE89,BH89)</f>
        <v>-0.267100964273217</v>
      </c>
      <c r="BI90" s="40" t="n">
        <f aca="false">IF(AND(BD90=1,BD89=0),BF89,BI89)</f>
        <v>23.24</v>
      </c>
      <c r="BJ90" s="42" t="n">
        <f aca="false">IF(AND(BD90=1,BD89=0),BG89,BJ89)</f>
        <v>52</v>
      </c>
      <c r="BK90" s="42" t="n">
        <f aca="false">IF(AND(ISNUMBER(BG90),ISNUMBER(BJ90)),BG90-BJ90,"")</f>
        <v>36</v>
      </c>
      <c r="BL90" s="42" t="n">
        <f aca="false">IF(AND(BD90=1,N90&gt;N89,ISNUMBER(BH90),ISNUMBER(BK90)),IF(AND(BE90&gt;BH90,BF90&lt;BI90,BK90&gt;=p_GapMin,BK90&lt;=p_GapMax),1,0),0)</f>
        <v>0</v>
      </c>
      <c r="BM90" s="42" t="n">
        <f aca="false">IF(AND(BL90=1,E90&gt;BI90),1,0)</f>
        <v>0</v>
      </c>
      <c r="BN90" s="42" t="n">
        <f aca="false">IF(BL90=1,IF(BE90&gt;=BH90*0.5,1,0),0)</f>
        <v>0</v>
      </c>
      <c r="BO90" s="42" t="n">
        <f aca="true">IF(V90&gt;MIN(OFFSET(V90,-MIN(p_FiLb-1,ROW()-5),0,MIN(p_FiLb-1,ROW()-5),1)),1,0)</f>
        <v>1</v>
      </c>
      <c r="BP90" s="44" t="n">
        <f aca="true">IF(COUNTIF(OFFSET(V90,1-MIN(100,ROW()-4),0,MIN(100,ROW()-4),1),"&lt;0")&gt;=5,AVERAGEIF(OFFSET(V90,1-MIN(100,ROW()-4),0,MIN(100,ROW()-4),1),"&lt;0"),"")</f>
        <v>-674467.622163694</v>
      </c>
      <c r="BQ90" s="42" t="n">
        <f aca="false">IF(ISNUMBER(BP90),IF(AND(V90&lt;5*BP90,V90&gt;V89,E90&lt;AJ90),1,0),0)</f>
        <v>0</v>
      </c>
      <c r="BR90" s="44" t="n">
        <f aca="true">AVERAGE(OFFSET(F90,1-MIN(5,ROW()-4),0,MIN(5,ROW()-4),1))</f>
        <v>3988700</v>
      </c>
      <c r="BS90" s="42" t="n">
        <f aca="false">IFERROR(IF(MATCH(G90,周线!$A$5:$A$84,0)&lt;=1,"",INDEX(周线!$R$5:$R$84,MATCH(G90,周线!$A$5:$A$84,0)-1)),"")</f>
        <v>1</v>
      </c>
      <c r="BT90" s="42" t="n">
        <f aca="false">IFERROR(IF(MATCH(G90,周线!$A$5:$A$84,0)&lt;=1,"",INDEX(周线!$S$5:$S$84,MATCH(G90,周线!$A$5:$A$84,0)-1)),"")</f>
        <v>0</v>
      </c>
      <c r="BU90" s="42" t="n">
        <f aca="false">IFERROR(IF(MATCH(G90,周线!$A$5:$A$84,0)&lt;=1,"",INDEX(周线!$U$5:$U$84,MATCH(G90,周线!$A$5:$A$84,0)-1)),"")</f>
        <v>0</v>
      </c>
      <c r="BV90" s="42" t="n">
        <f aca="false">IF(AND(BS90=1,S90&lt;&gt;-1,V90&lt;0,BO90=1,E90&lt;=H90,E90&gt;=AJ90),1,0)</f>
        <v>1</v>
      </c>
      <c r="BW90" s="42" t="n">
        <f aca="false">BL90</f>
        <v>0</v>
      </c>
      <c r="BX90" s="42" t="n">
        <f aca="false">BQ90</f>
        <v>0</v>
      </c>
      <c r="BY90" s="42" t="n">
        <f aca="false">IF(BS90=1,10,0)+IF(BU90=1,5,IF(BU90=-1,0,3))+IF(BT90=1,5,0)+IF(AND(AE90&gt;AF90,AH90&gt;AH89),5,0)</f>
        <v>13</v>
      </c>
      <c r="BZ90" s="42" t="n">
        <f aca="false">IF(AND(E90&lt;=H90,E90&gt;=I90),10,IF(AND(E90&gt;=AJ90,E90&lt;I90),6,0))+IF(AND(V90&lt;0,BO90=1),8,0)+IF(AT90&lt;30,7,IF(AT90&lt;50,3,0))</f>
        <v>21</v>
      </c>
      <c r="CA90" s="42" t="n">
        <f aca="false">IF(AND(BV90=1,BW90=1),25,IF(BW90=1,22,IF(BV90=1,15,IF(BX90=1,12,0))))</f>
        <v>15</v>
      </c>
      <c r="CB90" s="42" t="n">
        <f aca="false">IF(W90&gt;0,6,0)+IF(F90&lt;BR90,4,0)</f>
        <v>4</v>
      </c>
      <c r="CC90" s="42" t="n">
        <f aca="false">IF(BC90&gt;=3,15,IF(BC90&gt;=p_RRmin,10,IF(BC90&gt;=1.5,4,0)))</f>
        <v>15</v>
      </c>
      <c r="CD90" s="42" t="n">
        <f aca="false">BY90+BZ90+CA90+CB90+CC90</f>
        <v>68</v>
      </c>
      <c r="CE90" s="42" t="n">
        <f aca="false">IF(AND(BS90&lt;&gt;1,BW90+BX90=0),1,0)</f>
        <v>0</v>
      </c>
      <c r="CF90" s="42" t="n">
        <f aca="false">IF(BU90=-1,1,0)</f>
        <v>0</v>
      </c>
      <c r="CG90" s="42" t="n">
        <f aca="false">IF(S90=-1,1,0)</f>
        <v>0</v>
      </c>
      <c r="CH90" s="42" t="n">
        <f aca="false">IF(BV90+BW90+BX90=0,1,0)</f>
        <v>0</v>
      </c>
      <c r="CI90" s="42" t="n">
        <f aca="false">IF(BC90&lt;p_RRmin,1,0)</f>
        <v>0</v>
      </c>
      <c r="CJ90" s="46" t="str">
        <f aca="false">IF(SUM(CE90:CI90)=0,IF(CD90&gt;=p_GradeA,"A",IF(CD90&gt;=p_GradeB,"B","C")),IF(AND(CI90=1,SUM(CE90:CH90)=0,CD90&gt;=p_GradeB),"B","C"))</f>
        <v>B</v>
      </c>
    </row>
    <row r="91" customFormat="false" ht="15" hidden="false" customHeight="false" outlineLevel="0" collapsed="false">
      <c r="A91" s="36" t="n">
        <v>45779</v>
      </c>
      <c r="B91" s="37" t="n">
        <v>24.81</v>
      </c>
      <c r="C91" s="37" t="n">
        <v>24.97</v>
      </c>
      <c r="D91" s="37" t="n">
        <v>24.65</v>
      </c>
      <c r="E91" s="37" t="n">
        <v>24.83</v>
      </c>
      <c r="F91" s="38" t="n">
        <v>2771800</v>
      </c>
      <c r="G91" s="39" t="n">
        <f aca="false">A91-WEEKDAY(A91,3)</f>
        <v>45775</v>
      </c>
      <c r="H91" s="40" t="n">
        <f aca="false">2/(p_EmaF+1)*E91+(1-2/(p_EmaF+1))*H90</f>
        <v>25.2760891792043</v>
      </c>
      <c r="I91" s="40" t="n">
        <f aca="false">2/(p_EmaS+1)*E91+(1-2/(p_EmaS+1))*I90</f>
        <v>25.3187062599924</v>
      </c>
      <c r="J91" s="41" t="n">
        <f aca="false">2/(p_MacdF+1)*E91+(1-2/(p_MacdF+1))*J90</f>
        <v>25.251166927006</v>
      </c>
      <c r="K91" s="41" t="n">
        <f aca="false">2/(p_MacdS+1)*E91+(1-2/(p_MacdS+1))*K90</f>
        <v>25.3187062599924</v>
      </c>
      <c r="L91" s="41" t="n">
        <f aca="false">J91-K91</f>
        <v>-0.0675393329863283</v>
      </c>
      <c r="M91" s="41" t="n">
        <f aca="false">2/(p_MacdSig+1)*L91+(1-2/(p_MacdSig+1))*M90</f>
        <v>0.121856132750863</v>
      </c>
      <c r="N91" s="41" t="n">
        <f aca="false">L91-M91</f>
        <v>-0.189395465737192</v>
      </c>
      <c r="O91" s="42" t="n">
        <f aca="false">IF(H91&gt;H90,1,0)</f>
        <v>0</v>
      </c>
      <c r="P91" s="42" t="n">
        <f aca="false">IF(H91&lt;H90,1,0)</f>
        <v>1</v>
      </c>
      <c r="Q91" s="42" t="n">
        <f aca="false">IF(N91&gt;N90,1,0)</f>
        <v>1</v>
      </c>
      <c r="R91" s="42" t="n">
        <f aca="false">IF(N91&lt;N90,1,0)</f>
        <v>0</v>
      </c>
      <c r="S91" s="42" t="n">
        <f aca="false">IF(AND(O91=1,Q91=1),1,IF(AND(P91=1,R91=1),-1,0))</f>
        <v>0</v>
      </c>
      <c r="T91" s="43" t="str">
        <f aca="false">IF(S91=1,"绿",IF(S91=-1,"红","蓝"))</f>
        <v>蓝</v>
      </c>
      <c r="U91" s="44" t="n">
        <f aca="false">F91*(E91-E90)</f>
        <v>-27718.0000000043</v>
      </c>
      <c r="V91" s="44" t="n">
        <f aca="false">2/(p_FiS+1)*U91+(1-2/(p_FiS+1))*V90</f>
        <v>-143237.426838355</v>
      </c>
      <c r="W91" s="44" t="n">
        <f aca="false">2/(p_FiL+1)*U91+(1-2/(p_FiL+1))*W90</f>
        <v>-358528.283244804</v>
      </c>
      <c r="X91" s="41" t="n">
        <f aca="false">MAX(C91-D91,ABS(C91-E90),ABS(D91-E90))</f>
        <v>0.32</v>
      </c>
      <c r="Y91" s="41" t="n">
        <f aca="true">AVERAGE(OFFSET(X91,1-MIN(p_AtrN,ROW()-4),0,MIN(p_AtrN,ROW()-4),1))</f>
        <v>0.582307692307693</v>
      </c>
      <c r="Z91" s="41" t="n">
        <f aca="false">IF(AND(C91-C90&gt;D90-D91,C91-C90&gt;0),C91-C90,0)</f>
        <v>0</v>
      </c>
      <c r="AA91" s="41" t="n">
        <f aca="false">IF(AND(D90-D91&gt;C91-C90,D90-D91&gt;0),D90-D91,0)</f>
        <v>0.0800000000000019</v>
      </c>
      <c r="AB91" s="41" t="n">
        <f aca="false">2/(p_AdxN+1)*X91+(1-2/(p_AdxN+1))*AB90</f>
        <v>0.513198111675464</v>
      </c>
      <c r="AC91" s="41" t="n">
        <f aca="false">2/(p_AdxN+1)*Z91+(1-2/(p_AdxN+1))*AC90</f>
        <v>0.046952288626781</v>
      </c>
      <c r="AD91" s="41" t="n">
        <f aca="false">2/(p_AdxN+1)*AA91+(1-2/(p_AdxN+1))*AD90</f>
        <v>0.100596130250022</v>
      </c>
      <c r="AE91" s="45" t="n">
        <f aca="false">100*AC91/AB91</f>
        <v>9.1489597406143</v>
      </c>
      <c r="AF91" s="45" t="n">
        <f aca="false">100*AD91/AB91</f>
        <v>19.6018122361363</v>
      </c>
      <c r="AG91" s="45" t="n">
        <f aca="false">IFERROR(100*ABS(AE91-AF91)/(AE91+AF91),0)</f>
        <v>36.3567715815587</v>
      </c>
      <c r="AH91" s="45" t="n">
        <f aca="false">2/(p_AdxN+1)*AG91+(1-2/(p_AdxN+1))*AH90</f>
        <v>35.3168283692619</v>
      </c>
      <c r="AI91" s="40" t="n">
        <f aca="false">I91*(1+p_ChPct)</f>
        <v>26.8378286355919</v>
      </c>
      <c r="AJ91" s="40" t="n">
        <f aca="false">I91*(1-p_ChPct)</f>
        <v>23.7995838843928</v>
      </c>
      <c r="AK91" s="40" t="n">
        <f aca="false">I91+1*Y91</f>
        <v>25.9010139523001</v>
      </c>
      <c r="AL91" s="40" t="n">
        <f aca="false">I91+2*Y91</f>
        <v>26.4833216446077</v>
      </c>
      <c r="AM91" s="40" t="n">
        <f aca="false">I91+3*Y91</f>
        <v>27.0656293369154</v>
      </c>
      <c r="AN91" s="40" t="n">
        <f aca="false">I91-1*Y91</f>
        <v>24.7363985676847</v>
      </c>
      <c r="AO91" s="40" t="n">
        <f aca="false">I91-2*Y91</f>
        <v>24.154090875377</v>
      </c>
      <c r="AP91" s="40" t="n">
        <f aca="false">I91-3*Y91</f>
        <v>23.5717831830693</v>
      </c>
      <c r="AQ91" s="40" t="n">
        <f aca="true">MAX(OFFSET(C91,1-MIN(p_StochN,ROW()-4),0,MIN(p_StochN,ROW()-4),1))</f>
        <v>25.44</v>
      </c>
      <c r="AR91" s="40" t="n">
        <f aca="true">MIN(OFFSET(D91,1-MIN(p_StochN,ROW()-4),0,MIN(p_StochN,ROW()-4),1))</f>
        <v>24.65</v>
      </c>
      <c r="AS91" s="45" t="n">
        <f aca="false">IF(AQ91=AR91,50,100*(E91-AR91)/(AQ91-AR91))</f>
        <v>22.7848101265822</v>
      </c>
      <c r="AT91" s="45" t="n">
        <f aca="true">AVERAGE(OFFSET(AS91,1-MIN(p_StochSm,ROW()-4),0,MIN(p_StochSm,ROW()-4),1))</f>
        <v>28.5491597907434</v>
      </c>
      <c r="AU91" s="45" t="n">
        <f aca="true">AVERAGE(OFFSET(AT91,1-MIN(p_StochSm,ROW()-4),0,MIN(p_StochSm,ROW()-4),1))</f>
        <v>27.4809017245502</v>
      </c>
      <c r="AV91" s="41" t="n">
        <f aca="false">MAX(0,H91-D91)</f>
        <v>0.626089179204289</v>
      </c>
      <c r="AW91" s="41" t="n">
        <f aca="true">IF(COUNTIF(OFFSET(AV91,1-MIN(p_PenLb,ROW()-4),0,MIN(p_PenLb,ROW()-4),1),"&gt;0")&gt;0,SUM(OFFSET(AV91,1-MIN(p_PenLb,ROW()-4),0,MIN(p_PenLb,ROW()-4),1))/COUNTIF(OFFSET(AV91,1-MIN(p_PenLb,ROW()-4),0,MIN(p_PenLb,ROW()-4),1),"&gt;0"),0.5*Y91)</f>
        <v>0.524310673962769</v>
      </c>
      <c r="AX91" s="41" t="n">
        <f aca="false">2*H91-H90</f>
        <v>25.2017409826702</v>
      </c>
      <c r="AY91" s="40" t="n">
        <f aca="false">ROUND(MAX(AX91-AW91,0.01),2)</f>
        <v>24.68</v>
      </c>
      <c r="AZ91" s="40" t="n">
        <f aca="true">IF(MIN(p_StopLb,ROW()-4)&lt;2,D91,SMALL(OFFSET(D91,1-MIN(p_StopLb,ROW()-4),0,MIN(p_StopLb,ROW()-4),1),2))</f>
        <v>24.68</v>
      </c>
      <c r="BA91" s="40" t="n">
        <f aca="false">IF(MOD(ROUND(ROUNDDOWN(MIN(AZ91-0.01,AY91-p_StopAtr*Y91),2)*100,0),50)=0,ROUNDDOWN(MIN(AZ91-0.01,AY91-p_StopAtr*Y91),2)-0.01,ROUNDDOWN(MIN(AZ91-0.01,AY91-p_StopAtr*Y91),2))</f>
        <v>24.09</v>
      </c>
      <c r="BB91" s="40" t="n">
        <f aca="false">ROUND(AI91,2)</f>
        <v>26.84</v>
      </c>
      <c r="BC91" s="40" t="n">
        <f aca="false">IF(AY91-BA91&gt;0,(BB91-AY91)/(AY91-BA91),0)</f>
        <v>3.66101694915254</v>
      </c>
      <c r="BD91" s="42" t="n">
        <f aca="false">IF(N91&lt;0,1,0)</f>
        <v>1</v>
      </c>
      <c r="BE91" s="41" t="n">
        <f aca="false">IF(AND(BD91=1,BD90=0),N91,IF(BD91=1,MIN(BE90,N91),BE90))</f>
        <v>-0.21868792395213</v>
      </c>
      <c r="BF91" s="40" t="n">
        <f aca="false">IF(AND(BD91=1,BD90=0),D91,IF(BD91=1,MIN(BF90,D91),BF90))</f>
        <v>24.65</v>
      </c>
      <c r="BG91" s="42" t="n">
        <f aca="false">IF(AND(BD91=1,BD90=0),ROW(),IF(BD91=1,IF(N91&lt;BE90,ROW(),BG90),BG90))</f>
        <v>88</v>
      </c>
      <c r="BH91" s="41" t="n">
        <f aca="false">IF(AND(BD91=1,BD90=0),BE90,BH90)</f>
        <v>-0.267100964273217</v>
      </c>
      <c r="BI91" s="40" t="n">
        <f aca="false">IF(AND(BD91=1,BD90=0),BF90,BI90)</f>
        <v>23.24</v>
      </c>
      <c r="BJ91" s="42" t="n">
        <f aca="false">IF(AND(BD91=1,BD90=0),BG90,BJ90)</f>
        <v>52</v>
      </c>
      <c r="BK91" s="42" t="n">
        <f aca="false">IF(AND(ISNUMBER(BG91),ISNUMBER(BJ91)),BG91-BJ91,"")</f>
        <v>36</v>
      </c>
      <c r="BL91" s="42" t="n">
        <f aca="false">IF(AND(BD91=1,N91&gt;N90,ISNUMBER(BH91),ISNUMBER(BK91)),IF(AND(BE91&gt;BH91,BF91&lt;BI91,BK91&gt;=p_GapMin,BK91&lt;=p_GapMax),1,0),0)</f>
        <v>0</v>
      </c>
      <c r="BM91" s="42" t="n">
        <f aca="false">IF(AND(BL91=1,E91&gt;BI91),1,0)</f>
        <v>0</v>
      </c>
      <c r="BN91" s="42" t="n">
        <f aca="false">IF(BL91=1,IF(BE91&gt;=BH91*0.5,1,0),0)</f>
        <v>0</v>
      </c>
      <c r="BO91" s="42" t="n">
        <f aca="true">IF(V91&gt;MIN(OFFSET(V91,-MIN(p_FiLb-1,ROW()-5),0,MIN(p_FiLb-1,ROW()-5),1)),1,0)</f>
        <v>1</v>
      </c>
      <c r="BP91" s="44" t="n">
        <f aca="true">IF(COUNTIF(OFFSET(V91,1-MIN(100,ROW()-4),0,MIN(100,ROW()-4),1),"&lt;0")&gt;=5,AVERAGEIF(OFFSET(V91,1-MIN(100,ROW()-4),0,MIN(100,ROW()-4),1),"&lt;0"),"")</f>
        <v>-659711.227849102</v>
      </c>
      <c r="BQ91" s="42" t="n">
        <f aca="false">IF(ISNUMBER(BP91),IF(AND(V91&lt;5*BP91,V91&gt;V90,E91&lt;AJ91),1,0),0)</f>
        <v>0</v>
      </c>
      <c r="BR91" s="44" t="n">
        <f aca="true">AVERAGE(OFFSET(F91,1-MIN(5,ROW()-4),0,MIN(5,ROW()-4),1))</f>
        <v>3831480</v>
      </c>
      <c r="BS91" s="42" t="n">
        <f aca="false">IFERROR(IF(MATCH(G91,周线!$A$5:$A$84,0)&lt;=1,"",INDEX(周线!$R$5:$R$84,MATCH(G91,周线!$A$5:$A$84,0)-1)),"")</f>
        <v>1</v>
      </c>
      <c r="BT91" s="42" t="n">
        <f aca="false">IFERROR(IF(MATCH(G91,周线!$A$5:$A$84,0)&lt;=1,"",INDEX(周线!$S$5:$S$84,MATCH(G91,周线!$A$5:$A$84,0)-1)),"")</f>
        <v>0</v>
      </c>
      <c r="BU91" s="42" t="n">
        <f aca="false">IFERROR(IF(MATCH(G91,周线!$A$5:$A$84,0)&lt;=1,"",INDEX(周线!$U$5:$U$84,MATCH(G91,周线!$A$5:$A$84,0)-1)),"")</f>
        <v>0</v>
      </c>
      <c r="BV91" s="42" t="n">
        <f aca="false">IF(AND(BS91=1,S91&lt;&gt;-1,V91&lt;0,BO91=1,E91&lt;=H91,E91&gt;=AJ91),1,0)</f>
        <v>1</v>
      </c>
      <c r="BW91" s="42" t="n">
        <f aca="false">BL91</f>
        <v>0</v>
      </c>
      <c r="BX91" s="42" t="n">
        <f aca="false">BQ91</f>
        <v>0</v>
      </c>
      <c r="BY91" s="42" t="n">
        <f aca="false">IF(BS91=1,10,0)+IF(BU91=1,5,IF(BU91=-1,0,3))+IF(BT91=1,5,0)+IF(AND(AE91&gt;AF91,AH91&gt;AH90),5,0)</f>
        <v>13</v>
      </c>
      <c r="BZ91" s="42" t="n">
        <f aca="false">IF(AND(E91&lt;=H91,E91&gt;=I91),10,IF(AND(E91&gt;=AJ91,E91&lt;I91),6,0))+IF(AND(V91&lt;0,BO91=1),8,0)+IF(AT91&lt;30,7,IF(AT91&lt;50,3,0))</f>
        <v>21</v>
      </c>
      <c r="CA91" s="42" t="n">
        <f aca="false">IF(AND(BV91=1,BW91=1),25,IF(BW91=1,22,IF(BV91=1,15,IF(BX91=1,12,0))))</f>
        <v>15</v>
      </c>
      <c r="CB91" s="42" t="n">
        <f aca="false">IF(W91&gt;0,6,0)+IF(F91&lt;BR91,4,0)</f>
        <v>4</v>
      </c>
      <c r="CC91" s="42" t="n">
        <f aca="false">IF(BC91&gt;=3,15,IF(BC91&gt;=p_RRmin,10,IF(BC91&gt;=1.5,4,0)))</f>
        <v>15</v>
      </c>
      <c r="CD91" s="42" t="n">
        <f aca="false">BY91+BZ91+CA91+CB91+CC91</f>
        <v>68</v>
      </c>
      <c r="CE91" s="42" t="n">
        <f aca="false">IF(AND(BS91&lt;&gt;1,BW91+BX91=0),1,0)</f>
        <v>0</v>
      </c>
      <c r="CF91" s="42" t="n">
        <f aca="false">IF(BU91=-1,1,0)</f>
        <v>0</v>
      </c>
      <c r="CG91" s="42" t="n">
        <f aca="false">IF(S91=-1,1,0)</f>
        <v>0</v>
      </c>
      <c r="CH91" s="42" t="n">
        <f aca="false">IF(BV91+BW91+BX91=0,1,0)</f>
        <v>0</v>
      </c>
      <c r="CI91" s="42" t="n">
        <f aca="false">IF(BC91&lt;p_RRmin,1,0)</f>
        <v>0</v>
      </c>
      <c r="CJ91" s="46" t="str">
        <f aca="false">IF(SUM(CE91:CI91)=0,IF(CD91&gt;=p_GradeA,"A",IF(CD91&gt;=p_GradeB,"B","C")),IF(AND(CI91=1,SUM(CE91:CH91)=0,CD91&gt;=p_GradeB),"B","C"))</f>
        <v>B</v>
      </c>
    </row>
    <row r="92" customFormat="false" ht="15" hidden="false" customHeight="false" outlineLevel="0" collapsed="false">
      <c r="A92" s="36" t="n">
        <v>45782</v>
      </c>
      <c r="B92" s="37" t="n">
        <v>24.83</v>
      </c>
      <c r="C92" s="37" t="n">
        <v>24.91</v>
      </c>
      <c r="D92" s="37" t="n">
        <v>24.12</v>
      </c>
      <c r="E92" s="37" t="n">
        <v>24.23</v>
      </c>
      <c r="F92" s="38" t="n">
        <v>4957500</v>
      </c>
      <c r="G92" s="39" t="n">
        <f aca="false">A92-WEEKDAY(A92,3)</f>
        <v>45782</v>
      </c>
      <c r="H92" s="40" t="n">
        <f aca="false">2/(p_EmaF+1)*E92+(1-2/(p_EmaF+1))*H91</f>
        <v>25.1266478678894</v>
      </c>
      <c r="I92" s="40" t="n">
        <f aca="false">2/(p_EmaS+1)*E92+(1-2/(p_EmaS+1))*I91</f>
        <v>25.2380613518448</v>
      </c>
      <c r="J92" s="41" t="n">
        <f aca="false">2/(p_MacdF+1)*E92+(1-2/(p_MacdF+1))*J91</f>
        <v>25.0940643228513</v>
      </c>
      <c r="K92" s="41" t="n">
        <f aca="false">2/(p_MacdS+1)*E92+(1-2/(p_MacdS+1))*K91</f>
        <v>25.2380613518448</v>
      </c>
      <c r="L92" s="41" t="n">
        <f aca="false">J92-K92</f>
        <v>-0.143997028993518</v>
      </c>
      <c r="M92" s="41" t="n">
        <f aca="false">2/(p_MacdSig+1)*L92+(1-2/(p_MacdSig+1))*M91</f>
        <v>0.0686855004019872</v>
      </c>
      <c r="N92" s="41" t="n">
        <f aca="false">L92-M92</f>
        <v>-0.212682529395505</v>
      </c>
      <c r="O92" s="42" t="n">
        <f aca="false">IF(H92&gt;H91,1,0)</f>
        <v>0</v>
      </c>
      <c r="P92" s="42" t="n">
        <f aca="false">IF(H92&lt;H91,1,0)</f>
        <v>1</v>
      </c>
      <c r="Q92" s="42" t="n">
        <f aca="false">IF(N92&gt;N91,1,0)</f>
        <v>0</v>
      </c>
      <c r="R92" s="42" t="n">
        <f aca="false">IF(N92&lt;N91,1,0)</f>
        <v>1</v>
      </c>
      <c r="S92" s="42" t="n">
        <f aca="false">IF(AND(O92=1,Q92=1),1,IF(AND(P92=1,R92=1),-1,0))</f>
        <v>-1</v>
      </c>
      <c r="T92" s="43" t="str">
        <f aca="false">IF(S92=1,"绿",IF(S92=-1,"红","蓝"))</f>
        <v>红</v>
      </c>
      <c r="U92" s="44" t="n">
        <f aca="false">F92*(E92-E91)</f>
        <v>-2974499.99999999</v>
      </c>
      <c r="V92" s="44" t="n">
        <f aca="false">2/(p_FiS+1)*U92+(1-2/(p_FiS+1))*V91</f>
        <v>-2030745.80894611</v>
      </c>
      <c r="W92" s="44" t="n">
        <f aca="false">2/(p_FiL+1)*U92+(1-2/(p_FiL+1))*W91</f>
        <v>-732238.528495545</v>
      </c>
      <c r="X92" s="41" t="n">
        <f aca="false">MAX(C92-D92,ABS(C92-E91),ABS(D92-E91))</f>
        <v>0.789999999999999</v>
      </c>
      <c r="Y92" s="41" t="n">
        <f aca="true">AVERAGE(OFFSET(X92,1-MIN(p_AtrN,ROW()-4),0,MIN(p_AtrN,ROW()-4),1))</f>
        <v>0.584615384615385</v>
      </c>
      <c r="Z92" s="41" t="n">
        <f aca="false">IF(AND(C92-C91&gt;D91-D92,C92-C91&gt;0),C92-C91,0)</f>
        <v>0</v>
      </c>
      <c r="AA92" s="41" t="n">
        <f aca="false">IF(AND(D91-D92&gt;C92-C91,D91-D92&gt;0),D91-D92,0)</f>
        <v>0.529999999999998</v>
      </c>
      <c r="AB92" s="41" t="n">
        <f aca="false">2/(p_AdxN+1)*X92+(1-2/(p_AdxN+1))*AB91</f>
        <v>0.552741238578969</v>
      </c>
      <c r="AC92" s="41" t="n">
        <f aca="false">2/(p_AdxN+1)*Z92+(1-2/(p_AdxN+1))*AC91</f>
        <v>0.0402448188229552</v>
      </c>
      <c r="AD92" s="41" t="n">
        <f aca="false">2/(p_AdxN+1)*AA92+(1-2/(p_AdxN+1))*AD91</f>
        <v>0.161939540214304</v>
      </c>
      <c r="AE92" s="45" t="n">
        <f aca="false">100*AC92/AB92</f>
        <v>7.28095101541903</v>
      </c>
      <c r="AF92" s="45" t="n">
        <f aca="false">100*AD92/AB92</f>
        <v>29.2975318126491</v>
      </c>
      <c r="AG92" s="45" t="n">
        <f aca="false">IFERROR(100*ABS(AE92-AF92)/(AE92+AF92),0)</f>
        <v>60.1899780827866</v>
      </c>
      <c r="AH92" s="45" t="n">
        <f aca="false">2/(p_AdxN+1)*AG92+(1-2/(p_AdxN+1))*AH91</f>
        <v>38.870135471194</v>
      </c>
      <c r="AI92" s="40" t="n">
        <f aca="false">I92*(1+p_ChPct)</f>
        <v>26.7523450329555</v>
      </c>
      <c r="AJ92" s="40" t="n">
        <f aca="false">I92*(1-p_ChPct)</f>
        <v>23.7237776707341</v>
      </c>
      <c r="AK92" s="40" t="n">
        <f aca="false">I92+1*Y92</f>
        <v>25.8226767364602</v>
      </c>
      <c r="AL92" s="40" t="n">
        <f aca="false">I92+2*Y92</f>
        <v>26.4072921210755</v>
      </c>
      <c r="AM92" s="40" t="n">
        <f aca="false">I92+3*Y92</f>
        <v>26.9919075056909</v>
      </c>
      <c r="AN92" s="40" t="n">
        <f aca="false">I92-1*Y92</f>
        <v>24.6534459672294</v>
      </c>
      <c r="AO92" s="40" t="n">
        <f aca="false">I92-2*Y92</f>
        <v>24.068830582614</v>
      </c>
      <c r="AP92" s="40" t="n">
        <f aca="false">I92-3*Y92</f>
        <v>23.4842151979986</v>
      </c>
      <c r="AQ92" s="40" t="n">
        <f aca="true">MAX(OFFSET(C92,1-MIN(p_StochN,ROW()-4),0,MIN(p_StochN,ROW()-4),1))</f>
        <v>25.28</v>
      </c>
      <c r="AR92" s="40" t="n">
        <f aca="true">MIN(OFFSET(D92,1-MIN(p_StochN,ROW()-4),0,MIN(p_StochN,ROW()-4),1))</f>
        <v>24.12</v>
      </c>
      <c r="AS92" s="45" t="n">
        <f aca="false">IF(AQ92=AR92,50,100*(E92-AR92)/(AQ92-AR92))</f>
        <v>9.48275862068961</v>
      </c>
      <c r="AT92" s="45" t="n">
        <f aca="true">AVERAGE(OFFSET(AS92,1-MIN(p_StochSm,ROW()-4),0,MIN(p_StochSm,ROW()-4),1))</f>
        <v>16.8164623096967</v>
      </c>
      <c r="AU92" s="45" t="n">
        <f aca="true">AVERAGE(OFFSET(AT92,1-MIN(p_StochSm,ROW()-4),0,MIN(p_StochSm,ROW()-4),1))</f>
        <v>23.8796647061643</v>
      </c>
      <c r="AV92" s="41" t="n">
        <f aca="false">MAX(0,H92-D92)</f>
        <v>1.00664786788939</v>
      </c>
      <c r="AW92" s="41" t="n">
        <f aca="true">IF(COUNTIF(OFFSET(AV92,1-MIN(p_PenLb,ROW()-4),0,MIN(p_PenLb,ROW()-4),1),"&gt;0")&gt;0,SUM(OFFSET(AV92,1-MIN(p_PenLb,ROW()-4),0,MIN(p_PenLb,ROW()-4),1))/COUNTIF(OFFSET(AV92,1-MIN(p_PenLb,ROW()-4),0,MIN(p_PenLb,ROW()-4),1),"&gt;0"),0.5*Y92)</f>
        <v>0.551107184736471</v>
      </c>
      <c r="AX92" s="41" t="n">
        <f aca="false">2*H92-H91</f>
        <v>24.9772065565745</v>
      </c>
      <c r="AY92" s="40" t="n">
        <f aca="false">ROUND(MAX(AX92-AW92,0.01),2)</f>
        <v>24.43</v>
      </c>
      <c r="AZ92" s="40" t="n">
        <f aca="true">IF(MIN(p_StopLb,ROW()-4)&lt;2,D92,SMALL(OFFSET(D92,1-MIN(p_StopLb,ROW()-4),0,MIN(p_StopLb,ROW()-4),1),2))</f>
        <v>24.65</v>
      </c>
      <c r="BA92" s="40" t="n">
        <f aca="false">IF(MOD(ROUND(ROUNDDOWN(MIN(AZ92-0.01,AY92-p_StopAtr*Y92),2)*100,0),50)=0,ROUNDDOWN(MIN(AZ92-0.01,AY92-p_StopAtr*Y92),2)-0.01,ROUNDDOWN(MIN(AZ92-0.01,AY92-p_StopAtr*Y92),2))</f>
        <v>23.84</v>
      </c>
      <c r="BB92" s="40" t="n">
        <f aca="false">ROUND(AI92,2)</f>
        <v>26.75</v>
      </c>
      <c r="BC92" s="40" t="n">
        <f aca="false">IF(AY92-BA92&gt;0,(BB92-AY92)/(AY92-BA92),0)</f>
        <v>3.93220338983051</v>
      </c>
      <c r="BD92" s="42" t="n">
        <f aca="false">IF(N92&lt;0,1,0)</f>
        <v>1</v>
      </c>
      <c r="BE92" s="41" t="n">
        <f aca="false">IF(AND(BD92=1,BD91=0),N92,IF(BD92=1,MIN(BE91,N92),BE91))</f>
        <v>-0.21868792395213</v>
      </c>
      <c r="BF92" s="40" t="n">
        <f aca="false">IF(AND(BD92=1,BD91=0),D92,IF(BD92=1,MIN(BF91,D92),BF91))</f>
        <v>24.12</v>
      </c>
      <c r="BG92" s="42" t="n">
        <f aca="false">IF(AND(BD92=1,BD91=0),ROW(),IF(BD92=1,IF(N92&lt;BE91,ROW(),BG91),BG91))</f>
        <v>88</v>
      </c>
      <c r="BH92" s="41" t="n">
        <f aca="false">IF(AND(BD92=1,BD91=0),BE91,BH91)</f>
        <v>-0.267100964273217</v>
      </c>
      <c r="BI92" s="40" t="n">
        <f aca="false">IF(AND(BD92=1,BD91=0),BF91,BI91)</f>
        <v>23.24</v>
      </c>
      <c r="BJ92" s="42" t="n">
        <f aca="false">IF(AND(BD92=1,BD91=0),BG91,BJ91)</f>
        <v>52</v>
      </c>
      <c r="BK92" s="42" t="n">
        <f aca="false">IF(AND(ISNUMBER(BG92),ISNUMBER(BJ92)),BG92-BJ92,"")</f>
        <v>36</v>
      </c>
      <c r="BL92" s="42" t="n">
        <f aca="false">IF(AND(BD92=1,N92&gt;N91,ISNUMBER(BH92),ISNUMBER(BK92)),IF(AND(BE92&gt;BH92,BF92&lt;BI92,BK92&gt;=p_GapMin,BK92&lt;=p_GapMax),1,0),0)</f>
        <v>0</v>
      </c>
      <c r="BM92" s="42" t="n">
        <f aca="false">IF(AND(BL92=1,E92&gt;BI92),1,0)</f>
        <v>0</v>
      </c>
      <c r="BN92" s="42" t="n">
        <f aca="false">IF(BL92=1,IF(BE92&gt;=BH92*0.5,1,0),0)</f>
        <v>0</v>
      </c>
      <c r="BO92" s="42" t="n">
        <f aca="true">IF(V92&gt;MIN(OFFSET(V92,-MIN(p_FiLb-1,ROW()-5),0,MIN(p_FiLb-1,ROW()-5),1)),1,0)</f>
        <v>1</v>
      </c>
      <c r="BP92" s="44" t="n">
        <f aca="true">IF(COUNTIF(OFFSET(V92,1-MIN(100,ROW()-4),0,MIN(100,ROW()-4),1),"&lt;0")&gt;=5,AVERAGEIF(OFFSET(V92,1-MIN(100,ROW()-4),0,MIN(100,ROW()-4),1),"&lt;0"),"")</f>
        <v>-696766.216527399</v>
      </c>
      <c r="BQ92" s="42" t="n">
        <f aca="false">IF(ISNUMBER(BP92),IF(AND(V92&lt;5*BP92,V92&gt;V91,E92&lt;AJ92),1,0),0)</f>
        <v>0</v>
      </c>
      <c r="BR92" s="44" t="n">
        <f aca="true">AVERAGE(OFFSET(F92,1-MIN(5,ROW()-4),0,MIN(5,ROW()-4),1))</f>
        <v>3904760</v>
      </c>
      <c r="BS92" s="42" t="n">
        <f aca="false">IFERROR(IF(MATCH(G92,周线!$A$5:$A$84,0)&lt;=1,"",INDEX(周线!$R$5:$R$84,MATCH(G92,周线!$A$5:$A$84,0)-1)),"")</f>
        <v>1</v>
      </c>
      <c r="BT92" s="42" t="n">
        <f aca="false">IFERROR(IF(MATCH(G92,周线!$A$5:$A$84,0)&lt;=1,"",INDEX(周线!$S$5:$S$84,MATCH(G92,周线!$A$5:$A$84,0)-1)),"")</f>
        <v>0</v>
      </c>
      <c r="BU92" s="42" t="n">
        <f aca="false">IFERROR(IF(MATCH(G92,周线!$A$5:$A$84,0)&lt;=1,"",INDEX(周线!$U$5:$U$84,MATCH(G92,周线!$A$5:$A$84,0)-1)),"")</f>
        <v>0</v>
      </c>
      <c r="BV92" s="42" t="n">
        <f aca="false">IF(AND(BS92=1,S92&lt;&gt;-1,V92&lt;0,BO92=1,E92&lt;=H92,E92&gt;=AJ92),1,0)</f>
        <v>0</v>
      </c>
      <c r="BW92" s="42" t="n">
        <f aca="false">BL92</f>
        <v>0</v>
      </c>
      <c r="BX92" s="42" t="n">
        <f aca="false">BQ92</f>
        <v>0</v>
      </c>
      <c r="BY92" s="42" t="n">
        <f aca="false">IF(BS92=1,10,0)+IF(BU92=1,5,IF(BU92=-1,0,3))+IF(BT92=1,5,0)+IF(AND(AE92&gt;AF92,AH92&gt;AH91),5,0)</f>
        <v>13</v>
      </c>
      <c r="BZ92" s="42" t="n">
        <f aca="false">IF(AND(E92&lt;=H92,E92&gt;=I92),10,IF(AND(E92&gt;=AJ92,E92&lt;I92),6,0))+IF(AND(V92&lt;0,BO92=1),8,0)+IF(AT92&lt;30,7,IF(AT92&lt;50,3,0))</f>
        <v>21</v>
      </c>
      <c r="CA92" s="42" t="n">
        <f aca="false">IF(AND(BV92=1,BW92=1),25,IF(BW92=1,22,IF(BV92=1,15,IF(BX92=1,12,0))))</f>
        <v>0</v>
      </c>
      <c r="CB92" s="42" t="n">
        <f aca="false">IF(W92&gt;0,6,0)+IF(F92&lt;BR92,4,0)</f>
        <v>0</v>
      </c>
      <c r="CC92" s="42" t="n">
        <f aca="false">IF(BC92&gt;=3,15,IF(BC92&gt;=p_RRmin,10,IF(BC92&gt;=1.5,4,0)))</f>
        <v>15</v>
      </c>
      <c r="CD92" s="42" t="n">
        <f aca="false">BY92+BZ92+CA92+CB92+CC92</f>
        <v>49</v>
      </c>
      <c r="CE92" s="42" t="n">
        <f aca="false">IF(AND(BS92&lt;&gt;1,BW92+BX92=0),1,0)</f>
        <v>0</v>
      </c>
      <c r="CF92" s="42" t="n">
        <f aca="false">IF(BU92=-1,1,0)</f>
        <v>0</v>
      </c>
      <c r="CG92" s="42" t="n">
        <f aca="false">IF(S92=-1,1,0)</f>
        <v>1</v>
      </c>
      <c r="CH92" s="42" t="n">
        <f aca="false">IF(BV92+BW92+BX92=0,1,0)</f>
        <v>1</v>
      </c>
      <c r="CI92" s="42" t="n">
        <f aca="false">IF(BC92&lt;p_RRmin,1,0)</f>
        <v>0</v>
      </c>
      <c r="CJ92" s="46" t="str">
        <f aca="false">IF(SUM(CE92:CI92)=0,IF(CD92&gt;=p_GradeA,"A",IF(CD92&gt;=p_GradeB,"B","C")),IF(AND(CI92=1,SUM(CE92:CH92)=0,CD92&gt;=p_GradeB),"B","C"))</f>
        <v>C</v>
      </c>
    </row>
    <row r="93" customFormat="false" ht="15" hidden="false" customHeight="false" outlineLevel="0" collapsed="false">
      <c r="A93" s="36" t="n">
        <v>45783</v>
      </c>
      <c r="B93" s="37" t="n">
        <v>24.14</v>
      </c>
      <c r="C93" s="37" t="n">
        <v>24.25</v>
      </c>
      <c r="D93" s="37" t="n">
        <v>23.8</v>
      </c>
      <c r="E93" s="37" t="n">
        <v>23.9</v>
      </c>
      <c r="F93" s="38" t="n">
        <v>3357200</v>
      </c>
      <c r="G93" s="39" t="n">
        <f aca="false">A93-WEEKDAY(A93,3)</f>
        <v>45782</v>
      </c>
      <c r="H93" s="40" t="n">
        <f aca="false">2/(p_EmaF+1)*E93+(1-2/(p_EmaF+1))*H92</f>
        <v>24.9514124581909</v>
      </c>
      <c r="I93" s="40" t="n">
        <f aca="false">2/(p_EmaS+1)*E93+(1-2/(p_EmaS+1))*I92</f>
        <v>25.1389456961526</v>
      </c>
      <c r="J93" s="41" t="n">
        <f aca="false">2/(p_MacdF+1)*E93+(1-2/(p_MacdF+1))*J92</f>
        <v>24.9103621193357</v>
      </c>
      <c r="K93" s="41" t="n">
        <f aca="false">2/(p_MacdS+1)*E93+(1-2/(p_MacdS+1))*K92</f>
        <v>25.1389456961526</v>
      </c>
      <c r="L93" s="41" t="n">
        <f aca="false">J93-K93</f>
        <v>-0.228583576816888</v>
      </c>
      <c r="M93" s="41" t="n">
        <f aca="false">2/(p_MacdSig+1)*L93+(1-2/(p_MacdSig+1))*M92</f>
        <v>0.00923168495821214</v>
      </c>
      <c r="N93" s="41" t="n">
        <f aca="false">L93-M93</f>
        <v>-0.2378152617751</v>
      </c>
      <c r="O93" s="42" t="n">
        <f aca="false">IF(H93&gt;H92,1,0)</f>
        <v>0</v>
      </c>
      <c r="P93" s="42" t="n">
        <f aca="false">IF(H93&lt;H92,1,0)</f>
        <v>1</v>
      </c>
      <c r="Q93" s="42" t="n">
        <f aca="false">IF(N93&gt;N92,1,0)</f>
        <v>0</v>
      </c>
      <c r="R93" s="42" t="n">
        <f aca="false">IF(N93&lt;N92,1,0)</f>
        <v>1</v>
      </c>
      <c r="S93" s="42" t="n">
        <f aca="false">IF(AND(O93=1,Q93=1),1,IF(AND(P93=1,R93=1),-1,0))</f>
        <v>-1</v>
      </c>
      <c r="T93" s="43" t="str">
        <f aca="false">IF(S93=1,"绿",IF(S93=-1,"红","蓝"))</f>
        <v>红</v>
      </c>
      <c r="U93" s="44" t="n">
        <f aca="false">F93*(E93-E92)</f>
        <v>-1107876.00000001</v>
      </c>
      <c r="V93" s="44" t="n">
        <f aca="false">2/(p_FiS+1)*U93+(1-2/(p_FiS+1))*V92</f>
        <v>-1415499.26964871</v>
      </c>
      <c r="W93" s="44" t="n">
        <f aca="false">2/(p_FiL+1)*U93+(1-2/(p_FiL+1))*W92</f>
        <v>-785901.024424754</v>
      </c>
      <c r="X93" s="41" t="n">
        <f aca="false">MAX(C93-D93,ABS(C93-E92),ABS(D93-E92))</f>
        <v>0.449999999999999</v>
      </c>
      <c r="Y93" s="41" t="n">
        <f aca="true">AVERAGE(OFFSET(X93,1-MIN(p_AtrN,ROW()-4),0,MIN(p_AtrN,ROW()-4),1))</f>
        <v>0.582307692307693</v>
      </c>
      <c r="Z93" s="41" t="n">
        <f aca="false">IF(AND(C93-C92&gt;D92-D93,C93-C92&gt;0),C93-C92,0)</f>
        <v>0</v>
      </c>
      <c r="AA93" s="41" t="n">
        <f aca="false">IF(AND(D92-D93&gt;C93-C92,D92-D93&gt;0),D92-D93,0)</f>
        <v>0.32</v>
      </c>
      <c r="AB93" s="41" t="n">
        <f aca="false">2/(p_AdxN+1)*X93+(1-2/(p_AdxN+1))*AB92</f>
        <v>0.538063918781974</v>
      </c>
      <c r="AC93" s="41" t="n">
        <f aca="false">2/(p_AdxN+1)*Z93+(1-2/(p_AdxN+1))*AC92</f>
        <v>0.0344955589911044</v>
      </c>
      <c r="AD93" s="41" t="n">
        <f aca="false">2/(p_AdxN+1)*AA93+(1-2/(p_AdxN+1))*AD92</f>
        <v>0.184519605897975</v>
      </c>
      <c r="AE93" s="45" t="n">
        <f aca="false">100*AC93/AB93</f>
        <v>6.41105225364168</v>
      </c>
      <c r="AF93" s="45" t="n">
        <f aca="false">100*AD93/AB93</f>
        <v>34.2932501989124</v>
      </c>
      <c r="AG93" s="45" t="n">
        <f aca="false">IFERROR(100*ABS(AE93-AF93)/(AE93+AF93),0)</f>
        <v>68.4993876943866</v>
      </c>
      <c r="AH93" s="45" t="n">
        <f aca="false">2/(p_AdxN+1)*AG93+(1-2/(p_AdxN+1))*AH92</f>
        <v>43.1028857887929</v>
      </c>
      <c r="AI93" s="40" t="n">
        <f aca="false">I93*(1+p_ChPct)</f>
        <v>26.6472824379217</v>
      </c>
      <c r="AJ93" s="40" t="n">
        <f aca="false">I93*(1-p_ChPct)</f>
        <v>23.6306089543834</v>
      </c>
      <c r="AK93" s="40" t="n">
        <f aca="false">I93+1*Y93</f>
        <v>25.7212533884603</v>
      </c>
      <c r="AL93" s="40" t="n">
        <f aca="false">I93+2*Y93</f>
        <v>26.303561080768</v>
      </c>
      <c r="AM93" s="40" t="n">
        <f aca="false">I93+3*Y93</f>
        <v>26.8858687730757</v>
      </c>
      <c r="AN93" s="40" t="n">
        <f aca="false">I93-1*Y93</f>
        <v>24.5566380038449</v>
      </c>
      <c r="AO93" s="40" t="n">
        <f aca="false">I93-2*Y93</f>
        <v>23.9743303115372</v>
      </c>
      <c r="AP93" s="40" t="n">
        <f aca="false">I93-3*Y93</f>
        <v>23.3920226192295</v>
      </c>
      <c r="AQ93" s="40" t="n">
        <f aca="true">MAX(OFFSET(C93,1-MIN(p_StochN,ROW()-4),0,MIN(p_StochN,ROW()-4),1))</f>
        <v>25.28</v>
      </c>
      <c r="AR93" s="40" t="n">
        <f aca="true">MIN(OFFSET(D93,1-MIN(p_StochN,ROW()-4),0,MIN(p_StochN,ROW()-4),1))</f>
        <v>23.8</v>
      </c>
      <c r="AS93" s="45" t="n">
        <f aca="false">IF(AQ93=AR93,50,100*(E93-AR93)/(AQ93-AR93))</f>
        <v>6.75675675675661</v>
      </c>
      <c r="AT93" s="45" t="n">
        <f aca="true">AVERAGE(OFFSET(AS93,1-MIN(p_StochSm,ROW()-4),0,MIN(p_StochSm,ROW()-4),1))</f>
        <v>13.0081085013428</v>
      </c>
      <c r="AU93" s="45" t="n">
        <f aca="true">AVERAGE(OFFSET(AT93,1-MIN(p_StochSm,ROW()-4),0,MIN(p_StochSm,ROW()-4),1))</f>
        <v>19.4579102005943</v>
      </c>
      <c r="AV93" s="41" t="n">
        <f aca="false">MAX(0,H93-D93)</f>
        <v>1.1514124581909</v>
      </c>
      <c r="AW93" s="41" t="n">
        <f aca="true">IF(COUNTIF(OFFSET(AV93,1-MIN(p_PenLb,ROW()-4),0,MIN(p_PenLb,ROW()-4),1),"&gt;0")&gt;0,SUM(OFFSET(AV93,1-MIN(p_PenLb,ROW()-4),0,MIN(p_PenLb,ROW()-4),1))/COUNTIF(OFFSET(AV93,1-MIN(p_PenLb,ROW()-4),0,MIN(p_PenLb,ROW()-4),1),"&gt;0"),0.5*Y93)</f>
        <v>0.582702199128809</v>
      </c>
      <c r="AX93" s="41" t="n">
        <f aca="false">2*H93-H92</f>
        <v>24.7761770484924</v>
      </c>
      <c r="AY93" s="40" t="n">
        <f aca="false">ROUND(MAX(AX93-AW93,0.01),2)</f>
        <v>24.19</v>
      </c>
      <c r="AZ93" s="40" t="n">
        <f aca="true">IF(MIN(p_StopLb,ROW()-4)&lt;2,D93,SMALL(OFFSET(D93,1-MIN(p_StopLb,ROW()-4),0,MIN(p_StopLb,ROW()-4),1),2))</f>
        <v>24.12</v>
      </c>
      <c r="BA93" s="40" t="n">
        <f aca="false">IF(MOD(ROUND(ROUNDDOWN(MIN(AZ93-0.01,AY93-p_StopAtr*Y93),2)*100,0),50)=0,ROUNDDOWN(MIN(AZ93-0.01,AY93-p_StopAtr*Y93),2)-0.01,ROUNDDOWN(MIN(AZ93-0.01,AY93-p_StopAtr*Y93),2))</f>
        <v>23.6</v>
      </c>
      <c r="BB93" s="40" t="n">
        <f aca="false">ROUND(AI93,2)</f>
        <v>26.65</v>
      </c>
      <c r="BC93" s="40" t="n">
        <f aca="false">IF(AY93-BA93&gt;0,(BB93-AY93)/(AY93-BA93),0)</f>
        <v>4.16949152542373</v>
      </c>
      <c r="BD93" s="42" t="n">
        <f aca="false">IF(N93&lt;0,1,0)</f>
        <v>1</v>
      </c>
      <c r="BE93" s="41" t="n">
        <f aca="false">IF(AND(BD93=1,BD92=0),N93,IF(BD93=1,MIN(BE92,N93),BE92))</f>
        <v>-0.2378152617751</v>
      </c>
      <c r="BF93" s="40" t="n">
        <f aca="false">IF(AND(BD93=1,BD92=0),D93,IF(BD93=1,MIN(BF92,D93),BF92))</f>
        <v>23.8</v>
      </c>
      <c r="BG93" s="42" t="n">
        <f aca="false">IF(AND(BD93=1,BD92=0),ROW(),IF(BD93=1,IF(N93&lt;BE92,ROW(),BG92),BG92))</f>
        <v>93</v>
      </c>
      <c r="BH93" s="41" t="n">
        <f aca="false">IF(AND(BD93=1,BD92=0),BE92,BH92)</f>
        <v>-0.267100964273217</v>
      </c>
      <c r="BI93" s="40" t="n">
        <f aca="false">IF(AND(BD93=1,BD92=0),BF92,BI92)</f>
        <v>23.24</v>
      </c>
      <c r="BJ93" s="42" t="n">
        <f aca="false">IF(AND(BD93=1,BD92=0),BG92,BJ92)</f>
        <v>52</v>
      </c>
      <c r="BK93" s="42" t="n">
        <f aca="false">IF(AND(ISNUMBER(BG93),ISNUMBER(BJ93)),BG93-BJ93,"")</f>
        <v>41</v>
      </c>
      <c r="BL93" s="42" t="n">
        <f aca="false">IF(AND(BD93=1,N93&gt;N92,ISNUMBER(BH93),ISNUMBER(BK93)),IF(AND(BE93&gt;BH93,BF93&lt;BI93,BK93&gt;=p_GapMin,BK93&lt;=p_GapMax),1,0),0)</f>
        <v>0</v>
      </c>
      <c r="BM93" s="42" t="n">
        <f aca="false">IF(AND(BL93=1,E93&gt;BI93),1,0)</f>
        <v>0</v>
      </c>
      <c r="BN93" s="42" t="n">
        <f aca="false">IF(BL93=1,IF(BE93&gt;=BH93*0.5,1,0),0)</f>
        <v>0</v>
      </c>
      <c r="BO93" s="42" t="n">
        <f aca="true">IF(V93&gt;MIN(OFFSET(V93,-MIN(p_FiLb-1,ROW()-5),0,MIN(p_FiLb-1,ROW()-5),1)),1,0)</f>
        <v>1</v>
      </c>
      <c r="BP93" s="44" t="n">
        <f aca="true">IF(COUNTIF(OFFSET(V93,1-MIN(100,ROW()-4),0,MIN(100,ROW()-4),1),"&lt;0")&gt;=5,AVERAGEIF(OFFSET(V93,1-MIN(100,ROW()-4),0,MIN(100,ROW()-4),1),"&lt;0"),"")</f>
        <v>-715680.244241118</v>
      </c>
      <c r="BQ93" s="42" t="n">
        <f aca="false">IF(ISNUMBER(BP93),IF(AND(V93&lt;5*BP93,V93&gt;V92,E93&lt;AJ93),1,0),0)</f>
        <v>0</v>
      </c>
      <c r="BR93" s="44" t="n">
        <f aca="true">AVERAGE(OFFSET(F93,1-MIN(5,ROW()-4),0,MIN(5,ROW()-4),1))</f>
        <v>3618800</v>
      </c>
      <c r="BS93" s="42" t="n">
        <f aca="false">IFERROR(IF(MATCH(G93,周线!$A$5:$A$84,0)&lt;=1,"",INDEX(周线!$R$5:$R$84,MATCH(G93,周线!$A$5:$A$84,0)-1)),"")</f>
        <v>1</v>
      </c>
      <c r="BT93" s="42" t="n">
        <f aca="false">IFERROR(IF(MATCH(G93,周线!$A$5:$A$84,0)&lt;=1,"",INDEX(周线!$S$5:$S$84,MATCH(G93,周线!$A$5:$A$84,0)-1)),"")</f>
        <v>0</v>
      </c>
      <c r="BU93" s="42" t="n">
        <f aca="false">IFERROR(IF(MATCH(G93,周线!$A$5:$A$84,0)&lt;=1,"",INDEX(周线!$U$5:$U$84,MATCH(G93,周线!$A$5:$A$84,0)-1)),"")</f>
        <v>0</v>
      </c>
      <c r="BV93" s="42" t="n">
        <f aca="false">IF(AND(BS93=1,S93&lt;&gt;-1,V93&lt;0,BO93=1,E93&lt;=H93,E93&gt;=AJ93),1,0)</f>
        <v>0</v>
      </c>
      <c r="BW93" s="42" t="n">
        <f aca="false">BL93</f>
        <v>0</v>
      </c>
      <c r="BX93" s="42" t="n">
        <f aca="false">BQ93</f>
        <v>0</v>
      </c>
      <c r="BY93" s="42" t="n">
        <f aca="false">IF(BS93=1,10,0)+IF(BU93=1,5,IF(BU93=-1,0,3))+IF(BT93=1,5,0)+IF(AND(AE93&gt;AF93,AH93&gt;AH92),5,0)</f>
        <v>13</v>
      </c>
      <c r="BZ93" s="42" t="n">
        <f aca="false">IF(AND(E93&lt;=H93,E93&gt;=I93),10,IF(AND(E93&gt;=AJ93,E93&lt;I93),6,0))+IF(AND(V93&lt;0,BO93=1),8,0)+IF(AT93&lt;30,7,IF(AT93&lt;50,3,0))</f>
        <v>21</v>
      </c>
      <c r="CA93" s="42" t="n">
        <f aca="false">IF(AND(BV93=1,BW93=1),25,IF(BW93=1,22,IF(BV93=1,15,IF(BX93=1,12,0))))</f>
        <v>0</v>
      </c>
      <c r="CB93" s="42" t="n">
        <f aca="false">IF(W93&gt;0,6,0)+IF(F93&lt;BR93,4,0)</f>
        <v>4</v>
      </c>
      <c r="CC93" s="42" t="n">
        <f aca="false">IF(BC93&gt;=3,15,IF(BC93&gt;=p_RRmin,10,IF(BC93&gt;=1.5,4,0)))</f>
        <v>15</v>
      </c>
      <c r="CD93" s="42" t="n">
        <f aca="false">BY93+BZ93+CA93+CB93+CC93</f>
        <v>53</v>
      </c>
      <c r="CE93" s="42" t="n">
        <f aca="false">IF(AND(BS93&lt;&gt;1,BW93+BX93=0),1,0)</f>
        <v>0</v>
      </c>
      <c r="CF93" s="42" t="n">
        <f aca="false">IF(BU93=-1,1,0)</f>
        <v>0</v>
      </c>
      <c r="CG93" s="42" t="n">
        <f aca="false">IF(S93=-1,1,0)</f>
        <v>1</v>
      </c>
      <c r="CH93" s="42" t="n">
        <f aca="false">IF(BV93+BW93+BX93=0,1,0)</f>
        <v>1</v>
      </c>
      <c r="CI93" s="42" t="n">
        <f aca="false">IF(BC93&lt;p_RRmin,1,0)</f>
        <v>0</v>
      </c>
      <c r="CJ93" s="46" t="str">
        <f aca="false">IF(SUM(CE93:CI93)=0,IF(CD93&gt;=p_GradeA,"A",IF(CD93&gt;=p_GradeB,"B","C")),IF(AND(CI93=1,SUM(CE93:CH93)=0,CD93&gt;=p_GradeB),"B","C"))</f>
        <v>C</v>
      </c>
    </row>
    <row r="94" customFormat="false" ht="15" hidden="false" customHeight="false" outlineLevel="0" collapsed="false">
      <c r="A94" s="36" t="n">
        <v>45784</v>
      </c>
      <c r="B94" s="37" t="n">
        <v>23.88</v>
      </c>
      <c r="C94" s="37" t="n">
        <v>24.04</v>
      </c>
      <c r="D94" s="37" t="n">
        <v>22.87</v>
      </c>
      <c r="E94" s="37" t="n">
        <v>23.08</v>
      </c>
      <c r="F94" s="38" t="n">
        <v>6789400</v>
      </c>
      <c r="G94" s="39" t="n">
        <f aca="false">A94-WEEKDAY(A94,3)</f>
        <v>45782</v>
      </c>
      <c r="H94" s="40" t="n">
        <f aca="false">2/(p_EmaF+1)*E94+(1-2/(p_EmaF+1))*H93</f>
        <v>24.6840678213065</v>
      </c>
      <c r="I94" s="40" t="n">
        <f aca="false">2/(p_EmaS+1)*E94+(1-2/(p_EmaS+1))*I93</f>
        <v>24.9864312001413</v>
      </c>
      <c r="J94" s="41" t="n">
        <f aca="false">2/(p_MacdF+1)*E94+(1-2/(p_MacdF+1))*J93</f>
        <v>24.6287679471302</v>
      </c>
      <c r="K94" s="41" t="n">
        <f aca="false">2/(p_MacdS+1)*E94+(1-2/(p_MacdS+1))*K93</f>
        <v>24.9864312001413</v>
      </c>
      <c r="L94" s="41" t="n">
        <f aca="false">J94-K94</f>
        <v>-0.357663253011076</v>
      </c>
      <c r="M94" s="41" t="n">
        <f aca="false">2/(p_MacdSig+1)*L94+(1-2/(p_MacdSig+1))*M93</f>
        <v>-0.0641473026356454</v>
      </c>
      <c r="N94" s="41" t="n">
        <f aca="false">L94-M94</f>
        <v>-0.29351595037543</v>
      </c>
      <c r="O94" s="42" t="n">
        <f aca="false">IF(H94&gt;H93,1,0)</f>
        <v>0</v>
      </c>
      <c r="P94" s="42" t="n">
        <f aca="false">IF(H94&lt;H93,1,0)</f>
        <v>1</v>
      </c>
      <c r="Q94" s="42" t="n">
        <f aca="false">IF(N94&gt;N93,1,0)</f>
        <v>0</v>
      </c>
      <c r="R94" s="42" t="n">
        <f aca="false">IF(N94&lt;N93,1,0)</f>
        <v>1</v>
      </c>
      <c r="S94" s="42" t="n">
        <f aca="false">IF(AND(O94=1,Q94=1),1,IF(AND(P94=1,R94=1),-1,0))</f>
        <v>-1</v>
      </c>
      <c r="T94" s="43" t="str">
        <f aca="false">IF(S94=1,"绿",IF(S94=-1,"红","蓝"))</f>
        <v>红</v>
      </c>
      <c r="U94" s="44" t="n">
        <f aca="false">F94*(E94-E93)</f>
        <v>-5567308</v>
      </c>
      <c r="V94" s="44" t="n">
        <f aca="false">2/(p_FiS+1)*U94+(1-2/(p_FiS+1))*V93</f>
        <v>-4183371.75654957</v>
      </c>
      <c r="W94" s="44" t="n">
        <f aca="false">2/(p_FiL+1)*U94+(1-2/(p_FiL+1))*W93</f>
        <v>-1468959.16379265</v>
      </c>
      <c r="X94" s="41" t="n">
        <f aca="false">MAX(C94-D94,ABS(C94-E93),ABS(D94-E93))</f>
        <v>1.17</v>
      </c>
      <c r="Y94" s="41" t="n">
        <f aca="true">AVERAGE(OFFSET(X94,1-MIN(p_AtrN,ROW()-4),0,MIN(p_AtrN,ROW()-4),1))</f>
        <v>0.613076923076923</v>
      </c>
      <c r="Z94" s="41" t="n">
        <f aca="false">IF(AND(C94-C93&gt;D93-D94,C94-C93&gt;0),C94-C93,0)</f>
        <v>0</v>
      </c>
      <c r="AA94" s="41" t="n">
        <f aca="false">IF(AND(D93-D94&gt;C94-C93,D93-D94&gt;0),D93-D94,0)</f>
        <v>0.93</v>
      </c>
      <c r="AB94" s="41" t="n">
        <f aca="false">2/(p_AdxN+1)*X94+(1-2/(p_AdxN+1))*AB93</f>
        <v>0.62834050181312</v>
      </c>
      <c r="AC94" s="41" t="n">
        <f aca="false">2/(p_AdxN+1)*Z94+(1-2/(p_AdxN+1))*AC93</f>
        <v>0.0295676219923752</v>
      </c>
      <c r="AD94" s="41" t="n">
        <f aca="false">2/(p_AdxN+1)*AA94+(1-2/(p_AdxN+1))*AD93</f>
        <v>0.291016805055407</v>
      </c>
      <c r="AE94" s="45" t="n">
        <f aca="false">100*AC94/AB94</f>
        <v>4.70566864734262</v>
      </c>
      <c r="AF94" s="45" t="n">
        <f aca="false">100*AD94/AB94</f>
        <v>46.3151434955502</v>
      </c>
      <c r="AG94" s="45" t="n">
        <f aca="false">IFERROR(100*ABS(AE94-AF94)/(AE94+AF94),0)</f>
        <v>81.553924958452</v>
      </c>
      <c r="AH94" s="45" t="n">
        <f aca="false">2/(p_AdxN+1)*AG94+(1-2/(p_AdxN+1))*AH93</f>
        <v>48.5958913844585</v>
      </c>
      <c r="AI94" s="40" t="n">
        <f aca="false">I94*(1+p_ChPct)</f>
        <v>26.4856170721497</v>
      </c>
      <c r="AJ94" s="40" t="n">
        <f aca="false">I94*(1-p_ChPct)</f>
        <v>23.4872453281328</v>
      </c>
      <c r="AK94" s="40" t="n">
        <f aca="false">I94+1*Y94</f>
        <v>25.5995081232182</v>
      </c>
      <c r="AL94" s="40" t="n">
        <f aca="false">I94+2*Y94</f>
        <v>26.2125850462951</v>
      </c>
      <c r="AM94" s="40" t="n">
        <f aca="false">I94+3*Y94</f>
        <v>26.825661969372</v>
      </c>
      <c r="AN94" s="40" t="n">
        <f aca="false">I94-1*Y94</f>
        <v>24.3733542770643</v>
      </c>
      <c r="AO94" s="40" t="n">
        <f aca="false">I94-2*Y94</f>
        <v>23.7602773539874</v>
      </c>
      <c r="AP94" s="40" t="n">
        <f aca="false">I94-3*Y94</f>
        <v>23.1472004309105</v>
      </c>
      <c r="AQ94" s="40" t="n">
        <f aca="true">MAX(OFFSET(C94,1-MIN(p_StochN,ROW()-4),0,MIN(p_StochN,ROW()-4),1))</f>
        <v>25.12</v>
      </c>
      <c r="AR94" s="40" t="n">
        <f aca="true">MIN(OFFSET(D94,1-MIN(p_StochN,ROW()-4),0,MIN(p_StochN,ROW()-4),1))</f>
        <v>22.87</v>
      </c>
      <c r="AS94" s="45" t="n">
        <f aca="false">IF(AQ94=AR94,50,100*(E94-AR94)/(AQ94-AR94))</f>
        <v>9.33333333333321</v>
      </c>
      <c r="AT94" s="45" t="n">
        <f aca="true">AVERAGE(OFFSET(AS94,1-MIN(p_StochSm,ROW()-4),0,MIN(p_StochSm,ROW()-4),1))</f>
        <v>8.52428290359314</v>
      </c>
      <c r="AU94" s="45" t="n">
        <f aca="true">AVERAGE(OFFSET(AT94,1-MIN(p_StochSm,ROW()-4),0,MIN(p_StochSm,ROW()-4),1))</f>
        <v>12.7829512382109</v>
      </c>
      <c r="AV94" s="41" t="n">
        <f aca="false">MAX(0,H94-D94)</f>
        <v>1.81406782130649</v>
      </c>
      <c r="AW94" s="41" t="n">
        <f aca="true">IF(COUNTIF(OFFSET(AV94,1-MIN(p_PenLb,ROW()-4),0,MIN(p_PenLb,ROW()-4),1),"&gt;0")&gt;0,SUM(OFFSET(AV94,1-MIN(p_PenLb,ROW()-4),0,MIN(p_PenLb,ROW()-4),1))/COUNTIF(OFFSET(AV94,1-MIN(p_PenLb,ROW()-4),0,MIN(p_PenLb,ROW()-4),1),"&gt;0"),0.5*Y94)</f>
        <v>0.660028489793204</v>
      </c>
      <c r="AX94" s="41" t="n">
        <f aca="false">2*H94-H93</f>
        <v>24.4167231844221</v>
      </c>
      <c r="AY94" s="40" t="n">
        <f aca="false">ROUND(MAX(AX94-AW94,0.01),2)</f>
        <v>23.76</v>
      </c>
      <c r="AZ94" s="40" t="n">
        <f aca="true">IF(MIN(p_StopLb,ROW()-4)&lt;2,D94,SMALL(OFFSET(D94,1-MIN(p_StopLb,ROW()-4),0,MIN(p_StopLb,ROW()-4),1),2))</f>
        <v>23.8</v>
      </c>
      <c r="BA94" s="40" t="n">
        <f aca="false">IF(MOD(ROUND(ROUNDDOWN(MIN(AZ94-0.01,AY94-p_StopAtr*Y94),2)*100,0),50)=0,ROUNDDOWN(MIN(AZ94-0.01,AY94-p_StopAtr*Y94),2)-0.01,ROUNDDOWN(MIN(AZ94-0.01,AY94-p_StopAtr*Y94),2))</f>
        <v>23.14</v>
      </c>
      <c r="BB94" s="40" t="n">
        <f aca="false">ROUND(AI94,2)</f>
        <v>26.49</v>
      </c>
      <c r="BC94" s="40" t="n">
        <f aca="false">IF(AY94-BA94&gt;0,(BB94-AY94)/(AY94-BA94),0)</f>
        <v>4.4032258064516</v>
      </c>
      <c r="BD94" s="42" t="n">
        <f aca="false">IF(N94&lt;0,1,0)</f>
        <v>1</v>
      </c>
      <c r="BE94" s="41" t="n">
        <f aca="false">IF(AND(BD94=1,BD93=0),N94,IF(BD94=1,MIN(BE93,N94),BE93))</f>
        <v>-0.29351595037543</v>
      </c>
      <c r="BF94" s="40" t="n">
        <f aca="false">IF(AND(BD94=1,BD93=0),D94,IF(BD94=1,MIN(BF93,D94),BF93))</f>
        <v>22.87</v>
      </c>
      <c r="BG94" s="42" t="n">
        <f aca="false">IF(AND(BD94=1,BD93=0),ROW(),IF(BD94=1,IF(N94&lt;BE93,ROW(),BG93),BG93))</f>
        <v>94</v>
      </c>
      <c r="BH94" s="41" t="n">
        <f aca="false">IF(AND(BD94=1,BD93=0),BE93,BH93)</f>
        <v>-0.267100964273217</v>
      </c>
      <c r="BI94" s="40" t="n">
        <f aca="false">IF(AND(BD94=1,BD93=0),BF93,BI93)</f>
        <v>23.24</v>
      </c>
      <c r="BJ94" s="42" t="n">
        <f aca="false">IF(AND(BD94=1,BD93=0),BG93,BJ93)</f>
        <v>52</v>
      </c>
      <c r="BK94" s="42" t="n">
        <f aca="false">IF(AND(ISNUMBER(BG94),ISNUMBER(BJ94)),BG94-BJ94,"")</f>
        <v>42</v>
      </c>
      <c r="BL94" s="42" t="n">
        <f aca="false">IF(AND(BD94=1,N94&gt;N93,ISNUMBER(BH94),ISNUMBER(BK94)),IF(AND(BE94&gt;BH94,BF94&lt;BI94,BK94&gt;=p_GapMin,BK94&lt;=p_GapMax),1,0),0)</f>
        <v>0</v>
      </c>
      <c r="BM94" s="42" t="n">
        <f aca="false">IF(AND(BL94=1,E94&gt;BI94),1,0)</f>
        <v>0</v>
      </c>
      <c r="BN94" s="42" t="n">
        <f aca="false">IF(BL94=1,IF(BE94&gt;=BH94*0.5,1,0),0)</f>
        <v>0</v>
      </c>
      <c r="BO94" s="42" t="n">
        <f aca="true">IF(V94&gt;MIN(OFFSET(V94,-MIN(p_FiLb-1,ROW()-5),0,MIN(p_FiLb-1,ROW()-5),1)),1,0)</f>
        <v>0</v>
      </c>
      <c r="BP94" s="44" t="n">
        <f aca="true">IF(COUNTIF(OFFSET(V94,1-MIN(100,ROW()-4),0,MIN(100,ROW()-4),1),"&lt;0")&gt;=5,AVERAGEIF(OFFSET(V94,1-MIN(100,ROW()-4),0,MIN(100,ROW()-4),1),"&lt;0"),"")</f>
        <v>-804595.411223386</v>
      </c>
      <c r="BQ94" s="42" t="n">
        <f aca="false">IF(ISNUMBER(BP94),IF(AND(V94&lt;5*BP94,V94&gt;V93,E94&lt;AJ94),1,0),0)</f>
        <v>0</v>
      </c>
      <c r="BR94" s="44" t="n">
        <f aca="true">AVERAGE(OFFSET(F94,1-MIN(5,ROW()-4),0,MIN(5,ROW()-4),1))</f>
        <v>4156740</v>
      </c>
      <c r="BS94" s="42" t="n">
        <f aca="false">IFERROR(IF(MATCH(G94,周线!$A$5:$A$84,0)&lt;=1,"",INDEX(周线!$R$5:$R$84,MATCH(G94,周线!$A$5:$A$84,0)-1)),"")</f>
        <v>1</v>
      </c>
      <c r="BT94" s="42" t="n">
        <f aca="false">IFERROR(IF(MATCH(G94,周线!$A$5:$A$84,0)&lt;=1,"",INDEX(周线!$S$5:$S$84,MATCH(G94,周线!$A$5:$A$84,0)-1)),"")</f>
        <v>0</v>
      </c>
      <c r="BU94" s="42" t="n">
        <f aca="false">IFERROR(IF(MATCH(G94,周线!$A$5:$A$84,0)&lt;=1,"",INDEX(周线!$U$5:$U$84,MATCH(G94,周线!$A$5:$A$84,0)-1)),"")</f>
        <v>0</v>
      </c>
      <c r="BV94" s="42" t="n">
        <f aca="false">IF(AND(BS94=1,S94&lt;&gt;-1,V94&lt;0,BO94=1,E94&lt;=H94,E94&gt;=AJ94),1,0)</f>
        <v>0</v>
      </c>
      <c r="BW94" s="42" t="n">
        <f aca="false">BL94</f>
        <v>0</v>
      </c>
      <c r="BX94" s="42" t="n">
        <f aca="false">BQ94</f>
        <v>0</v>
      </c>
      <c r="BY94" s="42" t="n">
        <f aca="false">IF(BS94=1,10,0)+IF(BU94=1,5,IF(BU94=-1,0,3))+IF(BT94=1,5,0)+IF(AND(AE94&gt;AF94,AH94&gt;AH93),5,0)</f>
        <v>13</v>
      </c>
      <c r="BZ94" s="42" t="n">
        <f aca="false">IF(AND(E94&lt;=H94,E94&gt;=I94),10,IF(AND(E94&gt;=AJ94,E94&lt;I94),6,0))+IF(AND(V94&lt;0,BO94=1),8,0)+IF(AT94&lt;30,7,IF(AT94&lt;50,3,0))</f>
        <v>7</v>
      </c>
      <c r="CA94" s="42" t="n">
        <f aca="false">IF(AND(BV94=1,BW94=1),25,IF(BW94=1,22,IF(BV94=1,15,IF(BX94=1,12,0))))</f>
        <v>0</v>
      </c>
      <c r="CB94" s="42" t="n">
        <f aca="false">IF(W94&gt;0,6,0)+IF(F94&lt;BR94,4,0)</f>
        <v>0</v>
      </c>
      <c r="CC94" s="42" t="n">
        <f aca="false">IF(BC94&gt;=3,15,IF(BC94&gt;=p_RRmin,10,IF(BC94&gt;=1.5,4,0)))</f>
        <v>15</v>
      </c>
      <c r="CD94" s="42" t="n">
        <f aca="false">BY94+BZ94+CA94+CB94+CC94</f>
        <v>35</v>
      </c>
      <c r="CE94" s="42" t="n">
        <f aca="false">IF(AND(BS94&lt;&gt;1,BW94+BX94=0),1,0)</f>
        <v>0</v>
      </c>
      <c r="CF94" s="42" t="n">
        <f aca="false">IF(BU94=-1,1,0)</f>
        <v>0</v>
      </c>
      <c r="CG94" s="42" t="n">
        <f aca="false">IF(S94=-1,1,0)</f>
        <v>1</v>
      </c>
      <c r="CH94" s="42" t="n">
        <f aca="false">IF(BV94+BW94+BX94=0,1,0)</f>
        <v>1</v>
      </c>
      <c r="CI94" s="42" t="n">
        <f aca="false">IF(BC94&lt;p_RRmin,1,0)</f>
        <v>0</v>
      </c>
      <c r="CJ94" s="46" t="str">
        <f aca="false">IF(SUM(CE94:CI94)=0,IF(CD94&gt;=p_GradeA,"A",IF(CD94&gt;=p_GradeB,"B","C")),IF(AND(CI94=1,SUM(CE94:CH94)=0,CD94&gt;=p_GradeB),"B","C"))</f>
        <v>C</v>
      </c>
    </row>
    <row r="95" customFormat="false" ht="15" hidden="false" customHeight="false" outlineLevel="0" collapsed="false">
      <c r="A95" s="36" t="n">
        <v>45785</v>
      </c>
      <c r="B95" s="37" t="n">
        <v>22.97</v>
      </c>
      <c r="C95" s="37" t="n">
        <v>23.14</v>
      </c>
      <c r="D95" s="37" t="n">
        <v>22.75</v>
      </c>
      <c r="E95" s="37" t="n">
        <v>22.91</v>
      </c>
      <c r="F95" s="38" t="n">
        <v>3237100</v>
      </c>
      <c r="G95" s="39" t="n">
        <f aca="false">A95-WEEKDAY(A95,3)</f>
        <v>45782</v>
      </c>
      <c r="H95" s="40" t="n">
        <f aca="false">2/(p_EmaF+1)*E95+(1-2/(p_EmaF+1))*H94</f>
        <v>24.4306295611198</v>
      </c>
      <c r="I95" s="40" t="n">
        <f aca="false">2/(p_EmaS+1)*E95+(1-2/(p_EmaS+1))*I94</f>
        <v>24.8326214816123</v>
      </c>
      <c r="J95" s="41" t="n">
        <f aca="false">2/(p_MacdF+1)*E95+(1-2/(p_MacdF+1))*J94</f>
        <v>24.3643421091102</v>
      </c>
      <c r="K95" s="41" t="n">
        <f aca="false">2/(p_MacdS+1)*E95+(1-2/(p_MacdS+1))*K94</f>
        <v>24.8326214816123</v>
      </c>
      <c r="L95" s="41" t="n">
        <f aca="false">J95-K95</f>
        <v>-0.468279372502124</v>
      </c>
      <c r="M95" s="41" t="n">
        <f aca="false">2/(p_MacdSig+1)*L95+(1-2/(p_MacdSig+1))*M94</f>
        <v>-0.144973716608941</v>
      </c>
      <c r="N95" s="41" t="n">
        <f aca="false">L95-M95</f>
        <v>-0.323305655893183</v>
      </c>
      <c r="O95" s="42" t="n">
        <f aca="false">IF(H95&gt;H94,1,0)</f>
        <v>0</v>
      </c>
      <c r="P95" s="42" t="n">
        <f aca="false">IF(H95&lt;H94,1,0)</f>
        <v>1</v>
      </c>
      <c r="Q95" s="42" t="n">
        <f aca="false">IF(N95&gt;N94,1,0)</f>
        <v>0</v>
      </c>
      <c r="R95" s="42" t="n">
        <f aca="false">IF(N95&lt;N94,1,0)</f>
        <v>1</v>
      </c>
      <c r="S95" s="42" t="n">
        <f aca="false">IF(AND(O95=1,Q95=1),1,IF(AND(P95=1,R95=1),-1,0))</f>
        <v>-1</v>
      </c>
      <c r="T95" s="43" t="str">
        <f aca="false">IF(S95=1,"绿",IF(S95=-1,"红","蓝"))</f>
        <v>红</v>
      </c>
      <c r="U95" s="44" t="n">
        <f aca="false">F95*(E95-E94)</f>
        <v>-550306.999999994</v>
      </c>
      <c r="V95" s="44" t="n">
        <f aca="false">2/(p_FiS+1)*U95+(1-2/(p_FiS+1))*V94</f>
        <v>-1761328.58551652</v>
      </c>
      <c r="W95" s="44" t="n">
        <f aca="false">2/(p_FiL+1)*U95+(1-2/(p_FiL+1))*W94</f>
        <v>-1337723.1403937</v>
      </c>
      <c r="X95" s="41" t="n">
        <f aca="false">MAX(C95-D95,ABS(C95-E94),ABS(D95-E94))</f>
        <v>0.390000000000001</v>
      </c>
      <c r="Y95" s="41" t="n">
        <f aca="true">AVERAGE(OFFSET(X95,1-MIN(p_AtrN,ROW()-4),0,MIN(p_AtrN,ROW()-4),1))</f>
        <v>0.554615384615385</v>
      </c>
      <c r="Z95" s="41" t="n">
        <f aca="false">IF(AND(C95-C94&gt;D94-D95,C95-C94&gt;0),C95-C94,0)</f>
        <v>0</v>
      </c>
      <c r="AA95" s="41" t="n">
        <f aca="false">IF(AND(D94-D95&gt;C95-C94,D94-D95&gt;0),D94-D95,0)</f>
        <v>0.120000000000001</v>
      </c>
      <c r="AB95" s="41" t="n">
        <f aca="false">2/(p_AdxN+1)*X95+(1-2/(p_AdxN+1))*AB94</f>
        <v>0.59429185869696</v>
      </c>
      <c r="AC95" s="41" t="n">
        <f aca="false">2/(p_AdxN+1)*Z95+(1-2/(p_AdxN+1))*AC94</f>
        <v>0.0253436759934645</v>
      </c>
      <c r="AD95" s="41" t="n">
        <f aca="false">2/(p_AdxN+1)*AA95+(1-2/(p_AdxN+1))*AD94</f>
        <v>0.266585832904635</v>
      </c>
      <c r="AE95" s="45" t="n">
        <f aca="false">100*AC95/AB95</f>
        <v>4.26451677279121</v>
      </c>
      <c r="AF95" s="45" t="n">
        <f aca="false">100*AD95/AB95</f>
        <v>44.8577292458875</v>
      </c>
      <c r="AG95" s="45" t="n">
        <f aca="false">IFERROR(100*ABS(AE95-AF95)/(AE95+AF95),0)</f>
        <v>82.6371262781037</v>
      </c>
      <c r="AH95" s="45" t="n">
        <f aca="false">2/(p_AdxN+1)*AG95+(1-2/(p_AdxN+1))*AH94</f>
        <v>53.4589249406935</v>
      </c>
      <c r="AI95" s="40" t="n">
        <f aca="false">I95*(1+p_ChPct)</f>
        <v>26.322578770509</v>
      </c>
      <c r="AJ95" s="40" t="n">
        <f aca="false">I95*(1-p_ChPct)</f>
        <v>23.3426641927155</v>
      </c>
      <c r="AK95" s="40" t="n">
        <f aca="false">I95+1*Y95</f>
        <v>25.3872368662277</v>
      </c>
      <c r="AL95" s="40" t="n">
        <f aca="false">I95+2*Y95</f>
        <v>25.9418522508431</v>
      </c>
      <c r="AM95" s="40" t="n">
        <f aca="false">I95+3*Y95</f>
        <v>26.4964676354584</v>
      </c>
      <c r="AN95" s="40" t="n">
        <f aca="false">I95-1*Y95</f>
        <v>24.2780060969969</v>
      </c>
      <c r="AO95" s="40" t="n">
        <f aca="false">I95-2*Y95</f>
        <v>23.7233907123815</v>
      </c>
      <c r="AP95" s="40" t="n">
        <f aca="false">I95-3*Y95</f>
        <v>23.1687753277661</v>
      </c>
      <c r="AQ95" s="40" t="n">
        <f aca="true">MAX(OFFSET(C95,1-MIN(p_StochN,ROW()-4),0,MIN(p_StochN,ROW()-4),1))</f>
        <v>24.97</v>
      </c>
      <c r="AR95" s="40" t="n">
        <f aca="true">MIN(OFFSET(D95,1-MIN(p_StochN,ROW()-4),0,MIN(p_StochN,ROW()-4),1))</f>
        <v>22.75</v>
      </c>
      <c r="AS95" s="45" t="n">
        <f aca="false">IF(AQ95=AR95,50,100*(E95-AR95)/(AQ95-AR95))</f>
        <v>7.20720720720722</v>
      </c>
      <c r="AT95" s="45" t="n">
        <f aca="true">AVERAGE(OFFSET(AS95,1-MIN(p_StochSm,ROW()-4),0,MIN(p_StochSm,ROW()-4),1))</f>
        <v>7.76576576576568</v>
      </c>
      <c r="AU95" s="45" t="n">
        <f aca="true">AVERAGE(OFFSET(AT95,1-MIN(p_StochSm,ROW()-4),0,MIN(p_StochSm,ROW()-4),1))</f>
        <v>9.76605239023387</v>
      </c>
      <c r="AV95" s="41" t="n">
        <f aca="false">MAX(0,H95-D95)</f>
        <v>1.68062956111985</v>
      </c>
      <c r="AW95" s="41" t="n">
        <f aca="true">IF(COUNTIF(OFFSET(AV95,1-MIN(p_PenLb,ROW()-4),0,MIN(p_PenLb,ROW()-4),1),"&gt;0")&gt;0,SUM(OFFSET(AV95,1-MIN(p_PenLb,ROW()-4),0,MIN(p_PenLb,ROW()-4),1))/COUNTIF(OFFSET(AV95,1-MIN(p_PenLb,ROW()-4),0,MIN(p_PenLb,ROW()-4),1),"&gt;0"),0.5*Y95)</f>
        <v>0.724879596076971</v>
      </c>
      <c r="AX95" s="41" t="n">
        <f aca="false">2*H95-H94</f>
        <v>24.1771913009332</v>
      </c>
      <c r="AY95" s="40" t="n">
        <f aca="false">ROUND(MAX(AX95-AW95,0.01),2)</f>
        <v>23.45</v>
      </c>
      <c r="AZ95" s="40" t="n">
        <f aca="true">IF(MIN(p_StopLb,ROW()-4)&lt;2,D95,SMALL(OFFSET(D95,1-MIN(p_StopLb,ROW()-4),0,MIN(p_StopLb,ROW()-4),1),2))</f>
        <v>22.87</v>
      </c>
      <c r="BA95" s="40" t="n">
        <f aca="false">IF(MOD(ROUND(ROUNDDOWN(MIN(AZ95-0.01,AY95-p_StopAtr*Y95),2)*100,0),50)=0,ROUNDDOWN(MIN(AZ95-0.01,AY95-p_StopAtr*Y95),2)-0.01,ROUNDDOWN(MIN(AZ95-0.01,AY95-p_StopAtr*Y95),2))</f>
        <v>22.86</v>
      </c>
      <c r="BB95" s="40" t="n">
        <f aca="false">ROUND(AI95,2)</f>
        <v>26.32</v>
      </c>
      <c r="BC95" s="40" t="n">
        <f aca="false">IF(AY95-BA95&gt;0,(BB95-AY95)/(AY95-BA95),0)</f>
        <v>4.86440677966102</v>
      </c>
      <c r="BD95" s="42" t="n">
        <f aca="false">IF(N95&lt;0,1,0)</f>
        <v>1</v>
      </c>
      <c r="BE95" s="41" t="n">
        <f aca="false">IF(AND(BD95=1,BD94=0),N95,IF(BD95=1,MIN(BE94,N95),BE94))</f>
        <v>-0.323305655893183</v>
      </c>
      <c r="BF95" s="40" t="n">
        <f aca="false">IF(AND(BD95=1,BD94=0),D95,IF(BD95=1,MIN(BF94,D95),BF94))</f>
        <v>22.75</v>
      </c>
      <c r="BG95" s="42" t="n">
        <f aca="false">IF(AND(BD95=1,BD94=0),ROW(),IF(BD95=1,IF(N95&lt;BE94,ROW(),BG94),BG94))</f>
        <v>95</v>
      </c>
      <c r="BH95" s="41" t="n">
        <f aca="false">IF(AND(BD95=1,BD94=0),BE94,BH94)</f>
        <v>-0.267100964273217</v>
      </c>
      <c r="BI95" s="40" t="n">
        <f aca="false">IF(AND(BD95=1,BD94=0),BF94,BI94)</f>
        <v>23.24</v>
      </c>
      <c r="BJ95" s="42" t="n">
        <f aca="false">IF(AND(BD95=1,BD94=0),BG94,BJ94)</f>
        <v>52</v>
      </c>
      <c r="BK95" s="42" t="n">
        <f aca="false">IF(AND(ISNUMBER(BG95),ISNUMBER(BJ95)),BG95-BJ95,"")</f>
        <v>43</v>
      </c>
      <c r="BL95" s="42" t="n">
        <f aca="false">IF(AND(BD95=1,N95&gt;N94,ISNUMBER(BH95),ISNUMBER(BK95)),IF(AND(BE95&gt;BH95,BF95&lt;BI95,BK95&gt;=p_GapMin,BK95&lt;=p_GapMax),1,0),0)</f>
        <v>0</v>
      </c>
      <c r="BM95" s="42" t="n">
        <f aca="false">IF(AND(BL95=1,E95&gt;BI95),1,0)</f>
        <v>0</v>
      </c>
      <c r="BN95" s="42" t="n">
        <f aca="false">IF(BL95=1,IF(BE95&gt;=BH95*0.5,1,0),0)</f>
        <v>0</v>
      </c>
      <c r="BO95" s="42" t="n">
        <f aca="true">IF(V95&gt;MIN(OFFSET(V95,-MIN(p_FiLb-1,ROW()-5),0,MIN(p_FiLb-1,ROW()-5),1)),1,0)</f>
        <v>1</v>
      </c>
      <c r="BP95" s="44" t="n">
        <f aca="true">IF(COUNTIF(OFFSET(V95,1-MIN(100,ROW()-4),0,MIN(100,ROW()-4),1),"&lt;0")&gt;=5,AVERAGEIF(OFFSET(V95,1-MIN(100,ROW()-4),0,MIN(100,ROW()-4),1),"&lt;0"),"")</f>
        <v>-828513.740580714</v>
      </c>
      <c r="BQ95" s="42" t="n">
        <f aca="false">IF(ISNUMBER(BP95),IF(AND(V95&lt;5*BP95,V95&gt;V94,E95&lt;AJ95),1,0),0)</f>
        <v>0</v>
      </c>
      <c r="BR95" s="44" t="n">
        <f aca="true">AVERAGE(OFFSET(F95,1-MIN(5,ROW()-4),0,MIN(5,ROW()-4),1))</f>
        <v>4222600</v>
      </c>
      <c r="BS95" s="42" t="n">
        <f aca="false">IFERROR(IF(MATCH(G95,周线!$A$5:$A$84,0)&lt;=1,"",INDEX(周线!$R$5:$R$84,MATCH(G95,周线!$A$5:$A$84,0)-1)),"")</f>
        <v>1</v>
      </c>
      <c r="BT95" s="42" t="n">
        <f aca="false">IFERROR(IF(MATCH(G95,周线!$A$5:$A$84,0)&lt;=1,"",INDEX(周线!$S$5:$S$84,MATCH(G95,周线!$A$5:$A$84,0)-1)),"")</f>
        <v>0</v>
      </c>
      <c r="BU95" s="42" t="n">
        <f aca="false">IFERROR(IF(MATCH(G95,周线!$A$5:$A$84,0)&lt;=1,"",INDEX(周线!$U$5:$U$84,MATCH(G95,周线!$A$5:$A$84,0)-1)),"")</f>
        <v>0</v>
      </c>
      <c r="BV95" s="42" t="n">
        <f aca="false">IF(AND(BS95=1,S95&lt;&gt;-1,V95&lt;0,BO95=1,E95&lt;=H95,E95&gt;=AJ95),1,0)</f>
        <v>0</v>
      </c>
      <c r="BW95" s="42" t="n">
        <f aca="false">BL95</f>
        <v>0</v>
      </c>
      <c r="BX95" s="42" t="n">
        <f aca="false">BQ95</f>
        <v>0</v>
      </c>
      <c r="BY95" s="42" t="n">
        <f aca="false">IF(BS95=1,10,0)+IF(BU95=1,5,IF(BU95=-1,0,3))+IF(BT95=1,5,0)+IF(AND(AE95&gt;AF95,AH95&gt;AH94),5,0)</f>
        <v>13</v>
      </c>
      <c r="BZ95" s="42" t="n">
        <f aca="false">IF(AND(E95&lt;=H95,E95&gt;=I95),10,IF(AND(E95&gt;=AJ95,E95&lt;I95),6,0))+IF(AND(V95&lt;0,BO95=1),8,0)+IF(AT95&lt;30,7,IF(AT95&lt;50,3,0))</f>
        <v>15</v>
      </c>
      <c r="CA95" s="42" t="n">
        <f aca="false">IF(AND(BV95=1,BW95=1),25,IF(BW95=1,22,IF(BV95=1,15,IF(BX95=1,12,0))))</f>
        <v>0</v>
      </c>
      <c r="CB95" s="42" t="n">
        <f aca="false">IF(W95&gt;0,6,0)+IF(F95&lt;BR95,4,0)</f>
        <v>4</v>
      </c>
      <c r="CC95" s="42" t="n">
        <f aca="false">IF(BC95&gt;=3,15,IF(BC95&gt;=p_RRmin,10,IF(BC95&gt;=1.5,4,0)))</f>
        <v>15</v>
      </c>
      <c r="CD95" s="42" t="n">
        <f aca="false">BY95+BZ95+CA95+CB95+CC95</f>
        <v>47</v>
      </c>
      <c r="CE95" s="42" t="n">
        <f aca="false">IF(AND(BS95&lt;&gt;1,BW95+BX95=0),1,0)</f>
        <v>0</v>
      </c>
      <c r="CF95" s="42" t="n">
        <f aca="false">IF(BU95=-1,1,0)</f>
        <v>0</v>
      </c>
      <c r="CG95" s="42" t="n">
        <f aca="false">IF(S95=-1,1,0)</f>
        <v>1</v>
      </c>
      <c r="CH95" s="42" t="n">
        <f aca="false">IF(BV95+BW95+BX95=0,1,0)</f>
        <v>1</v>
      </c>
      <c r="CI95" s="42" t="n">
        <f aca="false">IF(BC95&lt;p_RRmin,1,0)</f>
        <v>0</v>
      </c>
      <c r="CJ95" s="46" t="str">
        <f aca="false">IF(SUM(CE95:CI95)=0,IF(CD95&gt;=p_GradeA,"A",IF(CD95&gt;=p_GradeB,"B","C")),IF(AND(CI95=1,SUM(CE95:CH95)=0,CD95&gt;=p_GradeB),"B","C"))</f>
        <v>C</v>
      </c>
    </row>
    <row r="96" customFormat="false" ht="15" hidden="false" customHeight="false" outlineLevel="0" collapsed="false">
      <c r="A96" s="36" t="n">
        <v>45786</v>
      </c>
      <c r="B96" s="37" t="n">
        <v>22.78</v>
      </c>
      <c r="C96" s="37" t="n">
        <v>23.05</v>
      </c>
      <c r="D96" s="37" t="n">
        <v>22.36</v>
      </c>
      <c r="E96" s="37" t="n">
        <v>22.48</v>
      </c>
      <c r="F96" s="38" t="n">
        <v>4082700</v>
      </c>
      <c r="G96" s="39" t="n">
        <f aca="false">A96-WEEKDAY(A96,3)</f>
        <v>45782</v>
      </c>
      <c r="H96" s="40" t="n">
        <f aca="false">2/(p_EmaF+1)*E96+(1-2/(p_EmaF+1))*H95</f>
        <v>24.1519681952456</v>
      </c>
      <c r="I96" s="40" t="n">
        <f aca="false">2/(p_EmaS+1)*E96+(1-2/(p_EmaS+1))*I95</f>
        <v>24.6583532237151</v>
      </c>
      <c r="J96" s="41" t="n">
        <f aca="false">2/(p_MacdF+1)*E96+(1-2/(p_MacdF+1))*J95</f>
        <v>24.0744433230932</v>
      </c>
      <c r="K96" s="41" t="n">
        <f aca="false">2/(p_MacdS+1)*E96+(1-2/(p_MacdS+1))*K95</f>
        <v>24.6583532237151</v>
      </c>
      <c r="L96" s="41" t="n">
        <f aca="false">J96-K96</f>
        <v>-0.583909900621865</v>
      </c>
      <c r="M96" s="41" t="n">
        <f aca="false">2/(p_MacdSig+1)*L96+(1-2/(p_MacdSig+1))*M95</f>
        <v>-0.232760953411526</v>
      </c>
      <c r="N96" s="41" t="n">
        <f aca="false">L96-M96</f>
        <v>-0.351148947210339</v>
      </c>
      <c r="O96" s="42" t="n">
        <f aca="false">IF(H96&gt;H95,1,0)</f>
        <v>0</v>
      </c>
      <c r="P96" s="42" t="n">
        <f aca="false">IF(H96&lt;H95,1,0)</f>
        <v>1</v>
      </c>
      <c r="Q96" s="42" t="n">
        <f aca="false">IF(N96&gt;N95,1,0)</f>
        <v>0</v>
      </c>
      <c r="R96" s="42" t="n">
        <f aca="false">IF(N96&lt;N95,1,0)</f>
        <v>1</v>
      </c>
      <c r="S96" s="42" t="n">
        <f aca="false">IF(AND(O96=1,Q96=1),1,IF(AND(P96=1,R96=1),-1,0))</f>
        <v>-1</v>
      </c>
      <c r="T96" s="43" t="str">
        <f aca="false">IF(S96=1,"绿",IF(S96=-1,"红","蓝"))</f>
        <v>红</v>
      </c>
      <c r="U96" s="44" t="n">
        <f aca="false">F96*(E96-E95)</f>
        <v>-1755561</v>
      </c>
      <c r="V96" s="44" t="n">
        <f aca="false">2/(p_FiS+1)*U96+(1-2/(p_FiS+1))*V95</f>
        <v>-1757483.52850551</v>
      </c>
      <c r="W96" s="44" t="n">
        <f aca="false">2/(p_FiL+1)*U96+(1-2/(p_FiL+1))*W95</f>
        <v>-1397414.2631946</v>
      </c>
      <c r="X96" s="41" t="n">
        <f aca="false">MAX(C96-D96,ABS(C96-E95),ABS(D96-E95))</f>
        <v>0.690000000000001</v>
      </c>
      <c r="Y96" s="41" t="n">
        <f aca="true">AVERAGE(OFFSET(X96,1-MIN(p_AtrN,ROW()-4),0,MIN(p_AtrN,ROW()-4),1))</f>
        <v>0.568461538461539</v>
      </c>
      <c r="Z96" s="41" t="n">
        <f aca="false">IF(AND(C96-C95&gt;D95-D96,C96-C95&gt;0),C96-C95,0)</f>
        <v>0</v>
      </c>
      <c r="AA96" s="41" t="n">
        <f aca="false">IF(AND(D95-D96&gt;C96-C95,D95-D96&gt;0),D95-D96,0)</f>
        <v>0.390000000000001</v>
      </c>
      <c r="AB96" s="41" t="n">
        <f aca="false">2/(p_AdxN+1)*X96+(1-2/(p_AdxN+1))*AB95</f>
        <v>0.60796445031168</v>
      </c>
      <c r="AC96" s="41" t="n">
        <f aca="false">2/(p_AdxN+1)*Z96+(1-2/(p_AdxN+1))*AC95</f>
        <v>0.021723150851541</v>
      </c>
      <c r="AD96" s="41" t="n">
        <f aca="false">2/(p_AdxN+1)*AA96+(1-2/(p_AdxN+1))*AD95</f>
        <v>0.284216428203973</v>
      </c>
      <c r="AE96" s="45" t="n">
        <f aca="false">100*AC96/AB96</f>
        <v>3.57309557169081</v>
      </c>
      <c r="AF96" s="45" t="n">
        <f aca="false">100*AD96/AB96</f>
        <v>46.7488564599897</v>
      </c>
      <c r="AG96" s="45" t="n">
        <f aca="false">IFERROR(100*ABS(AE96-AF96)/(AE96+AF96),0)</f>
        <v>85.7990581548135</v>
      </c>
      <c r="AH96" s="45" t="n">
        <f aca="false">2/(p_AdxN+1)*AG96+(1-2/(p_AdxN+1))*AH95</f>
        <v>58.0789439712821</v>
      </c>
      <c r="AI96" s="40" t="n">
        <f aca="false">I96*(1+p_ChPct)</f>
        <v>26.137854417138</v>
      </c>
      <c r="AJ96" s="40" t="n">
        <f aca="false">I96*(1-p_ChPct)</f>
        <v>23.1788520302922</v>
      </c>
      <c r="AK96" s="40" t="n">
        <f aca="false">I96+1*Y96</f>
        <v>25.2268147621766</v>
      </c>
      <c r="AL96" s="40" t="n">
        <f aca="false">I96+2*Y96</f>
        <v>25.7952763006382</v>
      </c>
      <c r="AM96" s="40" t="n">
        <f aca="false">I96+3*Y96</f>
        <v>26.3637378390997</v>
      </c>
      <c r="AN96" s="40" t="n">
        <f aca="false">I96-1*Y96</f>
        <v>24.0898916852535</v>
      </c>
      <c r="AO96" s="40" t="n">
        <f aca="false">I96-2*Y96</f>
        <v>23.521430146792</v>
      </c>
      <c r="AP96" s="40" t="n">
        <f aca="false">I96-3*Y96</f>
        <v>22.9529686083305</v>
      </c>
      <c r="AQ96" s="40" t="n">
        <f aca="true">MAX(OFFSET(C96,1-MIN(p_StochN,ROW()-4),0,MIN(p_StochN,ROW()-4),1))</f>
        <v>24.91</v>
      </c>
      <c r="AR96" s="40" t="n">
        <f aca="true">MIN(OFFSET(D96,1-MIN(p_StochN,ROW()-4),0,MIN(p_StochN,ROW()-4),1))</f>
        <v>22.36</v>
      </c>
      <c r="AS96" s="45" t="n">
        <f aca="false">IF(AQ96=AR96,50,100*(E96-AR96)/(AQ96-AR96))</f>
        <v>4.70588235294121</v>
      </c>
      <c r="AT96" s="45" t="n">
        <f aca="true">AVERAGE(OFFSET(AS96,1-MIN(p_StochSm,ROW()-4),0,MIN(p_StochSm,ROW()-4),1))</f>
        <v>7.08214096449388</v>
      </c>
      <c r="AU96" s="45" t="n">
        <f aca="true">AVERAGE(OFFSET(AT96,1-MIN(p_StochSm,ROW()-4),0,MIN(p_StochSm,ROW()-4),1))</f>
        <v>7.7907298779509</v>
      </c>
      <c r="AV96" s="41" t="n">
        <f aca="false">MAX(0,H96-D96)</f>
        <v>1.79196819524558</v>
      </c>
      <c r="AW96" s="41" t="n">
        <f aca="true">IF(COUNTIF(OFFSET(AV96,1-MIN(p_PenLb,ROW()-4),0,MIN(p_PenLb,ROW()-4),1),"&gt;0")&gt;0,SUM(OFFSET(AV96,1-MIN(p_PenLb,ROW()-4),0,MIN(p_PenLb,ROW()-4),1))/COUNTIF(OFFSET(AV96,1-MIN(p_PenLb,ROW()-4),0,MIN(p_PenLb,ROW()-4),1),"&gt;0"),0.5*Y96)</f>
        <v>0.806406108229975</v>
      </c>
      <c r="AX96" s="41" t="n">
        <f aca="false">2*H96-H95</f>
        <v>23.8733068293713</v>
      </c>
      <c r="AY96" s="40" t="n">
        <f aca="false">ROUND(MAX(AX96-AW96,0.01),2)</f>
        <v>23.07</v>
      </c>
      <c r="AZ96" s="40" t="n">
        <f aca="true">IF(MIN(p_StopLb,ROW()-4)&lt;2,D96,SMALL(OFFSET(D96,1-MIN(p_StopLb,ROW()-4),0,MIN(p_StopLb,ROW()-4),1),2))</f>
        <v>22.75</v>
      </c>
      <c r="BA96" s="40" t="n">
        <f aca="false">IF(MOD(ROUND(ROUNDDOWN(MIN(AZ96-0.01,AY96-p_StopAtr*Y96),2)*100,0),50)=0,ROUNDDOWN(MIN(AZ96-0.01,AY96-p_StopAtr*Y96),2)-0.01,ROUNDDOWN(MIN(AZ96-0.01,AY96-p_StopAtr*Y96),2))</f>
        <v>22.49</v>
      </c>
      <c r="BB96" s="40" t="n">
        <f aca="false">ROUND(AI96,2)</f>
        <v>26.14</v>
      </c>
      <c r="BC96" s="40" t="n">
        <f aca="false">IF(AY96-BA96&gt;0,(BB96-AY96)/(AY96-BA96),0)</f>
        <v>5.29310344827585</v>
      </c>
      <c r="BD96" s="42" t="n">
        <f aca="false">IF(N96&lt;0,1,0)</f>
        <v>1</v>
      </c>
      <c r="BE96" s="41" t="n">
        <f aca="false">IF(AND(BD96=1,BD95=0),N96,IF(BD96=1,MIN(BE95,N96),BE95))</f>
        <v>-0.351148947210339</v>
      </c>
      <c r="BF96" s="40" t="n">
        <f aca="false">IF(AND(BD96=1,BD95=0),D96,IF(BD96=1,MIN(BF95,D96),BF95))</f>
        <v>22.36</v>
      </c>
      <c r="BG96" s="42" t="n">
        <f aca="false">IF(AND(BD96=1,BD95=0),ROW(),IF(BD96=1,IF(N96&lt;BE95,ROW(),BG95),BG95))</f>
        <v>96</v>
      </c>
      <c r="BH96" s="41" t="n">
        <f aca="false">IF(AND(BD96=1,BD95=0),BE95,BH95)</f>
        <v>-0.267100964273217</v>
      </c>
      <c r="BI96" s="40" t="n">
        <f aca="false">IF(AND(BD96=1,BD95=0),BF95,BI95)</f>
        <v>23.24</v>
      </c>
      <c r="BJ96" s="42" t="n">
        <f aca="false">IF(AND(BD96=1,BD95=0),BG95,BJ95)</f>
        <v>52</v>
      </c>
      <c r="BK96" s="42" t="n">
        <f aca="false">IF(AND(ISNUMBER(BG96),ISNUMBER(BJ96)),BG96-BJ96,"")</f>
        <v>44</v>
      </c>
      <c r="BL96" s="42" t="n">
        <f aca="false">IF(AND(BD96=1,N96&gt;N95,ISNUMBER(BH96),ISNUMBER(BK96)),IF(AND(BE96&gt;BH96,BF96&lt;BI96,BK96&gt;=p_GapMin,BK96&lt;=p_GapMax),1,0),0)</f>
        <v>0</v>
      </c>
      <c r="BM96" s="42" t="n">
        <f aca="false">IF(AND(BL96=1,E96&gt;BI96),1,0)</f>
        <v>0</v>
      </c>
      <c r="BN96" s="42" t="n">
        <f aca="false">IF(BL96=1,IF(BE96&gt;=BH96*0.5,1,0),0)</f>
        <v>0</v>
      </c>
      <c r="BO96" s="42" t="n">
        <f aca="true">IF(V96&gt;MIN(OFFSET(V96,-MIN(p_FiLb-1,ROW()-5),0,MIN(p_FiLb-1,ROW()-5),1)),1,0)</f>
        <v>1</v>
      </c>
      <c r="BP96" s="44" t="n">
        <f aca="true">IF(COUNTIF(OFFSET(V96,1-MIN(100,ROW()-4),0,MIN(100,ROW()-4),1),"&lt;0")&gt;=5,AVERAGEIF(OFFSET(V96,1-MIN(100,ROW()-4),0,MIN(100,ROW()-4),1),"&lt;0"),"")</f>
        <v>-851171.540286197</v>
      </c>
      <c r="BQ96" s="42" t="n">
        <f aca="false">IF(ISNUMBER(BP96),IF(AND(V96&lt;5*BP96,V96&gt;V95,E96&lt;AJ96),1,0),0)</f>
        <v>0</v>
      </c>
      <c r="BR96" s="44" t="n">
        <f aca="true">AVERAGE(OFFSET(F96,1-MIN(5,ROW()-4),0,MIN(5,ROW()-4),1))</f>
        <v>4484780</v>
      </c>
      <c r="BS96" s="42" t="n">
        <f aca="false">IFERROR(IF(MATCH(G96,周线!$A$5:$A$84,0)&lt;=1,"",INDEX(周线!$R$5:$R$84,MATCH(G96,周线!$A$5:$A$84,0)-1)),"")</f>
        <v>1</v>
      </c>
      <c r="BT96" s="42" t="n">
        <f aca="false">IFERROR(IF(MATCH(G96,周线!$A$5:$A$84,0)&lt;=1,"",INDEX(周线!$S$5:$S$84,MATCH(G96,周线!$A$5:$A$84,0)-1)),"")</f>
        <v>0</v>
      </c>
      <c r="BU96" s="42" t="n">
        <f aca="false">IFERROR(IF(MATCH(G96,周线!$A$5:$A$84,0)&lt;=1,"",INDEX(周线!$U$5:$U$84,MATCH(G96,周线!$A$5:$A$84,0)-1)),"")</f>
        <v>0</v>
      </c>
      <c r="BV96" s="42" t="n">
        <f aca="false">IF(AND(BS96=1,S96&lt;&gt;-1,V96&lt;0,BO96=1,E96&lt;=H96,E96&gt;=AJ96),1,0)</f>
        <v>0</v>
      </c>
      <c r="BW96" s="42" t="n">
        <f aca="false">BL96</f>
        <v>0</v>
      </c>
      <c r="BX96" s="42" t="n">
        <f aca="false">BQ96</f>
        <v>0</v>
      </c>
      <c r="BY96" s="42" t="n">
        <f aca="false">IF(BS96=1,10,0)+IF(BU96=1,5,IF(BU96=-1,0,3))+IF(BT96=1,5,0)+IF(AND(AE96&gt;AF96,AH96&gt;AH95),5,0)</f>
        <v>13</v>
      </c>
      <c r="BZ96" s="42" t="n">
        <f aca="false">IF(AND(E96&lt;=H96,E96&gt;=I96),10,IF(AND(E96&gt;=AJ96,E96&lt;I96),6,0))+IF(AND(V96&lt;0,BO96=1),8,0)+IF(AT96&lt;30,7,IF(AT96&lt;50,3,0))</f>
        <v>15</v>
      </c>
      <c r="CA96" s="42" t="n">
        <f aca="false">IF(AND(BV96=1,BW96=1),25,IF(BW96=1,22,IF(BV96=1,15,IF(BX96=1,12,0))))</f>
        <v>0</v>
      </c>
      <c r="CB96" s="42" t="n">
        <f aca="false">IF(W96&gt;0,6,0)+IF(F96&lt;BR96,4,0)</f>
        <v>4</v>
      </c>
      <c r="CC96" s="42" t="n">
        <f aca="false">IF(BC96&gt;=3,15,IF(BC96&gt;=p_RRmin,10,IF(BC96&gt;=1.5,4,0)))</f>
        <v>15</v>
      </c>
      <c r="CD96" s="42" t="n">
        <f aca="false">BY96+BZ96+CA96+CB96+CC96</f>
        <v>47</v>
      </c>
      <c r="CE96" s="42" t="n">
        <f aca="false">IF(AND(BS96&lt;&gt;1,BW96+BX96=0),1,0)</f>
        <v>0</v>
      </c>
      <c r="CF96" s="42" t="n">
        <f aca="false">IF(BU96=-1,1,0)</f>
        <v>0</v>
      </c>
      <c r="CG96" s="42" t="n">
        <f aca="false">IF(S96=-1,1,0)</f>
        <v>1</v>
      </c>
      <c r="CH96" s="42" t="n">
        <f aca="false">IF(BV96+BW96+BX96=0,1,0)</f>
        <v>1</v>
      </c>
      <c r="CI96" s="42" t="n">
        <f aca="false">IF(BC96&lt;p_RRmin,1,0)</f>
        <v>0</v>
      </c>
      <c r="CJ96" s="46" t="str">
        <f aca="false">IF(SUM(CE96:CI96)=0,IF(CD96&gt;=p_GradeA,"A",IF(CD96&gt;=p_GradeB,"B","C")),IF(AND(CI96=1,SUM(CE96:CH96)=0,CD96&gt;=p_GradeB),"B","C"))</f>
        <v>C</v>
      </c>
    </row>
    <row r="97" customFormat="false" ht="15" hidden="false" customHeight="false" outlineLevel="0" collapsed="false">
      <c r="A97" s="36" t="n">
        <v>45789</v>
      </c>
      <c r="B97" s="37" t="n">
        <v>22.61</v>
      </c>
      <c r="C97" s="37" t="n">
        <v>22.66</v>
      </c>
      <c r="D97" s="37" t="n">
        <v>22</v>
      </c>
      <c r="E97" s="37" t="n">
        <v>22.09</v>
      </c>
      <c r="F97" s="38" t="n">
        <v>5573500</v>
      </c>
      <c r="G97" s="39" t="n">
        <f aca="false">A97-WEEKDAY(A97,3)</f>
        <v>45789</v>
      </c>
      <c r="H97" s="40" t="n">
        <f aca="false">2/(p_EmaF+1)*E97+(1-2/(p_EmaF+1))*H96</f>
        <v>23.8574013102105</v>
      </c>
      <c r="I97" s="40" t="n">
        <f aca="false">2/(p_EmaS+1)*E97+(1-2/(p_EmaS+1))*I96</f>
        <v>24.4681048367732</v>
      </c>
      <c r="J97" s="41" t="n">
        <f aca="false">2/(p_MacdF+1)*E97+(1-2/(p_MacdF+1))*J96</f>
        <v>23.7691443503096</v>
      </c>
      <c r="K97" s="41" t="n">
        <f aca="false">2/(p_MacdS+1)*E97+(1-2/(p_MacdS+1))*K96</f>
        <v>24.4681048367732</v>
      </c>
      <c r="L97" s="41" t="n">
        <f aca="false">J97-K97</f>
        <v>-0.69896048646358</v>
      </c>
      <c r="M97" s="41" t="n">
        <f aca="false">2/(p_MacdSig+1)*L97+(1-2/(p_MacdSig+1))*M96</f>
        <v>-0.326000860021937</v>
      </c>
      <c r="N97" s="41" t="n">
        <f aca="false">L97-M97</f>
        <v>-0.372959626441643</v>
      </c>
      <c r="O97" s="42" t="n">
        <f aca="false">IF(H97&gt;H96,1,0)</f>
        <v>0</v>
      </c>
      <c r="P97" s="42" t="n">
        <f aca="false">IF(H97&lt;H96,1,0)</f>
        <v>1</v>
      </c>
      <c r="Q97" s="42" t="n">
        <f aca="false">IF(N97&gt;N96,1,0)</f>
        <v>0</v>
      </c>
      <c r="R97" s="42" t="n">
        <f aca="false">IF(N97&lt;N96,1,0)</f>
        <v>1</v>
      </c>
      <c r="S97" s="42" t="n">
        <f aca="false">IF(AND(O97=1,Q97=1),1,IF(AND(P97=1,R97=1),-1,0))</f>
        <v>-1</v>
      </c>
      <c r="T97" s="43" t="str">
        <f aca="false">IF(S97=1,"绿",IF(S97=-1,"红","蓝"))</f>
        <v>红</v>
      </c>
      <c r="U97" s="44" t="n">
        <f aca="false">F97*(E97-E96)</f>
        <v>-2173665</v>
      </c>
      <c r="V97" s="44" t="n">
        <f aca="false">2/(p_FiS+1)*U97+(1-2/(p_FiS+1))*V96</f>
        <v>-2034937.84283517</v>
      </c>
      <c r="W97" s="44" t="n">
        <f aca="false">2/(p_FiL+1)*U97+(1-2/(p_FiL+1))*W96</f>
        <v>-1508307.22559537</v>
      </c>
      <c r="X97" s="41" t="n">
        <f aca="false">MAX(C97-D97,ABS(C97-E96),ABS(D97-E96))</f>
        <v>0.66</v>
      </c>
      <c r="Y97" s="41" t="n">
        <f aca="true">AVERAGE(OFFSET(X97,1-MIN(p_AtrN,ROW()-4),0,MIN(p_AtrN,ROW()-4),1))</f>
        <v>0.573076923076923</v>
      </c>
      <c r="Z97" s="41" t="n">
        <f aca="false">IF(AND(C97-C96&gt;D96-D97,C97-C96&gt;0),C97-C96,0)</f>
        <v>0</v>
      </c>
      <c r="AA97" s="41" t="n">
        <f aca="false">IF(AND(D96-D97&gt;C97-C96,D96-D97&gt;0),D96-D97,0)</f>
        <v>0.359999999999999</v>
      </c>
      <c r="AB97" s="41" t="n">
        <f aca="false">2/(p_AdxN+1)*X97+(1-2/(p_AdxN+1))*AB96</f>
        <v>0.615398100267155</v>
      </c>
      <c r="AC97" s="41" t="n">
        <f aca="false">2/(p_AdxN+1)*Z97+(1-2/(p_AdxN+1))*AC96</f>
        <v>0.0186198435870351</v>
      </c>
      <c r="AD97" s="41" t="n">
        <f aca="false">2/(p_AdxN+1)*AA97+(1-2/(p_AdxN+1))*AD96</f>
        <v>0.295042652746262</v>
      </c>
      <c r="AE97" s="45" t="n">
        <f aca="false">100*AC97/AB97</f>
        <v>3.02565828184259</v>
      </c>
      <c r="AF97" s="45" t="n">
        <f aca="false">100*AD97/AB97</f>
        <v>47.9433804911291</v>
      </c>
      <c r="AG97" s="45" t="n">
        <f aca="false">IFERROR(100*ABS(AE97-AF97)/(AE97+AF97),0)</f>
        <v>88.1274657922446</v>
      </c>
      <c r="AH97" s="45" t="n">
        <f aca="false">2/(p_AdxN+1)*AG97+(1-2/(p_AdxN+1))*AH96</f>
        <v>62.3715899457053</v>
      </c>
      <c r="AI97" s="40" t="n">
        <f aca="false">I97*(1+p_ChPct)</f>
        <v>25.9361911269796</v>
      </c>
      <c r="AJ97" s="40" t="n">
        <f aca="false">I97*(1-p_ChPct)</f>
        <v>23.0000185465668</v>
      </c>
      <c r="AK97" s="40" t="n">
        <f aca="false">I97+1*Y97</f>
        <v>25.0411817598501</v>
      </c>
      <c r="AL97" s="40" t="n">
        <f aca="false">I97+2*Y97</f>
        <v>25.6142586829271</v>
      </c>
      <c r="AM97" s="40" t="n">
        <f aca="false">I97+3*Y97</f>
        <v>26.187335606004</v>
      </c>
      <c r="AN97" s="40" t="n">
        <f aca="false">I97-1*Y97</f>
        <v>23.8950279136963</v>
      </c>
      <c r="AO97" s="40" t="n">
        <f aca="false">I97-2*Y97</f>
        <v>23.3219509906194</v>
      </c>
      <c r="AP97" s="40" t="n">
        <f aca="false">I97-3*Y97</f>
        <v>22.7488740675425</v>
      </c>
      <c r="AQ97" s="40" t="n">
        <f aca="true">MAX(OFFSET(C97,1-MIN(p_StochN,ROW()-4),0,MIN(p_StochN,ROW()-4),1))</f>
        <v>24.25</v>
      </c>
      <c r="AR97" s="40" t="n">
        <f aca="true">MIN(OFFSET(D97,1-MIN(p_StochN,ROW()-4),0,MIN(p_StochN,ROW()-4),1))</f>
        <v>22</v>
      </c>
      <c r="AS97" s="45" t="n">
        <f aca="false">IF(AQ97=AR97,50,100*(E97-AR97)/(AQ97-AR97))</f>
        <v>3.99999999999999</v>
      </c>
      <c r="AT97" s="45" t="n">
        <f aca="true">AVERAGE(OFFSET(AS97,1-MIN(p_StochSm,ROW()-4),0,MIN(p_StochSm,ROW()-4),1))</f>
        <v>5.30436318671614</v>
      </c>
      <c r="AU97" s="45" t="n">
        <f aca="true">AVERAGE(OFFSET(AT97,1-MIN(p_StochSm,ROW()-4),0,MIN(p_StochSm,ROW()-4),1))</f>
        <v>6.71742330565857</v>
      </c>
      <c r="AV97" s="41" t="n">
        <f aca="false">MAX(0,H97-D97)</f>
        <v>1.8574013102105</v>
      </c>
      <c r="AW97" s="41" t="n">
        <f aca="true">IF(COUNTIF(OFFSET(AV97,1-MIN(p_PenLb,ROW()-4),0,MIN(p_PenLb,ROW()-4),1),"&gt;0")&gt;0,SUM(OFFSET(AV97,1-MIN(p_PenLb,ROW()-4),0,MIN(p_PenLb,ROW()-4),1))/COUNTIF(OFFSET(AV97,1-MIN(p_PenLb,ROW()-4),0,MIN(p_PenLb,ROW()-4),1),"&gt;0"),0.5*Y97)</f>
        <v>0.889218306616759</v>
      </c>
      <c r="AX97" s="41" t="n">
        <f aca="false">2*H97-H96</f>
        <v>23.5628344251754</v>
      </c>
      <c r="AY97" s="40" t="n">
        <f aca="false">ROUND(MAX(AX97-AW97,0.01),2)</f>
        <v>22.67</v>
      </c>
      <c r="AZ97" s="40" t="n">
        <f aca="true">IF(MIN(p_StopLb,ROW()-4)&lt;2,D97,SMALL(OFFSET(D97,1-MIN(p_StopLb,ROW()-4),0,MIN(p_StopLb,ROW()-4),1),2))</f>
        <v>22.36</v>
      </c>
      <c r="BA97" s="40" t="n">
        <f aca="false">IF(MOD(ROUND(ROUNDDOWN(MIN(AZ97-0.01,AY97-p_StopAtr*Y97),2)*100,0),50)=0,ROUNDDOWN(MIN(AZ97-0.01,AY97-p_StopAtr*Y97),2)-0.01,ROUNDDOWN(MIN(AZ97-0.01,AY97-p_StopAtr*Y97),2))</f>
        <v>22.09</v>
      </c>
      <c r="BB97" s="40" t="n">
        <f aca="false">ROUND(AI97,2)</f>
        <v>25.94</v>
      </c>
      <c r="BC97" s="40" t="n">
        <f aca="false">IF(AY97-BA97&gt;0,(BB97-AY97)/(AY97-BA97),0)</f>
        <v>5.63793103448274</v>
      </c>
      <c r="BD97" s="42" t="n">
        <f aca="false">IF(N97&lt;0,1,0)</f>
        <v>1</v>
      </c>
      <c r="BE97" s="41" t="n">
        <f aca="false">IF(AND(BD97=1,BD96=0),N97,IF(BD97=1,MIN(BE96,N97),BE96))</f>
        <v>-0.372959626441643</v>
      </c>
      <c r="BF97" s="40" t="n">
        <f aca="false">IF(AND(BD97=1,BD96=0),D97,IF(BD97=1,MIN(BF96,D97),BF96))</f>
        <v>22</v>
      </c>
      <c r="BG97" s="42" t="n">
        <f aca="false">IF(AND(BD97=1,BD96=0),ROW(),IF(BD97=1,IF(N97&lt;BE96,ROW(),BG96),BG96))</f>
        <v>97</v>
      </c>
      <c r="BH97" s="41" t="n">
        <f aca="false">IF(AND(BD97=1,BD96=0),BE96,BH96)</f>
        <v>-0.267100964273217</v>
      </c>
      <c r="BI97" s="40" t="n">
        <f aca="false">IF(AND(BD97=1,BD96=0),BF96,BI96)</f>
        <v>23.24</v>
      </c>
      <c r="BJ97" s="42" t="n">
        <f aca="false">IF(AND(BD97=1,BD96=0),BG96,BJ96)</f>
        <v>52</v>
      </c>
      <c r="BK97" s="42" t="n">
        <f aca="false">IF(AND(ISNUMBER(BG97),ISNUMBER(BJ97)),BG97-BJ97,"")</f>
        <v>45</v>
      </c>
      <c r="BL97" s="42" t="n">
        <f aca="false">IF(AND(BD97=1,N97&gt;N96,ISNUMBER(BH97),ISNUMBER(BK97)),IF(AND(BE97&gt;BH97,BF97&lt;BI97,BK97&gt;=p_GapMin,BK97&lt;=p_GapMax),1,0),0)</f>
        <v>0</v>
      </c>
      <c r="BM97" s="42" t="n">
        <f aca="false">IF(AND(BL97=1,E97&gt;BI97),1,0)</f>
        <v>0</v>
      </c>
      <c r="BN97" s="42" t="n">
        <f aca="false">IF(BL97=1,IF(BE97&gt;=BH97*0.5,1,0),0)</f>
        <v>0</v>
      </c>
      <c r="BO97" s="42" t="n">
        <f aca="true">IF(V97&gt;MIN(OFFSET(V97,-MIN(p_FiLb-1,ROW()-5),0,MIN(p_FiLb-1,ROW()-5),1)),1,0)</f>
        <v>1</v>
      </c>
      <c r="BP97" s="44" t="n">
        <f aca="true">IF(COUNTIF(OFFSET(V97,1-MIN(100,ROW()-4),0,MIN(100,ROW()-4),1),"&lt;0")&gt;=5,AVERAGEIF(OFFSET(V97,1-MIN(100,ROW()-4),0,MIN(100,ROW()-4),1),"&lt;0"),"")</f>
        <v>-879356.452251649</v>
      </c>
      <c r="BQ97" s="42" t="n">
        <f aca="false">IF(ISNUMBER(BP97),IF(AND(V97&lt;5*BP97,V97&gt;V96,E97&lt;AJ97),1,0),0)</f>
        <v>0</v>
      </c>
      <c r="BR97" s="44" t="n">
        <f aca="true">AVERAGE(OFFSET(F97,1-MIN(5,ROW()-4),0,MIN(5,ROW()-4),1))</f>
        <v>4607980</v>
      </c>
      <c r="BS97" s="42" t="n">
        <f aca="false">IFERROR(IF(MATCH(G97,周线!$A$5:$A$84,0)&lt;=1,"",INDEX(周线!$R$5:$R$84,MATCH(G97,周线!$A$5:$A$84,0)-1)),"")</f>
        <v>0</v>
      </c>
      <c r="BT97" s="42" t="n">
        <f aca="false">IFERROR(IF(MATCH(G97,周线!$A$5:$A$84,0)&lt;=1,"",INDEX(周线!$S$5:$S$84,MATCH(G97,周线!$A$5:$A$84,0)-1)),"")</f>
        <v>0</v>
      </c>
      <c r="BU97" s="42" t="n">
        <f aca="false">IFERROR(IF(MATCH(G97,周线!$A$5:$A$84,0)&lt;=1,"",INDEX(周线!$U$5:$U$84,MATCH(G97,周线!$A$5:$A$84,0)-1)),"")</f>
        <v>-1</v>
      </c>
      <c r="BV97" s="42" t="n">
        <f aca="false">IF(AND(BS97=1,S97&lt;&gt;-1,V97&lt;0,BO97=1,E97&lt;=H97,E97&gt;=AJ97),1,0)</f>
        <v>0</v>
      </c>
      <c r="BW97" s="42" t="n">
        <f aca="false">BL97</f>
        <v>0</v>
      </c>
      <c r="BX97" s="42" t="n">
        <f aca="false">BQ97</f>
        <v>0</v>
      </c>
      <c r="BY97" s="42" t="n">
        <f aca="false">IF(BS97=1,10,0)+IF(BU97=1,5,IF(BU97=-1,0,3))+IF(BT97=1,5,0)+IF(AND(AE97&gt;AF97,AH97&gt;AH96),5,0)</f>
        <v>0</v>
      </c>
      <c r="BZ97" s="42" t="n">
        <f aca="false">IF(AND(E97&lt;=H97,E97&gt;=I97),10,IF(AND(E97&gt;=AJ97,E97&lt;I97),6,0))+IF(AND(V97&lt;0,BO97=1),8,0)+IF(AT97&lt;30,7,IF(AT97&lt;50,3,0))</f>
        <v>15</v>
      </c>
      <c r="CA97" s="42" t="n">
        <f aca="false">IF(AND(BV97=1,BW97=1),25,IF(BW97=1,22,IF(BV97=1,15,IF(BX97=1,12,0))))</f>
        <v>0</v>
      </c>
      <c r="CB97" s="42" t="n">
        <f aca="false">IF(W97&gt;0,6,0)+IF(F97&lt;BR97,4,0)</f>
        <v>0</v>
      </c>
      <c r="CC97" s="42" t="n">
        <f aca="false">IF(BC97&gt;=3,15,IF(BC97&gt;=p_RRmin,10,IF(BC97&gt;=1.5,4,0)))</f>
        <v>15</v>
      </c>
      <c r="CD97" s="42" t="n">
        <f aca="false">BY97+BZ97+CA97+CB97+CC97</f>
        <v>30</v>
      </c>
      <c r="CE97" s="42" t="n">
        <f aca="false">IF(AND(BS97&lt;&gt;1,BW97+BX97=0),1,0)</f>
        <v>1</v>
      </c>
      <c r="CF97" s="42" t="n">
        <f aca="false">IF(BU97=-1,1,0)</f>
        <v>1</v>
      </c>
      <c r="CG97" s="42" t="n">
        <f aca="false">IF(S97=-1,1,0)</f>
        <v>1</v>
      </c>
      <c r="CH97" s="42" t="n">
        <f aca="false">IF(BV97+BW97+BX97=0,1,0)</f>
        <v>1</v>
      </c>
      <c r="CI97" s="42" t="n">
        <f aca="false">IF(BC97&lt;p_RRmin,1,0)</f>
        <v>0</v>
      </c>
      <c r="CJ97" s="46" t="str">
        <f aca="false">IF(SUM(CE97:CI97)=0,IF(CD97&gt;=p_GradeA,"A",IF(CD97&gt;=p_GradeB,"B","C")),IF(AND(CI97=1,SUM(CE97:CH97)=0,CD97&gt;=p_GradeB),"B","C"))</f>
        <v>C</v>
      </c>
    </row>
    <row r="98" customFormat="false" ht="15" hidden="false" customHeight="false" outlineLevel="0" collapsed="false">
      <c r="A98" s="36" t="n">
        <v>45790</v>
      </c>
      <c r="B98" s="37" t="n">
        <v>22.15</v>
      </c>
      <c r="C98" s="37" t="n">
        <v>22.21</v>
      </c>
      <c r="D98" s="37" t="n">
        <v>21.55</v>
      </c>
      <c r="E98" s="37" t="n">
        <v>21.64</v>
      </c>
      <c r="F98" s="38" t="n">
        <v>5667900</v>
      </c>
      <c r="G98" s="39" t="n">
        <f aca="false">A98-WEEKDAY(A98,3)</f>
        <v>45789</v>
      </c>
      <c r="H98" s="40" t="n">
        <f aca="false">2/(p_EmaF+1)*E98+(1-2/(p_EmaF+1))*H97</f>
        <v>23.5406296944661</v>
      </c>
      <c r="I98" s="40" t="n">
        <f aca="false">2/(p_EmaS+1)*E98+(1-2/(p_EmaS+1))*I97</f>
        <v>24.2586155896048</v>
      </c>
      <c r="J98" s="41" t="n">
        <f aca="false">2/(p_MacdF+1)*E98+(1-2/(p_MacdF+1))*J97</f>
        <v>23.4415836810312</v>
      </c>
      <c r="K98" s="41" t="n">
        <f aca="false">2/(p_MacdS+1)*E98+(1-2/(p_MacdS+1))*K97</f>
        <v>24.2586155896048</v>
      </c>
      <c r="L98" s="41" t="n">
        <f aca="false">J98-K98</f>
        <v>-0.8170319085736</v>
      </c>
      <c r="M98" s="41" t="n">
        <f aca="false">2/(p_MacdSig+1)*L98+(1-2/(p_MacdSig+1))*M97</f>
        <v>-0.42420706973227</v>
      </c>
      <c r="N98" s="41" t="n">
        <f aca="false">L98-M98</f>
        <v>-0.392824838841331</v>
      </c>
      <c r="O98" s="42" t="n">
        <f aca="false">IF(H98&gt;H97,1,0)</f>
        <v>0</v>
      </c>
      <c r="P98" s="42" t="n">
        <f aca="false">IF(H98&lt;H97,1,0)</f>
        <v>1</v>
      </c>
      <c r="Q98" s="42" t="n">
        <f aca="false">IF(N98&gt;N97,1,0)</f>
        <v>0</v>
      </c>
      <c r="R98" s="42" t="n">
        <f aca="false">IF(N98&lt;N97,1,0)</f>
        <v>1</v>
      </c>
      <c r="S98" s="42" t="n">
        <f aca="false">IF(AND(O98=1,Q98=1),1,IF(AND(P98=1,R98=1),-1,0))</f>
        <v>-1</v>
      </c>
      <c r="T98" s="43" t="str">
        <f aca="false">IF(S98=1,"绿",IF(S98=-1,"红","蓝"))</f>
        <v>红</v>
      </c>
      <c r="U98" s="44" t="n">
        <f aca="false">F98*(E98-E97)</f>
        <v>-2550555</v>
      </c>
      <c r="V98" s="44" t="n">
        <f aca="false">2/(p_FiS+1)*U98+(1-2/(p_FiS+1))*V97</f>
        <v>-2378682.61427839</v>
      </c>
      <c r="W98" s="44" t="n">
        <f aca="false">2/(p_FiL+1)*U98+(1-2/(p_FiL+1))*W97</f>
        <v>-1657199.76479603</v>
      </c>
      <c r="X98" s="41" t="n">
        <f aca="false">MAX(C98-D98,ABS(C98-E97),ABS(D98-E97))</f>
        <v>0.66</v>
      </c>
      <c r="Y98" s="41" t="n">
        <f aca="true">AVERAGE(OFFSET(X98,1-MIN(p_AtrN,ROW()-4),0,MIN(p_AtrN,ROW()-4),1))</f>
        <v>0.579230769230769</v>
      </c>
      <c r="Z98" s="41" t="n">
        <f aca="false">IF(AND(C98-C97&gt;D97-D98,C98-C97&gt;0),C98-C97,0)</f>
        <v>0</v>
      </c>
      <c r="AA98" s="41" t="n">
        <f aca="false">IF(AND(D97-D98&gt;C98-C97,D97-D98&gt;0),D97-D98,0)</f>
        <v>0.449999999999999</v>
      </c>
      <c r="AB98" s="41" t="n">
        <f aca="false">2/(p_AdxN+1)*X98+(1-2/(p_AdxN+1))*AB97</f>
        <v>0.62176980022899</v>
      </c>
      <c r="AC98" s="41" t="n">
        <f aca="false">2/(p_AdxN+1)*Z98+(1-2/(p_AdxN+1))*AC97</f>
        <v>0.0159598659317444</v>
      </c>
      <c r="AD98" s="41" t="n">
        <f aca="false">2/(p_AdxN+1)*AA98+(1-2/(p_AdxN+1))*AD97</f>
        <v>0.317179416639653</v>
      </c>
      <c r="AE98" s="45" t="n">
        <f aca="false">100*AC98/AB98</f>
        <v>2.56684482357725</v>
      </c>
      <c r="AF98" s="45" t="n">
        <f aca="false">100*AD98/AB98</f>
        <v>51.0123548173038</v>
      </c>
      <c r="AG98" s="45" t="n">
        <f aca="false">IFERROR(100*ABS(AE98-AF98)/(AE98+AF98),0)</f>
        <v>90.4185025503116</v>
      </c>
      <c r="AH98" s="45" t="n">
        <f aca="false">2/(p_AdxN+1)*AG98+(1-2/(p_AdxN+1))*AH97</f>
        <v>66.3782917463634</v>
      </c>
      <c r="AI98" s="40" t="n">
        <f aca="false">I98*(1+p_ChPct)</f>
        <v>25.7141325249811</v>
      </c>
      <c r="AJ98" s="40" t="n">
        <f aca="false">I98*(1-p_ChPct)</f>
        <v>22.8030986542285</v>
      </c>
      <c r="AK98" s="40" t="n">
        <f aca="false">I98+1*Y98</f>
        <v>24.8378463588356</v>
      </c>
      <c r="AL98" s="40" t="n">
        <f aca="false">I98+2*Y98</f>
        <v>25.4170771280664</v>
      </c>
      <c r="AM98" s="40" t="n">
        <f aca="false">I98+3*Y98</f>
        <v>25.9963078972971</v>
      </c>
      <c r="AN98" s="40" t="n">
        <f aca="false">I98-1*Y98</f>
        <v>23.6793848203741</v>
      </c>
      <c r="AO98" s="40" t="n">
        <f aca="false">I98-2*Y98</f>
        <v>23.1001540511433</v>
      </c>
      <c r="AP98" s="40" t="n">
        <f aca="false">I98-3*Y98</f>
        <v>22.5209232819125</v>
      </c>
      <c r="AQ98" s="40" t="n">
        <f aca="true">MAX(OFFSET(C98,1-MIN(p_StochN,ROW()-4),0,MIN(p_StochN,ROW()-4),1))</f>
        <v>24.04</v>
      </c>
      <c r="AR98" s="40" t="n">
        <f aca="true">MIN(OFFSET(D98,1-MIN(p_StochN,ROW()-4),0,MIN(p_StochN,ROW()-4),1))</f>
        <v>21.55</v>
      </c>
      <c r="AS98" s="45" t="n">
        <f aca="false">IF(AQ98=AR98,50,100*(E98-AR98)/(AQ98-AR98))</f>
        <v>3.6144578313253</v>
      </c>
      <c r="AT98" s="45" t="n">
        <f aca="true">AVERAGE(OFFSET(AS98,1-MIN(p_StochSm,ROW()-4),0,MIN(p_StochSm,ROW()-4),1))</f>
        <v>4.10678006142217</v>
      </c>
      <c r="AU98" s="45" t="n">
        <f aca="true">AVERAGE(OFFSET(AT98,1-MIN(p_StochSm,ROW()-4),0,MIN(p_StochSm,ROW()-4),1))</f>
        <v>5.49776140421073</v>
      </c>
      <c r="AV98" s="41" t="n">
        <f aca="false">MAX(0,H98-D98)</f>
        <v>1.99062969446615</v>
      </c>
      <c r="AW98" s="41" t="n">
        <f aca="true">IF(COUNTIF(OFFSET(AV98,1-MIN(p_PenLb,ROW()-4),0,MIN(p_PenLb,ROW()-4),1),"&gt;0")&gt;0,SUM(OFFSET(AV98,1-MIN(p_PenLb,ROW()-4),0,MIN(p_PenLb,ROW()-4),1))/COUNTIF(OFFSET(AV98,1-MIN(p_PenLb,ROW()-4),0,MIN(p_PenLb,ROW()-4),1),"&gt;0"),0.5*Y98)</f>
        <v>0.944288876009229</v>
      </c>
      <c r="AX98" s="41" t="n">
        <f aca="false">2*H98-H97</f>
        <v>23.2238580787218</v>
      </c>
      <c r="AY98" s="40" t="n">
        <f aca="false">ROUND(MAX(AX98-AW98,0.01),2)</f>
        <v>22.28</v>
      </c>
      <c r="AZ98" s="40" t="n">
        <f aca="true">IF(MIN(p_StopLb,ROW()-4)&lt;2,D98,SMALL(OFFSET(D98,1-MIN(p_StopLb,ROW()-4),0,MIN(p_StopLb,ROW()-4),1),2))</f>
        <v>22</v>
      </c>
      <c r="BA98" s="40" t="n">
        <f aca="false">IF(MOD(ROUND(ROUNDDOWN(MIN(AZ98-0.01,AY98-p_StopAtr*Y98),2)*100,0),50)=0,ROUNDDOWN(MIN(AZ98-0.01,AY98-p_StopAtr*Y98),2)-0.01,ROUNDDOWN(MIN(AZ98-0.01,AY98-p_StopAtr*Y98),2))</f>
        <v>21.7</v>
      </c>
      <c r="BB98" s="40" t="n">
        <f aca="false">ROUND(AI98,2)</f>
        <v>25.71</v>
      </c>
      <c r="BC98" s="40" t="n">
        <f aca="false">IF(AY98-BA98&gt;0,(BB98-AY98)/(AY98-BA98),0)</f>
        <v>5.91379310344826</v>
      </c>
      <c r="BD98" s="42" t="n">
        <f aca="false">IF(N98&lt;0,1,0)</f>
        <v>1</v>
      </c>
      <c r="BE98" s="41" t="n">
        <f aca="false">IF(AND(BD98=1,BD97=0),N98,IF(BD98=1,MIN(BE97,N98),BE97))</f>
        <v>-0.392824838841331</v>
      </c>
      <c r="BF98" s="40" t="n">
        <f aca="false">IF(AND(BD98=1,BD97=0),D98,IF(BD98=1,MIN(BF97,D98),BF97))</f>
        <v>21.55</v>
      </c>
      <c r="BG98" s="42" t="n">
        <f aca="false">IF(AND(BD98=1,BD97=0),ROW(),IF(BD98=1,IF(N98&lt;BE97,ROW(),BG97),BG97))</f>
        <v>98</v>
      </c>
      <c r="BH98" s="41" t="n">
        <f aca="false">IF(AND(BD98=1,BD97=0),BE97,BH97)</f>
        <v>-0.267100964273217</v>
      </c>
      <c r="BI98" s="40" t="n">
        <f aca="false">IF(AND(BD98=1,BD97=0),BF97,BI97)</f>
        <v>23.24</v>
      </c>
      <c r="BJ98" s="42" t="n">
        <f aca="false">IF(AND(BD98=1,BD97=0),BG97,BJ97)</f>
        <v>52</v>
      </c>
      <c r="BK98" s="42" t="n">
        <f aca="false">IF(AND(ISNUMBER(BG98),ISNUMBER(BJ98)),BG98-BJ98,"")</f>
        <v>46</v>
      </c>
      <c r="BL98" s="42" t="n">
        <f aca="false">IF(AND(BD98=1,N98&gt;N97,ISNUMBER(BH98),ISNUMBER(BK98)),IF(AND(BE98&gt;BH98,BF98&lt;BI98,BK98&gt;=p_GapMin,BK98&lt;=p_GapMax),1,0),0)</f>
        <v>0</v>
      </c>
      <c r="BM98" s="42" t="n">
        <f aca="false">IF(AND(BL98=1,E98&gt;BI98),1,0)</f>
        <v>0</v>
      </c>
      <c r="BN98" s="42" t="n">
        <f aca="false">IF(BL98=1,IF(BE98&gt;=BH98*0.5,1,0),0)</f>
        <v>0</v>
      </c>
      <c r="BO98" s="42" t="n">
        <f aca="true">IF(V98&gt;MIN(OFFSET(V98,-MIN(p_FiLb-1,ROW()-5),0,MIN(p_FiLb-1,ROW()-5),1)),1,0)</f>
        <v>1</v>
      </c>
      <c r="BP98" s="44" t="n">
        <f aca="true">IF(COUNTIF(OFFSET(V98,1-MIN(100,ROW()-4),0,MIN(100,ROW()-4),1),"&lt;0")&gt;=5,AVERAGEIF(OFFSET(V98,1-MIN(100,ROW()-4),0,MIN(100,ROW()-4),1),"&lt;0"),"")</f>
        <v>-914224.50253134</v>
      </c>
      <c r="BQ98" s="42" t="n">
        <f aca="false">IF(ISNUMBER(BP98),IF(AND(V98&lt;5*BP98,V98&gt;V97,E98&lt;AJ98),1,0),0)</f>
        <v>0</v>
      </c>
      <c r="BR98" s="44" t="n">
        <f aca="true">AVERAGE(OFFSET(F98,1-MIN(5,ROW()-4),0,MIN(5,ROW()-4),1))</f>
        <v>5070120</v>
      </c>
      <c r="BS98" s="42" t="n">
        <f aca="false">IFERROR(IF(MATCH(G98,周线!$A$5:$A$84,0)&lt;=1,"",INDEX(周线!$R$5:$R$84,MATCH(G98,周线!$A$5:$A$84,0)-1)),"")</f>
        <v>0</v>
      </c>
      <c r="BT98" s="42" t="n">
        <f aca="false">IFERROR(IF(MATCH(G98,周线!$A$5:$A$84,0)&lt;=1,"",INDEX(周线!$S$5:$S$84,MATCH(G98,周线!$A$5:$A$84,0)-1)),"")</f>
        <v>0</v>
      </c>
      <c r="BU98" s="42" t="n">
        <f aca="false">IFERROR(IF(MATCH(G98,周线!$A$5:$A$84,0)&lt;=1,"",INDEX(周线!$U$5:$U$84,MATCH(G98,周线!$A$5:$A$84,0)-1)),"")</f>
        <v>-1</v>
      </c>
      <c r="BV98" s="42" t="n">
        <f aca="false">IF(AND(BS98=1,S98&lt;&gt;-1,V98&lt;0,BO98=1,E98&lt;=H98,E98&gt;=AJ98),1,0)</f>
        <v>0</v>
      </c>
      <c r="BW98" s="42" t="n">
        <f aca="false">BL98</f>
        <v>0</v>
      </c>
      <c r="BX98" s="42" t="n">
        <f aca="false">BQ98</f>
        <v>0</v>
      </c>
      <c r="BY98" s="42" t="n">
        <f aca="false">IF(BS98=1,10,0)+IF(BU98=1,5,IF(BU98=-1,0,3))+IF(BT98=1,5,0)+IF(AND(AE98&gt;AF98,AH98&gt;AH97),5,0)</f>
        <v>0</v>
      </c>
      <c r="BZ98" s="42" t="n">
        <f aca="false">IF(AND(E98&lt;=H98,E98&gt;=I98),10,IF(AND(E98&gt;=AJ98,E98&lt;I98),6,0))+IF(AND(V98&lt;0,BO98=1),8,0)+IF(AT98&lt;30,7,IF(AT98&lt;50,3,0))</f>
        <v>15</v>
      </c>
      <c r="CA98" s="42" t="n">
        <f aca="false">IF(AND(BV98=1,BW98=1),25,IF(BW98=1,22,IF(BV98=1,15,IF(BX98=1,12,0))))</f>
        <v>0</v>
      </c>
      <c r="CB98" s="42" t="n">
        <f aca="false">IF(W98&gt;0,6,0)+IF(F98&lt;BR98,4,0)</f>
        <v>0</v>
      </c>
      <c r="CC98" s="42" t="n">
        <f aca="false">IF(BC98&gt;=3,15,IF(BC98&gt;=p_RRmin,10,IF(BC98&gt;=1.5,4,0)))</f>
        <v>15</v>
      </c>
      <c r="CD98" s="42" t="n">
        <f aca="false">BY98+BZ98+CA98+CB98+CC98</f>
        <v>30</v>
      </c>
      <c r="CE98" s="42" t="n">
        <f aca="false">IF(AND(BS98&lt;&gt;1,BW98+BX98=0),1,0)</f>
        <v>1</v>
      </c>
      <c r="CF98" s="42" t="n">
        <f aca="false">IF(BU98=-1,1,0)</f>
        <v>1</v>
      </c>
      <c r="CG98" s="42" t="n">
        <f aca="false">IF(S98=-1,1,0)</f>
        <v>1</v>
      </c>
      <c r="CH98" s="42" t="n">
        <f aca="false">IF(BV98+BW98+BX98=0,1,0)</f>
        <v>1</v>
      </c>
      <c r="CI98" s="42" t="n">
        <f aca="false">IF(BC98&lt;p_RRmin,1,0)</f>
        <v>0</v>
      </c>
      <c r="CJ98" s="46" t="str">
        <f aca="false">IF(SUM(CE98:CI98)=0,IF(CD98&gt;=p_GradeA,"A",IF(CD98&gt;=p_GradeB,"B","C")),IF(AND(CI98=1,SUM(CE98:CH98)=0,CD98&gt;=p_GradeB),"B","C"))</f>
        <v>C</v>
      </c>
    </row>
    <row r="99" customFormat="false" ht="15" hidden="false" customHeight="false" outlineLevel="0" collapsed="false">
      <c r="A99" s="36" t="n">
        <v>45791</v>
      </c>
      <c r="B99" s="37" t="n">
        <v>21.61</v>
      </c>
      <c r="C99" s="37" t="n">
        <v>21.92</v>
      </c>
      <c r="D99" s="37" t="n">
        <v>21.6</v>
      </c>
      <c r="E99" s="37" t="n">
        <v>21.87</v>
      </c>
      <c r="F99" s="38" t="n">
        <v>3327400</v>
      </c>
      <c r="G99" s="39" t="n">
        <f aca="false">A99-WEEKDAY(A99,3)</f>
        <v>45789</v>
      </c>
      <c r="H99" s="40" t="n">
        <f aca="false">2/(p_EmaF+1)*E99+(1-2/(p_EmaF+1))*H98</f>
        <v>23.3019683095424</v>
      </c>
      <c r="I99" s="40" t="n">
        <f aca="false">2/(p_EmaS+1)*E99+(1-2/(p_EmaS+1))*I98</f>
        <v>24.081681101486</v>
      </c>
      <c r="J99" s="41" t="n">
        <f aca="false">2/(p_MacdF+1)*E99+(1-2/(p_MacdF+1))*J98</f>
        <v>23.1998015762572</v>
      </c>
      <c r="K99" s="41" t="n">
        <f aca="false">2/(p_MacdS+1)*E99+(1-2/(p_MacdS+1))*K98</f>
        <v>24.081681101486</v>
      </c>
      <c r="L99" s="41" t="n">
        <f aca="false">J99-K99</f>
        <v>-0.881879525228762</v>
      </c>
      <c r="M99" s="41" t="n">
        <f aca="false">2/(p_MacdSig+1)*L99+(1-2/(p_MacdSig+1))*M98</f>
        <v>-0.515741560831568</v>
      </c>
      <c r="N99" s="41" t="n">
        <f aca="false">L99-M99</f>
        <v>-0.366137964397194</v>
      </c>
      <c r="O99" s="42" t="n">
        <f aca="false">IF(H99&gt;H98,1,0)</f>
        <v>0</v>
      </c>
      <c r="P99" s="42" t="n">
        <f aca="false">IF(H99&lt;H98,1,0)</f>
        <v>1</v>
      </c>
      <c r="Q99" s="42" t="n">
        <f aca="false">IF(N99&gt;N98,1,0)</f>
        <v>1</v>
      </c>
      <c r="R99" s="42" t="n">
        <f aca="false">IF(N99&lt;N98,1,0)</f>
        <v>0</v>
      </c>
      <c r="S99" s="42" t="n">
        <f aca="false">IF(AND(O99=1,Q99=1),1,IF(AND(P99=1,R99=1),-1,0))</f>
        <v>0</v>
      </c>
      <c r="T99" s="43" t="str">
        <f aca="false">IF(S99=1,"绿",IF(S99=-1,"红","蓝"))</f>
        <v>蓝</v>
      </c>
      <c r="U99" s="44" t="n">
        <f aca="false">F99*(E99-E98)</f>
        <v>765302.000000001</v>
      </c>
      <c r="V99" s="44" t="n">
        <f aca="false">2/(p_FiS+1)*U99+(1-2/(p_FiS+1))*V98</f>
        <v>-282692.871426128</v>
      </c>
      <c r="W99" s="44" t="n">
        <f aca="false">2/(p_FiL+1)*U99+(1-2/(p_FiL+1))*W98</f>
        <v>-1311128.08411088</v>
      </c>
      <c r="X99" s="41" t="n">
        <f aca="false">MAX(C99-D99,ABS(C99-E98),ABS(D99-E98))</f>
        <v>0.32</v>
      </c>
      <c r="Y99" s="41" t="n">
        <f aca="true">AVERAGE(OFFSET(X99,1-MIN(p_AtrN,ROW()-4),0,MIN(p_AtrN,ROW()-4),1))</f>
        <v>0.57</v>
      </c>
      <c r="Z99" s="41" t="n">
        <f aca="false">IF(AND(C99-C98&gt;D98-D99,C99-C98&gt;0),C99-C98,0)</f>
        <v>0</v>
      </c>
      <c r="AA99" s="41" t="n">
        <f aca="false">IF(AND(D98-D99&gt;C99-C98,D98-D99&gt;0),D98-D99,0)</f>
        <v>0</v>
      </c>
      <c r="AB99" s="41" t="n">
        <f aca="false">2/(p_AdxN+1)*X99+(1-2/(p_AdxN+1))*AB98</f>
        <v>0.578659828767705</v>
      </c>
      <c r="AC99" s="41" t="n">
        <f aca="false">2/(p_AdxN+1)*Z99+(1-2/(p_AdxN+1))*AC98</f>
        <v>0.0136798850843524</v>
      </c>
      <c r="AD99" s="41" t="n">
        <f aca="false">2/(p_AdxN+1)*AA99+(1-2/(p_AdxN+1))*AD98</f>
        <v>0.271868071405417</v>
      </c>
      <c r="AE99" s="45" t="n">
        <f aca="false">100*AC99/AB99</f>
        <v>2.36406337614356</v>
      </c>
      <c r="AF99" s="45" t="n">
        <f aca="false">100*AD99/AB99</f>
        <v>46.9823647486258</v>
      </c>
      <c r="AG99" s="45" t="n">
        <f aca="false">IFERROR(100*ABS(AE99-AF99)/(AE99+AF99),0)</f>
        <v>90.4185025503115</v>
      </c>
      <c r="AH99" s="45" t="n">
        <f aca="false">2/(p_AdxN+1)*AG99+(1-2/(p_AdxN+1))*AH98</f>
        <v>69.8126075754988</v>
      </c>
      <c r="AI99" s="40" t="n">
        <f aca="false">I99*(1+p_ChPct)</f>
        <v>25.5265819675751</v>
      </c>
      <c r="AJ99" s="40" t="n">
        <f aca="false">I99*(1-p_ChPct)</f>
        <v>22.6367802353968</v>
      </c>
      <c r="AK99" s="40" t="n">
        <f aca="false">I99+1*Y99</f>
        <v>24.651681101486</v>
      </c>
      <c r="AL99" s="40" t="n">
        <f aca="false">I99+2*Y99</f>
        <v>25.221681101486</v>
      </c>
      <c r="AM99" s="40" t="n">
        <f aca="false">I99+3*Y99</f>
        <v>25.791681101486</v>
      </c>
      <c r="AN99" s="40" t="n">
        <f aca="false">I99-1*Y99</f>
        <v>23.511681101486</v>
      </c>
      <c r="AO99" s="40" t="n">
        <f aca="false">I99-2*Y99</f>
        <v>22.941681101486</v>
      </c>
      <c r="AP99" s="40" t="n">
        <f aca="false">I99-3*Y99</f>
        <v>22.371681101486</v>
      </c>
      <c r="AQ99" s="40" t="n">
        <f aca="true">MAX(OFFSET(C99,1-MIN(p_StochN,ROW()-4),0,MIN(p_StochN,ROW()-4),1))</f>
        <v>23.14</v>
      </c>
      <c r="AR99" s="40" t="n">
        <f aca="true">MIN(OFFSET(D99,1-MIN(p_StochN,ROW()-4),0,MIN(p_StochN,ROW()-4),1))</f>
        <v>21.55</v>
      </c>
      <c r="AS99" s="45" t="n">
        <f aca="false">IF(AQ99=AR99,50,100*(E99-AR99)/(AQ99-AR99))</f>
        <v>20.125786163522</v>
      </c>
      <c r="AT99" s="45" t="n">
        <f aca="true">AVERAGE(OFFSET(AS99,1-MIN(p_StochSm,ROW()-4),0,MIN(p_StochSm,ROW()-4),1))</f>
        <v>9.24674799828244</v>
      </c>
      <c r="AU99" s="45" t="n">
        <f aca="true">AVERAGE(OFFSET(AT99,1-MIN(p_StochSm,ROW()-4),0,MIN(p_StochSm,ROW()-4),1))</f>
        <v>6.21929708214025</v>
      </c>
      <c r="AV99" s="41" t="n">
        <f aca="false">MAX(0,H99-D99)</f>
        <v>1.70196830954241</v>
      </c>
      <c r="AW99" s="41" t="n">
        <f aca="true">IF(COUNTIF(OFFSET(AV99,1-MIN(p_PenLb,ROW()-4),0,MIN(p_PenLb,ROW()-4),1),"&gt;0")&gt;0,SUM(OFFSET(AV99,1-MIN(p_PenLb,ROW()-4),0,MIN(p_PenLb,ROW()-4),1))/COUNTIF(OFFSET(AV99,1-MIN(p_PenLb,ROW()-4),0,MIN(p_PenLb,ROW()-4),1),"&gt;0"),0.5*Y99)</f>
        <v>0.980368849034618</v>
      </c>
      <c r="AX99" s="41" t="n">
        <f aca="false">2*H99-H98</f>
        <v>23.0633069246187</v>
      </c>
      <c r="AY99" s="40" t="n">
        <f aca="false">ROUND(MAX(AX99-AW99,0.01),2)</f>
        <v>22.08</v>
      </c>
      <c r="AZ99" s="40" t="n">
        <f aca="true">IF(MIN(p_StopLb,ROW()-4)&lt;2,D99,SMALL(OFFSET(D99,1-MIN(p_StopLb,ROW()-4),0,MIN(p_StopLb,ROW()-4),1),2))</f>
        <v>21.6</v>
      </c>
      <c r="BA99" s="40" t="n">
        <f aca="false">IF(MOD(ROUND(ROUNDDOWN(MIN(AZ99-0.01,AY99-p_StopAtr*Y99),2)*100,0),50)=0,ROUNDDOWN(MIN(AZ99-0.01,AY99-p_StopAtr*Y99),2)-0.01,ROUNDDOWN(MIN(AZ99-0.01,AY99-p_StopAtr*Y99),2))</f>
        <v>21.51</v>
      </c>
      <c r="BB99" s="40" t="n">
        <f aca="false">ROUND(AI99,2)</f>
        <v>25.53</v>
      </c>
      <c r="BC99" s="40" t="n">
        <f aca="false">IF(AY99-BA99&gt;0,(BB99-AY99)/(AY99-BA99),0)</f>
        <v>6.05263157894741</v>
      </c>
      <c r="BD99" s="42" t="n">
        <f aca="false">IF(N99&lt;0,1,0)</f>
        <v>1</v>
      </c>
      <c r="BE99" s="41" t="n">
        <f aca="false">IF(AND(BD99=1,BD98=0),N99,IF(BD99=1,MIN(BE98,N99),BE98))</f>
        <v>-0.392824838841331</v>
      </c>
      <c r="BF99" s="40" t="n">
        <f aca="false">IF(AND(BD99=1,BD98=0),D99,IF(BD99=1,MIN(BF98,D99),BF98))</f>
        <v>21.55</v>
      </c>
      <c r="BG99" s="42" t="n">
        <f aca="false">IF(AND(BD99=1,BD98=0),ROW(),IF(BD99=1,IF(N99&lt;BE98,ROW(),BG98),BG98))</f>
        <v>98</v>
      </c>
      <c r="BH99" s="41" t="n">
        <f aca="false">IF(AND(BD99=1,BD98=0),BE98,BH98)</f>
        <v>-0.267100964273217</v>
      </c>
      <c r="BI99" s="40" t="n">
        <f aca="false">IF(AND(BD99=1,BD98=0),BF98,BI98)</f>
        <v>23.24</v>
      </c>
      <c r="BJ99" s="42" t="n">
        <f aca="false">IF(AND(BD99=1,BD98=0),BG98,BJ98)</f>
        <v>52</v>
      </c>
      <c r="BK99" s="42" t="n">
        <f aca="false">IF(AND(ISNUMBER(BG99),ISNUMBER(BJ99)),BG99-BJ99,"")</f>
        <v>46</v>
      </c>
      <c r="BL99" s="42" t="n">
        <f aca="false">IF(AND(BD99=1,N99&gt;N98,ISNUMBER(BH99),ISNUMBER(BK99)),IF(AND(BE99&gt;BH99,BF99&lt;BI99,BK99&gt;=p_GapMin,BK99&lt;=p_GapMax),1,0),0)</f>
        <v>0</v>
      </c>
      <c r="BM99" s="42" t="n">
        <f aca="false">IF(AND(BL99=1,E99&gt;BI99),1,0)</f>
        <v>0</v>
      </c>
      <c r="BN99" s="42" t="n">
        <f aca="false">IF(BL99=1,IF(BE99&gt;=BH99*0.5,1,0),0)</f>
        <v>0</v>
      </c>
      <c r="BO99" s="42" t="n">
        <f aca="true">IF(V99&gt;MIN(OFFSET(V99,-MIN(p_FiLb-1,ROW()-5),0,MIN(p_FiLb-1,ROW()-5),1)),1,0)</f>
        <v>1</v>
      </c>
      <c r="BP99" s="44" t="n">
        <f aca="true">IF(COUNTIF(OFFSET(V99,1-MIN(100,ROW()-4),0,MIN(100,ROW()-4),1),"&lt;0")&gt;=5,AVERAGEIF(OFFSET(V99,1-MIN(100,ROW()-4),0,MIN(100,ROW()-4),1),"&lt;0"),"")</f>
        <v>-899871.510915313</v>
      </c>
      <c r="BQ99" s="42" t="n">
        <f aca="false">IF(ISNUMBER(BP99),IF(AND(V99&lt;5*BP99,V99&gt;V98,E99&lt;AJ99),1,0),0)</f>
        <v>0</v>
      </c>
      <c r="BR99" s="44" t="n">
        <f aca="true">AVERAGE(OFFSET(F99,1-MIN(5,ROW()-4),0,MIN(5,ROW()-4),1))</f>
        <v>4377720</v>
      </c>
      <c r="BS99" s="42" t="n">
        <f aca="false">IFERROR(IF(MATCH(G99,周线!$A$5:$A$84,0)&lt;=1,"",INDEX(周线!$R$5:$R$84,MATCH(G99,周线!$A$5:$A$84,0)-1)),"")</f>
        <v>0</v>
      </c>
      <c r="BT99" s="42" t="n">
        <f aca="false">IFERROR(IF(MATCH(G99,周线!$A$5:$A$84,0)&lt;=1,"",INDEX(周线!$S$5:$S$84,MATCH(G99,周线!$A$5:$A$84,0)-1)),"")</f>
        <v>0</v>
      </c>
      <c r="BU99" s="42" t="n">
        <f aca="false">IFERROR(IF(MATCH(G99,周线!$A$5:$A$84,0)&lt;=1,"",INDEX(周线!$U$5:$U$84,MATCH(G99,周线!$A$5:$A$84,0)-1)),"")</f>
        <v>-1</v>
      </c>
      <c r="BV99" s="42" t="n">
        <f aca="false">IF(AND(BS99=1,S99&lt;&gt;-1,V99&lt;0,BO99=1,E99&lt;=H99,E99&gt;=AJ99),1,0)</f>
        <v>0</v>
      </c>
      <c r="BW99" s="42" t="n">
        <f aca="false">BL99</f>
        <v>0</v>
      </c>
      <c r="BX99" s="42" t="n">
        <f aca="false">BQ99</f>
        <v>0</v>
      </c>
      <c r="BY99" s="42" t="n">
        <f aca="false">IF(BS99=1,10,0)+IF(BU99=1,5,IF(BU99=-1,0,3))+IF(BT99=1,5,0)+IF(AND(AE99&gt;AF99,AH99&gt;AH98),5,0)</f>
        <v>0</v>
      </c>
      <c r="BZ99" s="42" t="n">
        <f aca="false">IF(AND(E99&lt;=H99,E99&gt;=I99),10,IF(AND(E99&gt;=AJ99,E99&lt;I99),6,0))+IF(AND(V99&lt;0,BO99=1),8,0)+IF(AT99&lt;30,7,IF(AT99&lt;50,3,0))</f>
        <v>15</v>
      </c>
      <c r="CA99" s="42" t="n">
        <f aca="false">IF(AND(BV99=1,BW99=1),25,IF(BW99=1,22,IF(BV99=1,15,IF(BX99=1,12,0))))</f>
        <v>0</v>
      </c>
      <c r="CB99" s="42" t="n">
        <f aca="false">IF(W99&gt;0,6,0)+IF(F99&lt;BR99,4,0)</f>
        <v>4</v>
      </c>
      <c r="CC99" s="42" t="n">
        <f aca="false">IF(BC99&gt;=3,15,IF(BC99&gt;=p_RRmin,10,IF(BC99&gt;=1.5,4,0)))</f>
        <v>15</v>
      </c>
      <c r="CD99" s="42" t="n">
        <f aca="false">BY99+BZ99+CA99+CB99+CC99</f>
        <v>34</v>
      </c>
      <c r="CE99" s="42" t="n">
        <f aca="false">IF(AND(BS99&lt;&gt;1,BW99+BX99=0),1,0)</f>
        <v>1</v>
      </c>
      <c r="CF99" s="42" t="n">
        <f aca="false">IF(BU99=-1,1,0)</f>
        <v>1</v>
      </c>
      <c r="CG99" s="42" t="n">
        <f aca="false">IF(S99=-1,1,0)</f>
        <v>0</v>
      </c>
      <c r="CH99" s="42" t="n">
        <f aca="false">IF(BV99+BW99+BX99=0,1,0)</f>
        <v>1</v>
      </c>
      <c r="CI99" s="42" t="n">
        <f aca="false">IF(BC99&lt;p_RRmin,1,0)</f>
        <v>0</v>
      </c>
      <c r="CJ99" s="46" t="str">
        <f aca="false">IF(SUM(CE99:CI99)=0,IF(CD99&gt;=p_GradeA,"A",IF(CD99&gt;=p_GradeB,"B","C")),IF(AND(CI99=1,SUM(CE99:CH99)=0,CD99&gt;=p_GradeB),"B","C"))</f>
        <v>C</v>
      </c>
    </row>
    <row r="100" customFormat="false" ht="15" hidden="false" customHeight="false" outlineLevel="0" collapsed="false">
      <c r="A100" s="36" t="n">
        <v>45792</v>
      </c>
      <c r="B100" s="37" t="n">
        <v>21.72</v>
      </c>
      <c r="C100" s="37" t="n">
        <v>22.12</v>
      </c>
      <c r="D100" s="37" t="n">
        <v>21.65</v>
      </c>
      <c r="E100" s="37" t="n">
        <v>22</v>
      </c>
      <c r="F100" s="38" t="n">
        <v>3674500</v>
      </c>
      <c r="G100" s="39" t="n">
        <f aca="false">A100-WEEKDAY(A100,3)</f>
        <v>45789</v>
      </c>
      <c r="H100" s="40" t="n">
        <f aca="false">2/(p_EmaF+1)*E100+(1-2/(p_EmaF+1))*H99</f>
        <v>23.1159728367506</v>
      </c>
      <c r="I100" s="40" t="n">
        <f aca="false">2/(p_EmaS+1)*E100+(1-2/(p_EmaS+1))*I99</f>
        <v>23.9274825013759</v>
      </c>
      <c r="J100" s="41" t="n">
        <f aca="false">2/(p_MacdF+1)*E100+(1-2/(p_MacdF+1))*J99</f>
        <v>23.0152167183715</v>
      </c>
      <c r="K100" s="41" t="n">
        <f aca="false">2/(p_MacdS+1)*E100+(1-2/(p_MacdS+1))*K99</f>
        <v>23.9274825013759</v>
      </c>
      <c r="L100" s="41" t="n">
        <f aca="false">J100-K100</f>
        <v>-0.912265783004411</v>
      </c>
      <c r="M100" s="41" t="n">
        <f aca="false">2/(p_MacdSig+1)*L100+(1-2/(p_MacdSig+1))*M99</f>
        <v>-0.595046405266137</v>
      </c>
      <c r="N100" s="41" t="n">
        <f aca="false">L100-M100</f>
        <v>-0.317219377738275</v>
      </c>
      <c r="O100" s="42" t="n">
        <f aca="false">IF(H100&gt;H99,1,0)</f>
        <v>0</v>
      </c>
      <c r="P100" s="42" t="n">
        <f aca="false">IF(H100&lt;H99,1,0)</f>
        <v>1</v>
      </c>
      <c r="Q100" s="42" t="n">
        <f aca="false">IF(N100&gt;N99,1,0)</f>
        <v>1</v>
      </c>
      <c r="R100" s="42" t="n">
        <f aca="false">IF(N100&lt;N99,1,0)</f>
        <v>0</v>
      </c>
      <c r="S100" s="42" t="n">
        <f aca="false">IF(AND(O100=1,Q100=1),1,IF(AND(P100=1,R100=1),-1,0))</f>
        <v>0</v>
      </c>
      <c r="T100" s="43" t="str">
        <f aca="false">IF(S100=1,"绿",IF(S100=-1,"红","蓝"))</f>
        <v>蓝</v>
      </c>
      <c r="U100" s="44" t="n">
        <f aca="false">F100*(E100-E99)</f>
        <v>477684.999999996</v>
      </c>
      <c r="V100" s="44" t="n">
        <f aca="false">2/(p_FiS+1)*U100+(1-2/(p_FiS+1))*V99</f>
        <v>224225.709524621</v>
      </c>
      <c r="W100" s="44" t="n">
        <f aca="false">2/(p_FiL+1)*U100+(1-2/(p_FiL+1))*W99</f>
        <v>-1055583.35780933</v>
      </c>
      <c r="X100" s="41" t="n">
        <f aca="false">MAX(C100-D100,ABS(C100-E99),ABS(D100-E99))</f>
        <v>0.470000000000002</v>
      </c>
      <c r="Y100" s="41" t="n">
        <f aca="true">AVERAGE(OFFSET(X100,1-MIN(p_AtrN,ROW()-4),0,MIN(p_AtrN,ROW()-4),1))</f>
        <v>0.564615384615385</v>
      </c>
      <c r="Z100" s="41" t="n">
        <f aca="false">IF(AND(C100-C99&gt;D99-D100,C100-C99&gt;0),C100-C99,0)</f>
        <v>0.199999999999999</v>
      </c>
      <c r="AA100" s="41" t="n">
        <f aca="false">IF(AND(D99-D100&gt;C100-C99,D99-D100&gt;0),D99-D100,0)</f>
        <v>0</v>
      </c>
      <c r="AB100" s="41" t="n">
        <f aca="false">2/(p_AdxN+1)*X100+(1-2/(p_AdxN+1))*AB99</f>
        <v>0.563136996086605</v>
      </c>
      <c r="AC100" s="41" t="n">
        <f aca="false">2/(p_AdxN+1)*Z100+(1-2/(p_AdxN+1))*AC99</f>
        <v>0.0402970443580162</v>
      </c>
      <c r="AD100" s="41" t="n">
        <f aca="false">2/(p_AdxN+1)*AA100+(1-2/(p_AdxN+1))*AD99</f>
        <v>0.233029775490358</v>
      </c>
      <c r="AE100" s="45" t="n">
        <f aca="false">100*AC100/AB100</f>
        <v>7.15581548327521</v>
      </c>
      <c r="AF100" s="45" t="n">
        <f aca="false">100*AD100/AB100</f>
        <v>41.380654638169</v>
      </c>
      <c r="AG100" s="45" t="n">
        <f aca="false">IFERROR(100*ABS(AE100-AF100)/(AE100+AF100),0)</f>
        <v>70.5136551324376</v>
      </c>
      <c r="AH100" s="45" t="n">
        <f aca="false">2/(p_AdxN+1)*AG100+(1-2/(p_AdxN+1))*AH99</f>
        <v>69.9127572264901</v>
      </c>
      <c r="AI100" s="40" t="n">
        <f aca="false">I100*(1+p_ChPct)</f>
        <v>25.3631314514584</v>
      </c>
      <c r="AJ100" s="40" t="n">
        <f aca="false">I100*(1-p_ChPct)</f>
        <v>22.4918335512933</v>
      </c>
      <c r="AK100" s="40" t="n">
        <f aca="false">I100+1*Y100</f>
        <v>24.4920978859913</v>
      </c>
      <c r="AL100" s="40" t="n">
        <f aca="false">I100+2*Y100</f>
        <v>25.0567132706067</v>
      </c>
      <c r="AM100" s="40" t="n">
        <f aca="false">I100+3*Y100</f>
        <v>25.621328655222</v>
      </c>
      <c r="AN100" s="40" t="n">
        <f aca="false">I100-1*Y100</f>
        <v>23.3628671167605</v>
      </c>
      <c r="AO100" s="40" t="n">
        <f aca="false">I100-2*Y100</f>
        <v>22.7982517321451</v>
      </c>
      <c r="AP100" s="40" t="n">
        <f aca="false">I100-3*Y100</f>
        <v>22.2336363475297</v>
      </c>
      <c r="AQ100" s="40" t="n">
        <f aca="true">MAX(OFFSET(C100,1-MIN(p_StochN,ROW()-4),0,MIN(p_StochN,ROW()-4),1))</f>
        <v>23.05</v>
      </c>
      <c r="AR100" s="40" t="n">
        <f aca="true">MIN(OFFSET(D100,1-MIN(p_StochN,ROW()-4),0,MIN(p_StochN,ROW()-4),1))</f>
        <v>21.55</v>
      </c>
      <c r="AS100" s="45" t="n">
        <f aca="false">IF(AQ100=AR100,50,100*(E100-AR100)/(AQ100-AR100))</f>
        <v>30</v>
      </c>
      <c r="AT100" s="45" t="n">
        <f aca="true">AVERAGE(OFFSET(AS100,1-MIN(p_StochSm,ROW()-4),0,MIN(p_StochSm,ROW()-4),1))</f>
        <v>17.9134146649491</v>
      </c>
      <c r="AU100" s="45" t="n">
        <f aca="true">AVERAGE(OFFSET(AT100,1-MIN(p_StochSm,ROW()-4),0,MIN(p_StochSm,ROW()-4),1))</f>
        <v>10.4223142415512</v>
      </c>
      <c r="AV100" s="41" t="n">
        <f aca="false">MAX(0,H100-D100)</f>
        <v>1.46597283675064</v>
      </c>
      <c r="AW100" s="41" t="n">
        <f aca="true">IF(COUNTIF(OFFSET(AV100,1-MIN(p_PenLb,ROW()-4),0,MIN(p_PenLb,ROW()-4),1),"&gt;0")&gt;0,SUM(OFFSET(AV100,1-MIN(p_PenLb,ROW()-4),0,MIN(p_PenLb,ROW()-4),1))/COUNTIF(OFFSET(AV100,1-MIN(p_PenLb,ROW()-4),0,MIN(p_PenLb,ROW()-4),1),"&gt;0"),0.5*Y100)</f>
        <v>1.00244175756717</v>
      </c>
      <c r="AX100" s="41" t="n">
        <f aca="false">2*H100-H99</f>
        <v>22.9299773639589</v>
      </c>
      <c r="AY100" s="40" t="n">
        <f aca="false">ROUND(MAX(AX100-AW100,0.01),2)</f>
        <v>21.93</v>
      </c>
      <c r="AZ100" s="40" t="n">
        <f aca="true">IF(MIN(p_StopLb,ROW()-4)&lt;2,D100,SMALL(OFFSET(D100,1-MIN(p_StopLb,ROW()-4),0,MIN(p_StopLb,ROW()-4),1),2))</f>
        <v>21.6</v>
      </c>
      <c r="BA100" s="40" t="n">
        <f aca="false">IF(MOD(ROUND(ROUNDDOWN(MIN(AZ100-0.01,AY100-p_StopAtr*Y100),2)*100,0),50)=0,ROUNDDOWN(MIN(AZ100-0.01,AY100-p_StopAtr*Y100),2)-0.01,ROUNDDOWN(MIN(AZ100-0.01,AY100-p_StopAtr*Y100),2))</f>
        <v>21.36</v>
      </c>
      <c r="BB100" s="40" t="n">
        <f aca="false">ROUND(AI100,2)</f>
        <v>25.36</v>
      </c>
      <c r="BC100" s="40" t="n">
        <f aca="false">IF(AY100-BA100&gt;0,(BB100-AY100)/(AY100-BA100),0)</f>
        <v>6.01754385964912</v>
      </c>
      <c r="BD100" s="42" t="n">
        <f aca="false">IF(N100&lt;0,1,0)</f>
        <v>1</v>
      </c>
      <c r="BE100" s="41" t="n">
        <f aca="false">IF(AND(BD100=1,BD99=0),N100,IF(BD100=1,MIN(BE99,N100),BE99))</f>
        <v>-0.392824838841331</v>
      </c>
      <c r="BF100" s="40" t="n">
        <f aca="false">IF(AND(BD100=1,BD99=0),D100,IF(BD100=1,MIN(BF99,D100),BF99))</f>
        <v>21.55</v>
      </c>
      <c r="BG100" s="42" t="n">
        <f aca="false">IF(AND(BD100=1,BD99=0),ROW(),IF(BD100=1,IF(N100&lt;BE99,ROW(),BG99),BG99))</f>
        <v>98</v>
      </c>
      <c r="BH100" s="41" t="n">
        <f aca="false">IF(AND(BD100=1,BD99=0),BE99,BH99)</f>
        <v>-0.267100964273217</v>
      </c>
      <c r="BI100" s="40" t="n">
        <f aca="false">IF(AND(BD100=1,BD99=0),BF99,BI99)</f>
        <v>23.24</v>
      </c>
      <c r="BJ100" s="42" t="n">
        <f aca="false">IF(AND(BD100=1,BD99=0),BG99,BJ99)</f>
        <v>52</v>
      </c>
      <c r="BK100" s="42" t="n">
        <f aca="false">IF(AND(ISNUMBER(BG100),ISNUMBER(BJ100)),BG100-BJ100,"")</f>
        <v>46</v>
      </c>
      <c r="BL100" s="42" t="n">
        <f aca="false">IF(AND(BD100=1,N100&gt;N99,ISNUMBER(BH100),ISNUMBER(BK100)),IF(AND(BE100&gt;BH100,BF100&lt;BI100,BK100&gt;=p_GapMin,BK100&lt;=p_GapMax),1,0),0)</f>
        <v>0</v>
      </c>
      <c r="BM100" s="42" t="n">
        <f aca="false">IF(AND(BL100=1,E100&gt;BI100),1,0)</f>
        <v>0</v>
      </c>
      <c r="BN100" s="42" t="n">
        <f aca="false">IF(BL100=1,IF(BE100&gt;=BH100*0.5,1,0),0)</f>
        <v>0</v>
      </c>
      <c r="BO100" s="42" t="n">
        <f aca="true">IF(V100&gt;MIN(OFFSET(V100,-MIN(p_FiLb-1,ROW()-5),0,MIN(p_FiLb-1,ROW()-5),1)),1,0)</f>
        <v>1</v>
      </c>
      <c r="BP100" s="44" t="n">
        <f aca="true">IF(COUNTIF(OFFSET(V100,1-MIN(100,ROW()-4),0,MIN(100,ROW()-4),1),"&lt;0")&gt;=5,AVERAGEIF(OFFSET(V100,1-MIN(100,ROW()-4),0,MIN(100,ROW()-4),1),"&lt;0"),"")</f>
        <v>-899871.510915313</v>
      </c>
      <c r="BQ100" s="42" t="n">
        <f aca="false">IF(ISNUMBER(BP100),IF(AND(V100&lt;5*BP100,V100&gt;V99,E100&lt;AJ100),1,0),0)</f>
        <v>0</v>
      </c>
      <c r="BR100" s="44" t="n">
        <f aca="true">AVERAGE(OFFSET(F100,1-MIN(5,ROW()-4),0,MIN(5,ROW()-4),1))</f>
        <v>4465200</v>
      </c>
      <c r="BS100" s="42" t="n">
        <f aca="false">IFERROR(IF(MATCH(G100,周线!$A$5:$A$84,0)&lt;=1,"",INDEX(周线!$R$5:$R$84,MATCH(G100,周线!$A$5:$A$84,0)-1)),"")</f>
        <v>0</v>
      </c>
      <c r="BT100" s="42" t="n">
        <f aca="false">IFERROR(IF(MATCH(G100,周线!$A$5:$A$84,0)&lt;=1,"",INDEX(周线!$S$5:$S$84,MATCH(G100,周线!$A$5:$A$84,0)-1)),"")</f>
        <v>0</v>
      </c>
      <c r="BU100" s="42" t="n">
        <f aca="false">IFERROR(IF(MATCH(G100,周线!$A$5:$A$84,0)&lt;=1,"",INDEX(周线!$U$5:$U$84,MATCH(G100,周线!$A$5:$A$84,0)-1)),"")</f>
        <v>-1</v>
      </c>
      <c r="BV100" s="42" t="n">
        <f aca="false">IF(AND(BS100=1,S100&lt;&gt;-1,V100&lt;0,BO100=1,E100&lt;=H100,E100&gt;=AJ100),1,0)</f>
        <v>0</v>
      </c>
      <c r="BW100" s="42" t="n">
        <f aca="false">BL100</f>
        <v>0</v>
      </c>
      <c r="BX100" s="42" t="n">
        <f aca="false">BQ100</f>
        <v>0</v>
      </c>
      <c r="BY100" s="42" t="n">
        <f aca="false">IF(BS100=1,10,0)+IF(BU100=1,5,IF(BU100=-1,0,3))+IF(BT100=1,5,0)+IF(AND(AE100&gt;AF100,AH100&gt;AH99),5,0)</f>
        <v>0</v>
      </c>
      <c r="BZ100" s="42" t="n">
        <f aca="false">IF(AND(E100&lt;=H100,E100&gt;=I100),10,IF(AND(E100&gt;=AJ100,E100&lt;I100),6,0))+IF(AND(V100&lt;0,BO100=1),8,0)+IF(AT100&lt;30,7,IF(AT100&lt;50,3,0))</f>
        <v>7</v>
      </c>
      <c r="CA100" s="42" t="n">
        <f aca="false">IF(AND(BV100=1,BW100=1),25,IF(BW100=1,22,IF(BV100=1,15,IF(BX100=1,12,0))))</f>
        <v>0</v>
      </c>
      <c r="CB100" s="42" t="n">
        <f aca="false">IF(W100&gt;0,6,0)+IF(F100&lt;BR100,4,0)</f>
        <v>4</v>
      </c>
      <c r="CC100" s="42" t="n">
        <f aca="false">IF(BC100&gt;=3,15,IF(BC100&gt;=p_RRmin,10,IF(BC100&gt;=1.5,4,0)))</f>
        <v>15</v>
      </c>
      <c r="CD100" s="42" t="n">
        <f aca="false">BY100+BZ100+CA100+CB100+CC100</f>
        <v>26</v>
      </c>
      <c r="CE100" s="42" t="n">
        <f aca="false">IF(AND(BS100&lt;&gt;1,BW100+BX100=0),1,0)</f>
        <v>1</v>
      </c>
      <c r="CF100" s="42" t="n">
        <f aca="false">IF(BU100=-1,1,0)</f>
        <v>1</v>
      </c>
      <c r="CG100" s="42" t="n">
        <f aca="false">IF(S100=-1,1,0)</f>
        <v>0</v>
      </c>
      <c r="CH100" s="42" t="n">
        <f aca="false">IF(BV100+BW100+BX100=0,1,0)</f>
        <v>1</v>
      </c>
      <c r="CI100" s="42" t="n">
        <f aca="false">IF(BC100&lt;p_RRmin,1,0)</f>
        <v>0</v>
      </c>
      <c r="CJ100" s="46" t="str">
        <f aca="false">IF(SUM(CE100:CI100)=0,IF(CD100&gt;=p_GradeA,"A",IF(CD100&gt;=p_GradeB,"B","C")),IF(AND(CI100=1,SUM(CE100:CH100)=0,CD100&gt;=p_GradeB),"B","C"))</f>
        <v>C</v>
      </c>
    </row>
    <row r="101" customFormat="false" ht="15" hidden="false" customHeight="false" outlineLevel="0" collapsed="false">
      <c r="A101" s="36" t="n">
        <v>45793</v>
      </c>
      <c r="B101" s="37" t="n">
        <v>22.13</v>
      </c>
      <c r="C101" s="37" t="n">
        <v>22.26</v>
      </c>
      <c r="D101" s="37" t="n">
        <v>21.64</v>
      </c>
      <c r="E101" s="37" t="n">
        <v>21.85</v>
      </c>
      <c r="F101" s="38" t="n">
        <v>4094600</v>
      </c>
      <c r="G101" s="39" t="n">
        <f aca="false">A101-WEEKDAY(A101,3)</f>
        <v>45789</v>
      </c>
      <c r="H101" s="40" t="n">
        <f aca="false">2/(p_EmaF+1)*E101+(1-2/(p_EmaF+1))*H100</f>
        <v>22.9351195743577</v>
      </c>
      <c r="I101" s="40" t="n">
        <f aca="false">2/(p_EmaS+1)*E101+(1-2/(p_EmaS+1))*I100</f>
        <v>23.7735949086814</v>
      </c>
      <c r="J101" s="41" t="n">
        <f aca="false">2/(p_MacdF+1)*E101+(1-2/(p_MacdF+1))*J100</f>
        <v>22.8359526078528</v>
      </c>
      <c r="K101" s="41" t="n">
        <f aca="false">2/(p_MacdS+1)*E101+(1-2/(p_MacdS+1))*K100</f>
        <v>23.7735949086814</v>
      </c>
      <c r="L101" s="41" t="n">
        <f aca="false">J101-K101</f>
        <v>-0.937642300828586</v>
      </c>
      <c r="M101" s="41" t="n">
        <f aca="false">2/(p_MacdSig+1)*L101+(1-2/(p_MacdSig+1))*M100</f>
        <v>-0.663565584378626</v>
      </c>
      <c r="N101" s="41" t="n">
        <f aca="false">L101-M101</f>
        <v>-0.274076716449959</v>
      </c>
      <c r="O101" s="42" t="n">
        <f aca="false">IF(H101&gt;H100,1,0)</f>
        <v>0</v>
      </c>
      <c r="P101" s="42" t="n">
        <f aca="false">IF(H101&lt;H100,1,0)</f>
        <v>1</v>
      </c>
      <c r="Q101" s="42" t="n">
        <f aca="false">IF(N101&gt;N100,1,0)</f>
        <v>1</v>
      </c>
      <c r="R101" s="42" t="n">
        <f aca="false">IF(N101&lt;N100,1,0)</f>
        <v>0</v>
      </c>
      <c r="S101" s="42" t="n">
        <f aca="false">IF(AND(O101=1,Q101=1),1,IF(AND(P101=1,R101=1),-1,0))</f>
        <v>0</v>
      </c>
      <c r="T101" s="43" t="str">
        <f aca="false">IF(S101=1,"绿",IF(S101=-1,"红","蓝"))</f>
        <v>蓝</v>
      </c>
      <c r="U101" s="44" t="n">
        <f aca="false">F101*(E101-E100)</f>
        <v>-614189.999999994</v>
      </c>
      <c r="V101" s="44" t="n">
        <f aca="false">2/(p_FiS+1)*U101+(1-2/(p_FiS+1))*V100</f>
        <v>-334718.096825122</v>
      </c>
      <c r="W101" s="44" t="n">
        <f aca="false">2/(p_FiL+1)*U101+(1-2/(p_FiL+1))*W100</f>
        <v>-992527.163836567</v>
      </c>
      <c r="X101" s="41" t="n">
        <f aca="false">MAX(C101-D101,ABS(C101-E100),ABS(D101-E100))</f>
        <v>0.620000000000001</v>
      </c>
      <c r="Y101" s="41" t="n">
        <f aca="true">AVERAGE(OFFSET(X101,1-MIN(p_AtrN,ROW()-4),0,MIN(p_AtrN,ROW()-4),1))</f>
        <v>0.57923076923077</v>
      </c>
      <c r="Z101" s="41" t="n">
        <f aca="false">IF(AND(C101-C100&gt;D100-D101,C101-C100&gt;0),C101-C100,0)</f>
        <v>0.140000000000001</v>
      </c>
      <c r="AA101" s="41" t="n">
        <f aca="false">IF(AND(D100-D101&gt;C101-C100,D100-D101&gt;0),D100-D101,0)</f>
        <v>0</v>
      </c>
      <c r="AB101" s="41" t="n">
        <f aca="false">2/(p_AdxN+1)*X101+(1-2/(p_AdxN+1))*AB100</f>
        <v>0.571260282359947</v>
      </c>
      <c r="AC101" s="41" t="n">
        <f aca="false">2/(p_AdxN+1)*Z101+(1-2/(p_AdxN+1))*AC100</f>
        <v>0.0545403237354425</v>
      </c>
      <c r="AD101" s="41" t="n">
        <f aca="false">2/(p_AdxN+1)*AA101+(1-2/(p_AdxN+1))*AD100</f>
        <v>0.199739807563164</v>
      </c>
      <c r="AE101" s="45" t="n">
        <f aca="false">100*AC101/AB101</f>
        <v>9.54736840974305</v>
      </c>
      <c r="AF101" s="45" t="n">
        <f aca="false">100*AD101/AB101</f>
        <v>34.9647636516954</v>
      </c>
      <c r="AG101" s="45" t="n">
        <f aca="false">IFERROR(100*ABS(AE101-AF101)/(AE101+AF101),0)</f>
        <v>57.1021743170372</v>
      </c>
      <c r="AH101" s="45" t="n">
        <f aca="false">2/(p_AdxN+1)*AG101+(1-2/(p_AdxN+1))*AH100</f>
        <v>68.0826739537111</v>
      </c>
      <c r="AI101" s="40" t="n">
        <f aca="false">I101*(1+p_ChPct)</f>
        <v>25.2000106032023</v>
      </c>
      <c r="AJ101" s="40" t="n">
        <f aca="false">I101*(1-p_ChPct)</f>
        <v>22.3471792141605</v>
      </c>
      <c r="AK101" s="40" t="n">
        <f aca="false">I101+1*Y101</f>
        <v>24.3528256779121</v>
      </c>
      <c r="AL101" s="40" t="n">
        <f aca="false">I101+2*Y101</f>
        <v>24.9320564471429</v>
      </c>
      <c r="AM101" s="40" t="n">
        <f aca="false">I101+3*Y101</f>
        <v>25.5112872163737</v>
      </c>
      <c r="AN101" s="40" t="n">
        <f aca="false">I101-1*Y101</f>
        <v>23.1943641394506</v>
      </c>
      <c r="AO101" s="40" t="n">
        <f aca="false">I101-2*Y101</f>
        <v>22.6151333702198</v>
      </c>
      <c r="AP101" s="40" t="n">
        <f aca="false">I101-3*Y101</f>
        <v>22.0359026009891</v>
      </c>
      <c r="AQ101" s="40" t="n">
        <f aca="true">MAX(OFFSET(C101,1-MIN(p_StochN,ROW()-4),0,MIN(p_StochN,ROW()-4),1))</f>
        <v>22.66</v>
      </c>
      <c r="AR101" s="40" t="n">
        <f aca="true">MIN(OFFSET(D101,1-MIN(p_StochN,ROW()-4),0,MIN(p_StochN,ROW()-4),1))</f>
        <v>21.55</v>
      </c>
      <c r="AS101" s="45" t="n">
        <f aca="false">IF(AQ101=AR101,50,100*(E101-AR101)/(AQ101-AR101))</f>
        <v>27.0270270270271</v>
      </c>
      <c r="AT101" s="45" t="n">
        <f aca="true">AVERAGE(OFFSET(AS101,1-MIN(p_StochSm,ROW()-4),0,MIN(p_StochSm,ROW()-4),1))</f>
        <v>25.7176043968497</v>
      </c>
      <c r="AU101" s="45" t="n">
        <f aca="true">AVERAGE(OFFSET(AT101,1-MIN(p_StochSm,ROW()-4),0,MIN(p_StochSm,ROW()-4),1))</f>
        <v>17.6259223533604</v>
      </c>
      <c r="AV101" s="41" t="n">
        <f aca="false">MAX(0,H101-D101)</f>
        <v>1.29511957435769</v>
      </c>
      <c r="AW101" s="41" t="n">
        <f aca="true">IF(COUNTIF(OFFSET(AV101,1-MIN(p_PenLb,ROW()-4),0,MIN(p_PenLb,ROW()-4),1),"&gt;0")&gt;0,SUM(OFFSET(AV101,1-MIN(p_PenLb,ROW()-4),0,MIN(p_PenLb,ROW()-4),1))/COUNTIF(OFFSET(AV101,1-MIN(p_PenLb,ROW()-4),0,MIN(p_PenLb,ROW()-4),1),"&gt;0"),0.5*Y101)</f>
        <v>1.05889905893925</v>
      </c>
      <c r="AX101" s="41" t="n">
        <f aca="false">2*H101-H100</f>
        <v>22.7542663119647</v>
      </c>
      <c r="AY101" s="40" t="n">
        <f aca="false">ROUND(MAX(AX101-AW101,0.01),2)</f>
        <v>21.7</v>
      </c>
      <c r="AZ101" s="40" t="n">
        <f aca="true">IF(MIN(p_StopLb,ROW()-4)&lt;2,D101,SMALL(OFFSET(D101,1-MIN(p_StopLb,ROW()-4),0,MIN(p_StopLb,ROW()-4),1),2))</f>
        <v>21.6</v>
      </c>
      <c r="BA101" s="40" t="n">
        <f aca="false">IF(MOD(ROUND(ROUNDDOWN(MIN(AZ101-0.01,AY101-p_StopAtr*Y101),2)*100,0),50)=0,ROUNDDOWN(MIN(AZ101-0.01,AY101-p_StopAtr*Y101),2)-0.01,ROUNDDOWN(MIN(AZ101-0.01,AY101-p_StopAtr*Y101),2))</f>
        <v>21.12</v>
      </c>
      <c r="BB101" s="40" t="n">
        <f aca="false">ROUND(AI101,2)</f>
        <v>25.2</v>
      </c>
      <c r="BC101" s="40" t="n">
        <f aca="false">IF(AY101-BA101&gt;0,(BB101-AY101)/(AY101-BA101),0)</f>
        <v>6.03448275862071</v>
      </c>
      <c r="BD101" s="42" t="n">
        <f aca="false">IF(N101&lt;0,1,0)</f>
        <v>1</v>
      </c>
      <c r="BE101" s="41" t="n">
        <f aca="false">IF(AND(BD101=1,BD100=0),N101,IF(BD101=1,MIN(BE100,N101),BE100))</f>
        <v>-0.392824838841331</v>
      </c>
      <c r="BF101" s="40" t="n">
        <f aca="false">IF(AND(BD101=1,BD100=0),D101,IF(BD101=1,MIN(BF100,D101),BF100))</f>
        <v>21.55</v>
      </c>
      <c r="BG101" s="42" t="n">
        <f aca="false">IF(AND(BD101=1,BD100=0),ROW(),IF(BD101=1,IF(N101&lt;BE100,ROW(),BG100),BG100))</f>
        <v>98</v>
      </c>
      <c r="BH101" s="41" t="n">
        <f aca="false">IF(AND(BD101=1,BD100=0),BE100,BH100)</f>
        <v>-0.267100964273217</v>
      </c>
      <c r="BI101" s="40" t="n">
        <f aca="false">IF(AND(BD101=1,BD100=0),BF100,BI100)</f>
        <v>23.24</v>
      </c>
      <c r="BJ101" s="42" t="n">
        <f aca="false">IF(AND(BD101=1,BD100=0),BG100,BJ100)</f>
        <v>52</v>
      </c>
      <c r="BK101" s="42" t="n">
        <f aca="false">IF(AND(ISNUMBER(BG101),ISNUMBER(BJ101)),BG101-BJ101,"")</f>
        <v>46</v>
      </c>
      <c r="BL101" s="42" t="n">
        <f aca="false">IF(AND(BD101=1,N101&gt;N100,ISNUMBER(BH101),ISNUMBER(BK101)),IF(AND(BE101&gt;BH101,BF101&lt;BI101,BK101&gt;=p_GapMin,BK101&lt;=p_GapMax),1,0),0)</f>
        <v>0</v>
      </c>
      <c r="BM101" s="42" t="n">
        <f aca="false">IF(AND(BL101=1,E101&gt;BI101),1,0)</f>
        <v>0</v>
      </c>
      <c r="BN101" s="42" t="n">
        <f aca="false">IF(BL101=1,IF(BE101&gt;=BH101*0.5,1,0),0)</f>
        <v>0</v>
      </c>
      <c r="BO101" s="42" t="n">
        <f aca="true">IF(V101&gt;MIN(OFFSET(V101,-MIN(p_FiLb-1,ROW()-5),0,MIN(p_FiLb-1,ROW()-5),1)),1,0)</f>
        <v>1</v>
      </c>
      <c r="BP101" s="44" t="n">
        <f aca="true">IF(COUNTIF(OFFSET(V101,1-MIN(100,ROW()-4),0,MIN(100,ROW()-4),1),"&lt;0")&gt;=5,AVERAGEIF(OFFSET(V101,1-MIN(100,ROW()-4),0,MIN(100,ROW()-4),1),"&lt;0"),"")</f>
        <v>-887312.546157753</v>
      </c>
      <c r="BQ101" s="42" t="n">
        <f aca="false">IF(ISNUMBER(BP101),IF(AND(V101&lt;5*BP101,V101&gt;V100,E101&lt;AJ101),1,0),0)</f>
        <v>0</v>
      </c>
      <c r="BR101" s="44" t="n">
        <f aca="true">AVERAGE(OFFSET(F101,1-MIN(5,ROW()-4),0,MIN(5,ROW()-4),1))</f>
        <v>4467580</v>
      </c>
      <c r="BS101" s="42" t="n">
        <f aca="false">IFERROR(IF(MATCH(G101,周线!$A$5:$A$84,0)&lt;=1,"",INDEX(周线!$R$5:$R$84,MATCH(G101,周线!$A$5:$A$84,0)-1)),"")</f>
        <v>0</v>
      </c>
      <c r="BT101" s="42" t="n">
        <f aca="false">IFERROR(IF(MATCH(G101,周线!$A$5:$A$84,0)&lt;=1,"",INDEX(周线!$S$5:$S$84,MATCH(G101,周线!$A$5:$A$84,0)-1)),"")</f>
        <v>0</v>
      </c>
      <c r="BU101" s="42" t="n">
        <f aca="false">IFERROR(IF(MATCH(G101,周线!$A$5:$A$84,0)&lt;=1,"",INDEX(周线!$U$5:$U$84,MATCH(G101,周线!$A$5:$A$84,0)-1)),"")</f>
        <v>-1</v>
      </c>
      <c r="BV101" s="42" t="n">
        <f aca="false">IF(AND(BS101=1,S101&lt;&gt;-1,V101&lt;0,BO101=1,E101&lt;=H101,E101&gt;=AJ101),1,0)</f>
        <v>0</v>
      </c>
      <c r="BW101" s="42" t="n">
        <f aca="false">BL101</f>
        <v>0</v>
      </c>
      <c r="BX101" s="42" t="n">
        <f aca="false">BQ101</f>
        <v>0</v>
      </c>
      <c r="BY101" s="42" t="n">
        <f aca="false">IF(BS101=1,10,0)+IF(BU101=1,5,IF(BU101=-1,0,3))+IF(BT101=1,5,0)+IF(AND(AE101&gt;AF101,AH101&gt;AH100),5,0)</f>
        <v>0</v>
      </c>
      <c r="BZ101" s="42" t="n">
        <f aca="false">IF(AND(E101&lt;=H101,E101&gt;=I101),10,IF(AND(E101&gt;=AJ101,E101&lt;I101),6,0))+IF(AND(V101&lt;0,BO101=1),8,0)+IF(AT101&lt;30,7,IF(AT101&lt;50,3,0))</f>
        <v>15</v>
      </c>
      <c r="CA101" s="42" t="n">
        <f aca="false">IF(AND(BV101=1,BW101=1),25,IF(BW101=1,22,IF(BV101=1,15,IF(BX101=1,12,0))))</f>
        <v>0</v>
      </c>
      <c r="CB101" s="42" t="n">
        <f aca="false">IF(W101&gt;0,6,0)+IF(F101&lt;BR101,4,0)</f>
        <v>4</v>
      </c>
      <c r="CC101" s="42" t="n">
        <f aca="false">IF(BC101&gt;=3,15,IF(BC101&gt;=p_RRmin,10,IF(BC101&gt;=1.5,4,0)))</f>
        <v>15</v>
      </c>
      <c r="CD101" s="42" t="n">
        <f aca="false">BY101+BZ101+CA101+CB101+CC101</f>
        <v>34</v>
      </c>
      <c r="CE101" s="42" t="n">
        <f aca="false">IF(AND(BS101&lt;&gt;1,BW101+BX101=0),1,0)</f>
        <v>1</v>
      </c>
      <c r="CF101" s="42" t="n">
        <f aca="false">IF(BU101=-1,1,0)</f>
        <v>1</v>
      </c>
      <c r="CG101" s="42" t="n">
        <f aca="false">IF(S101=-1,1,0)</f>
        <v>0</v>
      </c>
      <c r="CH101" s="42" t="n">
        <f aca="false">IF(BV101+BW101+BX101=0,1,0)</f>
        <v>1</v>
      </c>
      <c r="CI101" s="42" t="n">
        <f aca="false">IF(BC101&lt;p_RRmin,1,0)</f>
        <v>0</v>
      </c>
      <c r="CJ101" s="46" t="str">
        <f aca="false">IF(SUM(CE101:CI101)=0,IF(CD101&gt;=p_GradeA,"A",IF(CD101&gt;=p_GradeB,"B","C")),IF(AND(CI101=1,SUM(CE101:CH101)=0,CD101&gt;=p_GradeB),"B","C"))</f>
        <v>C</v>
      </c>
    </row>
    <row r="102" customFormat="false" ht="15" hidden="false" customHeight="false" outlineLevel="0" collapsed="false">
      <c r="A102" s="36" t="n">
        <v>45796</v>
      </c>
      <c r="B102" s="37" t="n">
        <v>21.86</v>
      </c>
      <c r="C102" s="37" t="n">
        <v>21.98</v>
      </c>
      <c r="D102" s="37" t="n">
        <v>21.23</v>
      </c>
      <c r="E102" s="37" t="n">
        <v>21.45</v>
      </c>
      <c r="F102" s="38" t="n">
        <v>5195200</v>
      </c>
      <c r="G102" s="39" t="n">
        <f aca="false">A102-WEEKDAY(A102,3)</f>
        <v>45796</v>
      </c>
      <c r="H102" s="40" t="n">
        <f aca="false">2/(p_EmaF+1)*E102+(1-2/(p_EmaF+1))*H101</f>
        <v>22.7229596351637</v>
      </c>
      <c r="I102" s="40" t="n">
        <f aca="false">2/(p_EmaS+1)*E102+(1-2/(p_EmaS+1))*I101</f>
        <v>23.6014767672976</v>
      </c>
      <c r="J102" s="41" t="n">
        <f aca="false">2/(p_MacdF+1)*E102+(1-2/(p_MacdF+1))*J101</f>
        <v>22.6227291297216</v>
      </c>
      <c r="K102" s="41" t="n">
        <f aca="false">2/(p_MacdS+1)*E102+(1-2/(p_MacdS+1))*K101</f>
        <v>23.6014767672976</v>
      </c>
      <c r="L102" s="41" t="n">
        <f aca="false">J102-K102</f>
        <v>-0.978747637575978</v>
      </c>
      <c r="M102" s="41" t="n">
        <f aca="false">2/(p_MacdSig+1)*L102+(1-2/(p_MacdSig+1))*M101</f>
        <v>-0.726601995018097</v>
      </c>
      <c r="N102" s="41" t="n">
        <f aca="false">L102-M102</f>
        <v>-0.252145642557881</v>
      </c>
      <c r="O102" s="42" t="n">
        <f aca="false">IF(H102&gt;H101,1,0)</f>
        <v>0</v>
      </c>
      <c r="P102" s="42" t="n">
        <f aca="false">IF(H102&lt;H101,1,0)</f>
        <v>1</v>
      </c>
      <c r="Q102" s="42" t="n">
        <f aca="false">IF(N102&gt;N101,1,0)</f>
        <v>1</v>
      </c>
      <c r="R102" s="42" t="n">
        <f aca="false">IF(N102&lt;N101,1,0)</f>
        <v>0</v>
      </c>
      <c r="S102" s="42" t="n">
        <f aca="false">IF(AND(O102=1,Q102=1),1,IF(AND(P102=1,R102=1),-1,0))</f>
        <v>0</v>
      </c>
      <c r="T102" s="43" t="str">
        <f aca="false">IF(S102=1,"绿",IF(S102=-1,"红","蓝"))</f>
        <v>蓝</v>
      </c>
      <c r="U102" s="44" t="n">
        <f aca="false">F102*(E102-E101)</f>
        <v>-2078080.00000001</v>
      </c>
      <c r="V102" s="44" t="n">
        <f aca="false">2/(p_FiS+1)*U102+(1-2/(p_FiS+1))*V101</f>
        <v>-1496959.36560838</v>
      </c>
      <c r="W102" s="44" t="n">
        <f aca="false">2/(p_FiL+1)*U102+(1-2/(p_FiL+1))*W101</f>
        <v>-1147606.14043134</v>
      </c>
      <c r="X102" s="41" t="n">
        <f aca="false">MAX(C102-D102,ABS(C102-E101),ABS(D102-E101))</f>
        <v>0.75</v>
      </c>
      <c r="Y102" s="41" t="n">
        <f aca="true">AVERAGE(OFFSET(X102,1-MIN(p_AtrN,ROW()-4),0,MIN(p_AtrN,ROW()-4),1))</f>
        <v>0.590769230769231</v>
      </c>
      <c r="Z102" s="41" t="n">
        <f aca="false">IF(AND(C102-C101&gt;D101-D102,C102-C101&gt;0),C102-C101,0)</f>
        <v>0</v>
      </c>
      <c r="AA102" s="41" t="n">
        <f aca="false">IF(AND(D101-D102&gt;C102-C101,D101-D102&gt;0),D101-D102,0)</f>
        <v>0.41</v>
      </c>
      <c r="AB102" s="41" t="n">
        <f aca="false">2/(p_AdxN+1)*X102+(1-2/(p_AdxN+1))*AB101</f>
        <v>0.596794527737098</v>
      </c>
      <c r="AC102" s="41" t="n">
        <f aca="false">2/(p_AdxN+1)*Z102+(1-2/(p_AdxN+1))*AC101</f>
        <v>0.0467488489160936</v>
      </c>
      <c r="AD102" s="41" t="n">
        <f aca="false">2/(p_AdxN+1)*AA102+(1-2/(p_AdxN+1))*AD101</f>
        <v>0.229776977911283</v>
      </c>
      <c r="AE102" s="45" t="n">
        <f aca="false">100*AC102/AB102</f>
        <v>7.83332399064617</v>
      </c>
      <c r="AF102" s="45" t="n">
        <f aca="false">100*AD102/AB102</f>
        <v>38.5018573783749</v>
      </c>
      <c r="AG102" s="45" t="n">
        <f aca="false">IFERROR(100*ABS(AE102-AF102)/(AE102+AF102),0)</f>
        <v>66.1884392843516</v>
      </c>
      <c r="AH102" s="45" t="n">
        <f aca="false">2/(p_AdxN+1)*AG102+(1-2/(p_AdxN+1))*AH101</f>
        <v>67.8120690009455</v>
      </c>
      <c r="AI102" s="40" t="n">
        <f aca="false">I102*(1+p_ChPct)</f>
        <v>25.0175653733354</v>
      </c>
      <c r="AJ102" s="40" t="n">
        <f aca="false">I102*(1-p_ChPct)</f>
        <v>22.1853881612597</v>
      </c>
      <c r="AK102" s="40" t="n">
        <f aca="false">I102+1*Y102</f>
        <v>24.1922459980668</v>
      </c>
      <c r="AL102" s="40" t="n">
        <f aca="false">I102+2*Y102</f>
        <v>24.783015228836</v>
      </c>
      <c r="AM102" s="40" t="n">
        <f aca="false">I102+3*Y102</f>
        <v>25.3737844596053</v>
      </c>
      <c r="AN102" s="40" t="n">
        <f aca="false">I102-1*Y102</f>
        <v>23.0107075365283</v>
      </c>
      <c r="AO102" s="40" t="n">
        <f aca="false">I102-2*Y102</f>
        <v>22.4199383057591</v>
      </c>
      <c r="AP102" s="40" t="n">
        <f aca="false">I102-3*Y102</f>
        <v>21.8291690749899</v>
      </c>
      <c r="AQ102" s="40" t="n">
        <f aca="true">MAX(OFFSET(C102,1-MIN(p_StochN,ROW()-4),0,MIN(p_StochN,ROW()-4),1))</f>
        <v>22.26</v>
      </c>
      <c r="AR102" s="40" t="n">
        <f aca="true">MIN(OFFSET(D102,1-MIN(p_StochN,ROW()-4),0,MIN(p_StochN,ROW()-4),1))</f>
        <v>21.23</v>
      </c>
      <c r="AS102" s="45" t="n">
        <f aca="false">IF(AQ102=AR102,50,100*(E102-AR102)/(AQ102-AR102))</f>
        <v>21.3592233009707</v>
      </c>
      <c r="AT102" s="45" t="n">
        <f aca="true">AVERAGE(OFFSET(AS102,1-MIN(p_StochSm,ROW()-4),0,MIN(p_StochSm,ROW()-4),1))</f>
        <v>26.1287501093326</v>
      </c>
      <c r="AU102" s="45" t="n">
        <f aca="true">AVERAGE(OFFSET(AT102,1-MIN(p_StochSm,ROW()-4),0,MIN(p_StochSm,ROW()-4),1))</f>
        <v>23.2532563903771</v>
      </c>
      <c r="AV102" s="41" t="n">
        <f aca="false">MAX(0,H102-D102)</f>
        <v>1.49295963516374</v>
      </c>
      <c r="AW102" s="41" t="n">
        <f aca="true">IF(COUNTIF(OFFSET(AV102,1-MIN(p_PenLb,ROW()-4),0,MIN(p_PenLb,ROW()-4),1),"&gt;0")&gt;0,SUM(OFFSET(AV102,1-MIN(p_PenLb,ROW()-4),0,MIN(p_PenLb,ROW()-4),1))/COUNTIF(OFFSET(AV102,1-MIN(p_PenLb,ROW()-4),0,MIN(p_PenLb,ROW()-4),1),"&gt;0"),0.5*Y102)</f>
        <v>1.07777125790553</v>
      </c>
      <c r="AX102" s="41" t="n">
        <f aca="false">2*H102-H101</f>
        <v>22.5107996959698</v>
      </c>
      <c r="AY102" s="40" t="n">
        <f aca="false">ROUND(MAX(AX102-AW102,0.01),2)</f>
        <v>21.43</v>
      </c>
      <c r="AZ102" s="40" t="n">
        <f aca="true">IF(MIN(p_StopLb,ROW()-4)&lt;2,D102,SMALL(OFFSET(D102,1-MIN(p_StopLb,ROW()-4),0,MIN(p_StopLb,ROW()-4),1),2))</f>
        <v>21.55</v>
      </c>
      <c r="BA102" s="40" t="n">
        <f aca="false">IF(MOD(ROUND(ROUNDDOWN(MIN(AZ102-0.01,AY102-p_StopAtr*Y102),2)*100,0),50)=0,ROUNDDOWN(MIN(AZ102-0.01,AY102-p_StopAtr*Y102),2)-0.01,ROUNDDOWN(MIN(AZ102-0.01,AY102-p_StopAtr*Y102),2))</f>
        <v>20.83</v>
      </c>
      <c r="BB102" s="40" t="n">
        <f aca="false">ROUND(AI102,2)</f>
        <v>25.02</v>
      </c>
      <c r="BC102" s="40" t="n">
        <f aca="false">IF(AY102-BA102&gt;0,(BB102-AY102)/(AY102-BA102),0)</f>
        <v>5.98333333333332</v>
      </c>
      <c r="BD102" s="42" t="n">
        <f aca="false">IF(N102&lt;0,1,0)</f>
        <v>1</v>
      </c>
      <c r="BE102" s="41" t="n">
        <f aca="false">IF(AND(BD102=1,BD101=0),N102,IF(BD102=1,MIN(BE101,N102),BE101))</f>
        <v>-0.392824838841331</v>
      </c>
      <c r="BF102" s="40" t="n">
        <f aca="false">IF(AND(BD102=1,BD101=0),D102,IF(BD102=1,MIN(BF101,D102),BF101))</f>
        <v>21.23</v>
      </c>
      <c r="BG102" s="42" t="n">
        <f aca="false">IF(AND(BD102=1,BD101=0),ROW(),IF(BD102=1,IF(N102&lt;BE101,ROW(),BG101),BG101))</f>
        <v>98</v>
      </c>
      <c r="BH102" s="41" t="n">
        <f aca="false">IF(AND(BD102=1,BD101=0),BE101,BH101)</f>
        <v>-0.267100964273217</v>
      </c>
      <c r="BI102" s="40" t="n">
        <f aca="false">IF(AND(BD102=1,BD101=0),BF101,BI101)</f>
        <v>23.24</v>
      </c>
      <c r="BJ102" s="42" t="n">
        <f aca="false">IF(AND(BD102=1,BD101=0),BG101,BJ101)</f>
        <v>52</v>
      </c>
      <c r="BK102" s="42" t="n">
        <f aca="false">IF(AND(ISNUMBER(BG102),ISNUMBER(BJ102)),BG102-BJ102,"")</f>
        <v>46</v>
      </c>
      <c r="BL102" s="42" t="n">
        <f aca="false">IF(AND(BD102=1,N102&gt;N101,ISNUMBER(BH102),ISNUMBER(BK102)),IF(AND(BE102&gt;BH102,BF102&lt;BI102,BK102&gt;=p_GapMin,BK102&lt;=p_GapMax),1,0),0)</f>
        <v>0</v>
      </c>
      <c r="BM102" s="42" t="n">
        <f aca="false">IF(AND(BL102=1,E102&gt;BI102),1,0)</f>
        <v>0</v>
      </c>
      <c r="BN102" s="42" t="n">
        <f aca="false">IF(BL102=1,IF(BE102&gt;=BH102*0.5,1,0),0)</f>
        <v>0</v>
      </c>
      <c r="BO102" s="42" t="n">
        <f aca="true">IF(V102&gt;MIN(OFFSET(V102,-MIN(p_FiLb-1,ROW()-5),0,MIN(p_FiLb-1,ROW()-5),1)),1,0)</f>
        <v>1</v>
      </c>
      <c r="BP102" s="44" t="n">
        <f aca="true">IF(COUNTIF(OFFSET(V102,1-MIN(100,ROW()-4),0,MIN(100,ROW()-4),1),"&lt;0")&gt;=5,AVERAGEIF(OFFSET(V102,1-MIN(100,ROW()-4),0,MIN(100,ROW()-4),1),"&lt;0"),"")</f>
        <v>-900565.737884941</v>
      </c>
      <c r="BQ102" s="42" t="n">
        <f aca="false">IF(ISNUMBER(BP102),IF(AND(V102&lt;5*BP102,V102&gt;V101,E102&lt;AJ102),1,0),0)</f>
        <v>0</v>
      </c>
      <c r="BR102" s="44" t="n">
        <f aca="true">AVERAGE(OFFSET(F102,1-MIN(5,ROW()-4),0,MIN(5,ROW()-4),1))</f>
        <v>4391920</v>
      </c>
      <c r="BS102" s="42" t="n">
        <f aca="false">IFERROR(IF(MATCH(G102,周线!$A$5:$A$84,0)&lt;=1,"",INDEX(周线!$R$5:$R$84,MATCH(G102,周线!$A$5:$A$84,0)-1)),"")</f>
        <v>0</v>
      </c>
      <c r="BT102" s="42" t="n">
        <f aca="false">IFERROR(IF(MATCH(G102,周线!$A$5:$A$84,0)&lt;=1,"",INDEX(周线!$S$5:$S$84,MATCH(G102,周线!$A$5:$A$84,0)-1)),"")</f>
        <v>0</v>
      </c>
      <c r="BU102" s="42" t="n">
        <f aca="false">IFERROR(IF(MATCH(G102,周线!$A$5:$A$84,0)&lt;=1,"",INDEX(周线!$U$5:$U$84,MATCH(G102,周线!$A$5:$A$84,0)-1)),"")</f>
        <v>-1</v>
      </c>
      <c r="BV102" s="42" t="n">
        <f aca="false">IF(AND(BS102=1,S102&lt;&gt;-1,V102&lt;0,BO102=1,E102&lt;=H102,E102&gt;=AJ102),1,0)</f>
        <v>0</v>
      </c>
      <c r="BW102" s="42" t="n">
        <f aca="false">BL102</f>
        <v>0</v>
      </c>
      <c r="BX102" s="42" t="n">
        <f aca="false">BQ102</f>
        <v>0</v>
      </c>
      <c r="BY102" s="42" t="n">
        <f aca="false">IF(BS102=1,10,0)+IF(BU102=1,5,IF(BU102=-1,0,3))+IF(BT102=1,5,0)+IF(AND(AE102&gt;AF102,AH102&gt;AH101),5,0)</f>
        <v>0</v>
      </c>
      <c r="BZ102" s="42" t="n">
        <f aca="false">IF(AND(E102&lt;=H102,E102&gt;=I102),10,IF(AND(E102&gt;=AJ102,E102&lt;I102),6,0))+IF(AND(V102&lt;0,BO102=1),8,0)+IF(AT102&lt;30,7,IF(AT102&lt;50,3,0))</f>
        <v>15</v>
      </c>
      <c r="CA102" s="42" t="n">
        <f aca="false">IF(AND(BV102=1,BW102=1),25,IF(BW102=1,22,IF(BV102=1,15,IF(BX102=1,12,0))))</f>
        <v>0</v>
      </c>
      <c r="CB102" s="42" t="n">
        <f aca="false">IF(W102&gt;0,6,0)+IF(F102&lt;BR102,4,0)</f>
        <v>0</v>
      </c>
      <c r="CC102" s="42" t="n">
        <f aca="false">IF(BC102&gt;=3,15,IF(BC102&gt;=p_RRmin,10,IF(BC102&gt;=1.5,4,0)))</f>
        <v>15</v>
      </c>
      <c r="CD102" s="42" t="n">
        <f aca="false">BY102+BZ102+CA102+CB102+CC102</f>
        <v>30</v>
      </c>
      <c r="CE102" s="42" t="n">
        <f aca="false">IF(AND(BS102&lt;&gt;1,BW102+BX102=0),1,0)</f>
        <v>1</v>
      </c>
      <c r="CF102" s="42" t="n">
        <f aca="false">IF(BU102=-1,1,0)</f>
        <v>1</v>
      </c>
      <c r="CG102" s="42" t="n">
        <f aca="false">IF(S102=-1,1,0)</f>
        <v>0</v>
      </c>
      <c r="CH102" s="42" t="n">
        <f aca="false">IF(BV102+BW102+BX102=0,1,0)</f>
        <v>1</v>
      </c>
      <c r="CI102" s="42" t="n">
        <f aca="false">IF(BC102&lt;p_RRmin,1,0)</f>
        <v>0</v>
      </c>
      <c r="CJ102" s="46" t="str">
        <f aca="false">IF(SUM(CE102:CI102)=0,IF(CD102&gt;=p_GradeA,"A",IF(CD102&gt;=p_GradeB,"B","C")),IF(AND(CI102=1,SUM(CE102:CH102)=0,CD102&gt;=p_GradeB),"B","C"))</f>
        <v>C</v>
      </c>
    </row>
    <row r="103" customFormat="false" ht="15" hidden="false" customHeight="false" outlineLevel="0" collapsed="false">
      <c r="A103" s="36" t="n">
        <v>45797</v>
      </c>
      <c r="B103" s="37" t="n">
        <v>21.47</v>
      </c>
      <c r="C103" s="37" t="n">
        <v>21.63</v>
      </c>
      <c r="D103" s="37" t="n">
        <v>21.21</v>
      </c>
      <c r="E103" s="37" t="n">
        <v>21.3</v>
      </c>
      <c r="F103" s="38" t="n">
        <v>2686000</v>
      </c>
      <c r="G103" s="39" t="n">
        <f aca="false">A103-WEEKDAY(A103,3)</f>
        <v>45796</v>
      </c>
      <c r="H103" s="40" t="n">
        <f aca="false">2/(p_EmaF+1)*E103+(1-2/(p_EmaF+1))*H102</f>
        <v>22.5196796872832</v>
      </c>
      <c r="I103" s="40" t="n">
        <f aca="false">2/(p_EmaS+1)*E103+(1-2/(p_EmaS+1))*I102</f>
        <v>23.430997006757</v>
      </c>
      <c r="J103" s="41" t="n">
        <f aca="false">2/(p_MacdF+1)*E103+(1-2/(p_MacdF+1))*J102</f>
        <v>22.4192323405337</v>
      </c>
      <c r="K103" s="41" t="n">
        <f aca="false">2/(p_MacdS+1)*E103+(1-2/(p_MacdS+1))*K102</f>
        <v>23.430997006757</v>
      </c>
      <c r="L103" s="41" t="n">
        <f aca="false">J103-K103</f>
        <v>-1.01176466622336</v>
      </c>
      <c r="M103" s="41" t="n">
        <f aca="false">2/(p_MacdSig+1)*L103+(1-2/(p_MacdSig+1))*M102</f>
        <v>-0.783634529259149</v>
      </c>
      <c r="N103" s="41" t="n">
        <f aca="false">L103-M103</f>
        <v>-0.228130136964208</v>
      </c>
      <c r="O103" s="42" t="n">
        <f aca="false">IF(H103&gt;H102,1,0)</f>
        <v>0</v>
      </c>
      <c r="P103" s="42" t="n">
        <f aca="false">IF(H103&lt;H102,1,0)</f>
        <v>1</v>
      </c>
      <c r="Q103" s="42" t="n">
        <f aca="false">IF(N103&gt;N102,1,0)</f>
        <v>1</v>
      </c>
      <c r="R103" s="42" t="n">
        <f aca="false">IF(N103&lt;N102,1,0)</f>
        <v>0</v>
      </c>
      <c r="S103" s="42" t="n">
        <f aca="false">IF(AND(O103=1,Q103=1),1,IF(AND(P103=1,R103=1),-1,0))</f>
        <v>0</v>
      </c>
      <c r="T103" s="43" t="str">
        <f aca="false">IF(S103=1,"绿",IF(S103=-1,"红","蓝"))</f>
        <v>蓝</v>
      </c>
      <c r="U103" s="44" t="n">
        <f aca="false">F103*(E103-E102)</f>
        <v>-402899.999999996</v>
      </c>
      <c r="V103" s="44" t="n">
        <f aca="false">2/(p_FiS+1)*U103+(1-2/(p_FiS+1))*V102</f>
        <v>-767586.455202791</v>
      </c>
      <c r="W103" s="44" t="n">
        <f aca="false">2/(p_FiL+1)*U103+(1-2/(p_FiL+1))*W102</f>
        <v>-1041219.54894115</v>
      </c>
      <c r="X103" s="41" t="n">
        <f aca="false">MAX(C103-D103,ABS(C103-E102),ABS(D103-E102))</f>
        <v>0.419999999999998</v>
      </c>
      <c r="Y103" s="41" t="n">
        <f aca="true">AVERAGE(OFFSET(X103,1-MIN(p_AtrN,ROW()-4),0,MIN(p_AtrN,ROW()-4),1))</f>
        <v>0.593076923076923</v>
      </c>
      <c r="Z103" s="41" t="n">
        <f aca="false">IF(AND(C103-C102&gt;D102-D103,C103-C102&gt;0),C103-C102,0)</f>
        <v>0</v>
      </c>
      <c r="AA103" s="41" t="n">
        <f aca="false">IF(AND(D102-D103&gt;C103-C102,D102-D103&gt;0),D102-D103,0)</f>
        <v>0.0199999999999996</v>
      </c>
      <c r="AB103" s="41" t="n">
        <f aca="false">2/(p_AdxN+1)*X103+(1-2/(p_AdxN+1))*AB102</f>
        <v>0.571538166631798</v>
      </c>
      <c r="AC103" s="41" t="n">
        <f aca="false">2/(p_AdxN+1)*Z103+(1-2/(p_AdxN+1))*AC102</f>
        <v>0.0400704419280802</v>
      </c>
      <c r="AD103" s="41" t="n">
        <f aca="false">2/(p_AdxN+1)*AA103+(1-2/(p_AdxN+1))*AD102</f>
        <v>0.199808838209671</v>
      </c>
      <c r="AE103" s="45" t="n">
        <f aca="false">100*AC103/AB103</f>
        <v>7.01098268978681</v>
      </c>
      <c r="AF103" s="45" t="n">
        <f aca="false">100*AD103/AB103</f>
        <v>34.959841682523</v>
      </c>
      <c r="AG103" s="45" t="n">
        <f aca="false">IFERROR(100*ABS(AE103-AF103)/(AE103+AF103),0)</f>
        <v>66.5911604328063</v>
      </c>
      <c r="AH103" s="45" t="n">
        <f aca="false">2/(p_AdxN+1)*AG103+(1-2/(p_AdxN+1))*AH102</f>
        <v>67.6376534912113</v>
      </c>
      <c r="AI103" s="40" t="n">
        <f aca="false">I103*(1+p_ChPct)</f>
        <v>24.8368568271624</v>
      </c>
      <c r="AJ103" s="40" t="n">
        <f aca="false">I103*(1-p_ChPct)</f>
        <v>22.0251371863516</v>
      </c>
      <c r="AK103" s="40" t="n">
        <f aca="false">I103+1*Y103</f>
        <v>24.0240739298339</v>
      </c>
      <c r="AL103" s="40" t="n">
        <f aca="false">I103+2*Y103</f>
        <v>24.6171508529109</v>
      </c>
      <c r="AM103" s="40" t="n">
        <f aca="false">I103+3*Y103</f>
        <v>25.2102277759878</v>
      </c>
      <c r="AN103" s="40" t="n">
        <f aca="false">I103-1*Y103</f>
        <v>22.8379200836801</v>
      </c>
      <c r="AO103" s="40" t="n">
        <f aca="false">I103-2*Y103</f>
        <v>22.2448431606032</v>
      </c>
      <c r="AP103" s="40" t="n">
        <f aca="false">I103-3*Y103</f>
        <v>21.6517662375262</v>
      </c>
      <c r="AQ103" s="40" t="n">
        <f aca="true">MAX(OFFSET(C103,1-MIN(p_StochN,ROW()-4),0,MIN(p_StochN,ROW()-4),1))</f>
        <v>22.26</v>
      </c>
      <c r="AR103" s="40" t="n">
        <f aca="true">MIN(OFFSET(D103,1-MIN(p_StochN,ROW()-4),0,MIN(p_StochN,ROW()-4),1))</f>
        <v>21.21</v>
      </c>
      <c r="AS103" s="45" t="n">
        <f aca="false">IF(AQ103=AR103,50,100*(E103-AR103)/(AQ103-AR103))</f>
        <v>8.57142857142855</v>
      </c>
      <c r="AT103" s="45" t="n">
        <f aca="true">AVERAGE(OFFSET(AS103,1-MIN(p_StochSm,ROW()-4),0,MIN(p_StochSm,ROW()-4),1))</f>
        <v>18.9858929664755</v>
      </c>
      <c r="AU103" s="45" t="n">
        <f aca="true">AVERAGE(OFFSET(AT103,1-MIN(p_StochSm,ROW()-4),0,MIN(p_StochSm,ROW()-4),1))</f>
        <v>23.6107491575526</v>
      </c>
      <c r="AV103" s="41" t="n">
        <f aca="false">MAX(0,H103-D103)</f>
        <v>1.3096796872832</v>
      </c>
      <c r="AW103" s="41" t="n">
        <f aca="true">IF(COUNTIF(OFFSET(AV103,1-MIN(p_PenLb,ROW()-4),0,MIN(p_PenLb,ROW()-4),1),"&gt;0")&gt;0,SUM(OFFSET(AV103,1-MIN(p_PenLb,ROW()-4),0,MIN(p_PenLb,ROW()-4),1))/COUNTIF(OFFSET(AV103,1-MIN(p_PenLb,ROW()-4),0,MIN(p_PenLb,ROW()-4),1),"&gt;0"),0.5*Y103)</f>
        <v>1.0874341091296</v>
      </c>
      <c r="AX103" s="41" t="n">
        <f aca="false">2*H103-H102</f>
        <v>22.3163997394027</v>
      </c>
      <c r="AY103" s="40" t="n">
        <f aca="false">ROUND(MAX(AX103-AW103,0.01),2)</f>
        <v>21.23</v>
      </c>
      <c r="AZ103" s="40" t="n">
        <f aca="true">IF(MIN(p_StopLb,ROW()-4)&lt;2,D103,SMALL(OFFSET(D103,1-MIN(p_StopLb,ROW()-4),0,MIN(p_StopLb,ROW()-4),1),2))</f>
        <v>21.23</v>
      </c>
      <c r="BA103" s="40" t="n">
        <f aca="false">IF(MOD(ROUND(ROUNDDOWN(MIN(AZ103-0.01,AY103-p_StopAtr*Y103),2)*100,0),50)=0,ROUNDDOWN(MIN(AZ103-0.01,AY103-p_StopAtr*Y103),2)-0.01,ROUNDDOWN(MIN(AZ103-0.01,AY103-p_StopAtr*Y103),2))</f>
        <v>20.63</v>
      </c>
      <c r="BB103" s="40" t="n">
        <f aca="false">ROUND(AI103,2)</f>
        <v>24.84</v>
      </c>
      <c r="BC103" s="40" t="n">
        <f aca="false">IF(AY103-BA103&gt;0,(BB103-AY103)/(AY103-BA103),0)</f>
        <v>6.01666666666665</v>
      </c>
      <c r="BD103" s="42" t="n">
        <f aca="false">IF(N103&lt;0,1,0)</f>
        <v>1</v>
      </c>
      <c r="BE103" s="41" t="n">
        <f aca="false">IF(AND(BD103=1,BD102=0),N103,IF(BD103=1,MIN(BE102,N103),BE102))</f>
        <v>-0.392824838841331</v>
      </c>
      <c r="BF103" s="40" t="n">
        <f aca="false">IF(AND(BD103=1,BD102=0),D103,IF(BD103=1,MIN(BF102,D103),BF102))</f>
        <v>21.21</v>
      </c>
      <c r="BG103" s="42" t="n">
        <f aca="false">IF(AND(BD103=1,BD102=0),ROW(),IF(BD103=1,IF(N103&lt;BE102,ROW(),BG102),BG102))</f>
        <v>98</v>
      </c>
      <c r="BH103" s="41" t="n">
        <f aca="false">IF(AND(BD103=1,BD102=0),BE102,BH102)</f>
        <v>-0.267100964273217</v>
      </c>
      <c r="BI103" s="40" t="n">
        <f aca="false">IF(AND(BD103=1,BD102=0),BF102,BI102)</f>
        <v>23.24</v>
      </c>
      <c r="BJ103" s="42" t="n">
        <f aca="false">IF(AND(BD103=1,BD102=0),BG102,BJ102)</f>
        <v>52</v>
      </c>
      <c r="BK103" s="42" t="n">
        <f aca="false">IF(AND(ISNUMBER(BG103),ISNUMBER(BJ103)),BG103-BJ103,"")</f>
        <v>46</v>
      </c>
      <c r="BL103" s="42" t="n">
        <f aca="false">IF(AND(BD103=1,N103&gt;N102,ISNUMBER(BH103),ISNUMBER(BK103)),IF(AND(BE103&gt;BH103,BF103&lt;BI103,BK103&gt;=p_GapMin,BK103&lt;=p_GapMax),1,0),0)</f>
        <v>0</v>
      </c>
      <c r="BM103" s="42" t="n">
        <f aca="false">IF(AND(BL103=1,E103&gt;BI103),1,0)</f>
        <v>0</v>
      </c>
      <c r="BN103" s="42" t="n">
        <f aca="false">IF(BL103=1,IF(BE103&gt;=BH103*0.5,1,0),0)</f>
        <v>0</v>
      </c>
      <c r="BO103" s="42" t="n">
        <f aca="true">IF(V103&gt;MIN(OFFSET(V103,-MIN(p_FiLb-1,ROW()-5),0,MIN(p_FiLb-1,ROW()-5),1)),1,0)</f>
        <v>1</v>
      </c>
      <c r="BP103" s="44" t="n">
        <f aca="true">IF(COUNTIF(OFFSET(V103,1-MIN(100,ROW()-4),0,MIN(100,ROW()-4),1),"&lt;0")&gt;=5,AVERAGEIF(OFFSET(V103,1-MIN(100,ROW()-4),0,MIN(100,ROW()-4),1),"&lt;0"),"")</f>
        <v>-897736.391444895</v>
      </c>
      <c r="BQ103" s="42" t="n">
        <f aca="false">IF(ISNUMBER(BP103),IF(AND(V103&lt;5*BP103,V103&gt;V102,E103&lt;AJ103),1,0),0)</f>
        <v>0</v>
      </c>
      <c r="BR103" s="44" t="n">
        <f aca="true">AVERAGE(OFFSET(F103,1-MIN(5,ROW()-4),0,MIN(5,ROW()-4),1))</f>
        <v>3795540</v>
      </c>
      <c r="BS103" s="42" t="n">
        <f aca="false">IFERROR(IF(MATCH(G103,周线!$A$5:$A$84,0)&lt;=1,"",INDEX(周线!$R$5:$R$84,MATCH(G103,周线!$A$5:$A$84,0)-1)),"")</f>
        <v>0</v>
      </c>
      <c r="BT103" s="42" t="n">
        <f aca="false">IFERROR(IF(MATCH(G103,周线!$A$5:$A$84,0)&lt;=1,"",INDEX(周线!$S$5:$S$84,MATCH(G103,周线!$A$5:$A$84,0)-1)),"")</f>
        <v>0</v>
      </c>
      <c r="BU103" s="42" t="n">
        <f aca="false">IFERROR(IF(MATCH(G103,周线!$A$5:$A$84,0)&lt;=1,"",INDEX(周线!$U$5:$U$84,MATCH(G103,周线!$A$5:$A$84,0)-1)),"")</f>
        <v>-1</v>
      </c>
      <c r="BV103" s="42" t="n">
        <f aca="false">IF(AND(BS103=1,S103&lt;&gt;-1,V103&lt;0,BO103=1,E103&lt;=H103,E103&gt;=AJ103),1,0)</f>
        <v>0</v>
      </c>
      <c r="BW103" s="42" t="n">
        <f aca="false">BL103</f>
        <v>0</v>
      </c>
      <c r="BX103" s="42" t="n">
        <f aca="false">BQ103</f>
        <v>0</v>
      </c>
      <c r="BY103" s="42" t="n">
        <f aca="false">IF(BS103=1,10,0)+IF(BU103=1,5,IF(BU103=-1,0,3))+IF(BT103=1,5,0)+IF(AND(AE103&gt;AF103,AH103&gt;AH102),5,0)</f>
        <v>0</v>
      </c>
      <c r="BZ103" s="42" t="n">
        <f aca="false">IF(AND(E103&lt;=H103,E103&gt;=I103),10,IF(AND(E103&gt;=AJ103,E103&lt;I103),6,0))+IF(AND(V103&lt;0,BO103=1),8,0)+IF(AT103&lt;30,7,IF(AT103&lt;50,3,0))</f>
        <v>15</v>
      </c>
      <c r="CA103" s="42" t="n">
        <f aca="false">IF(AND(BV103=1,BW103=1),25,IF(BW103=1,22,IF(BV103=1,15,IF(BX103=1,12,0))))</f>
        <v>0</v>
      </c>
      <c r="CB103" s="42" t="n">
        <f aca="false">IF(W103&gt;0,6,0)+IF(F103&lt;BR103,4,0)</f>
        <v>4</v>
      </c>
      <c r="CC103" s="42" t="n">
        <f aca="false">IF(BC103&gt;=3,15,IF(BC103&gt;=p_RRmin,10,IF(BC103&gt;=1.5,4,0)))</f>
        <v>15</v>
      </c>
      <c r="CD103" s="42" t="n">
        <f aca="false">BY103+BZ103+CA103+CB103+CC103</f>
        <v>34</v>
      </c>
      <c r="CE103" s="42" t="n">
        <f aca="false">IF(AND(BS103&lt;&gt;1,BW103+BX103=0),1,0)</f>
        <v>1</v>
      </c>
      <c r="CF103" s="42" t="n">
        <f aca="false">IF(BU103=-1,1,0)</f>
        <v>1</v>
      </c>
      <c r="CG103" s="42" t="n">
        <f aca="false">IF(S103=-1,1,0)</f>
        <v>0</v>
      </c>
      <c r="CH103" s="42" t="n">
        <f aca="false">IF(BV103+BW103+BX103=0,1,0)</f>
        <v>1</v>
      </c>
      <c r="CI103" s="42" t="n">
        <f aca="false">IF(BC103&lt;p_RRmin,1,0)</f>
        <v>0</v>
      </c>
      <c r="CJ103" s="46" t="str">
        <f aca="false">IF(SUM(CE103:CI103)=0,IF(CD103&gt;=p_GradeA,"A",IF(CD103&gt;=p_GradeB,"B","C")),IF(AND(CI103=1,SUM(CE103:CH103)=0,CD103&gt;=p_GradeB),"B","C"))</f>
        <v>C</v>
      </c>
    </row>
    <row r="104" customFormat="false" ht="15" hidden="false" customHeight="false" outlineLevel="0" collapsed="false">
      <c r="A104" s="36" t="n">
        <v>45798</v>
      </c>
      <c r="B104" s="37" t="n">
        <v>21.17</v>
      </c>
      <c r="C104" s="37" t="n">
        <v>21.27</v>
      </c>
      <c r="D104" s="37" t="n">
        <v>20.37</v>
      </c>
      <c r="E104" s="37" t="n">
        <v>20.66</v>
      </c>
      <c r="F104" s="38" t="n">
        <v>6147700</v>
      </c>
      <c r="G104" s="39" t="n">
        <f aca="false">A104-WEEKDAY(A104,3)</f>
        <v>45796</v>
      </c>
      <c r="H104" s="40" t="n">
        <f aca="false">2/(p_EmaF+1)*E104+(1-2/(p_EmaF+1))*H103</f>
        <v>22.2540111605285</v>
      </c>
      <c r="I104" s="40" t="n">
        <f aca="false">2/(p_EmaS+1)*E104+(1-2/(p_EmaS+1))*I103</f>
        <v>23.2257379692195</v>
      </c>
      <c r="J104" s="41" t="n">
        <f aca="false">2/(p_MacdF+1)*E104+(1-2/(p_MacdF+1))*J103</f>
        <v>22.1485812112208</v>
      </c>
      <c r="K104" s="41" t="n">
        <f aca="false">2/(p_MacdS+1)*E104+(1-2/(p_MacdS+1))*K103</f>
        <v>23.2257379692195</v>
      </c>
      <c r="L104" s="41" t="n">
        <f aca="false">J104-K104</f>
        <v>-1.07715675799867</v>
      </c>
      <c r="M104" s="41" t="n">
        <f aca="false">2/(p_MacdSig+1)*L104+(1-2/(p_MacdSig+1))*M103</f>
        <v>-0.842338975007054</v>
      </c>
      <c r="N104" s="41" t="n">
        <f aca="false">L104-M104</f>
        <v>-0.234817782991619</v>
      </c>
      <c r="O104" s="42" t="n">
        <f aca="false">IF(H104&gt;H103,1,0)</f>
        <v>0</v>
      </c>
      <c r="P104" s="42" t="n">
        <f aca="false">IF(H104&lt;H103,1,0)</f>
        <v>1</v>
      </c>
      <c r="Q104" s="42" t="n">
        <f aca="false">IF(N104&gt;N103,1,0)</f>
        <v>0</v>
      </c>
      <c r="R104" s="42" t="n">
        <f aca="false">IF(N104&lt;N103,1,0)</f>
        <v>1</v>
      </c>
      <c r="S104" s="42" t="n">
        <f aca="false">IF(AND(O104=1,Q104=1),1,IF(AND(P104=1,R104=1),-1,0))</f>
        <v>-1</v>
      </c>
      <c r="T104" s="43" t="str">
        <f aca="false">IF(S104=1,"绿",IF(S104=-1,"红","蓝"))</f>
        <v>红</v>
      </c>
      <c r="U104" s="44" t="n">
        <f aca="false">F104*(E104-E103)</f>
        <v>-3934528</v>
      </c>
      <c r="V104" s="44" t="n">
        <f aca="false">2/(p_FiS+1)*U104+(1-2/(p_FiS+1))*V103</f>
        <v>-2878880.81840093</v>
      </c>
      <c r="W104" s="44" t="n">
        <f aca="false">2/(p_FiL+1)*U104+(1-2/(p_FiL+1))*W103</f>
        <v>-1454549.32766385</v>
      </c>
      <c r="X104" s="41" t="n">
        <f aca="false">MAX(C104-D104,ABS(C104-E103),ABS(D104-E103))</f>
        <v>0.93</v>
      </c>
      <c r="Y104" s="41" t="n">
        <f aca="true">AVERAGE(OFFSET(X104,1-MIN(p_AtrN,ROW()-4),0,MIN(p_AtrN,ROW()-4),1))</f>
        <v>0.64</v>
      </c>
      <c r="Z104" s="41" t="n">
        <f aca="false">IF(AND(C104-C103&gt;D103-D104,C104-C103&gt;0),C104-C103,0)</f>
        <v>0</v>
      </c>
      <c r="AA104" s="41" t="n">
        <f aca="false">IF(AND(D103-D104&gt;C104-C103,D103-D104&gt;0),D103-D104,0)</f>
        <v>0.84</v>
      </c>
      <c r="AB104" s="41" t="n">
        <f aca="false">2/(p_AdxN+1)*X104+(1-2/(p_AdxN+1))*AB103</f>
        <v>0.622746999970112</v>
      </c>
      <c r="AC104" s="41" t="n">
        <f aca="false">2/(p_AdxN+1)*Z104+(1-2/(p_AdxN+1))*AC103</f>
        <v>0.0343460930812116</v>
      </c>
      <c r="AD104" s="41" t="n">
        <f aca="false">2/(p_AdxN+1)*AA104+(1-2/(p_AdxN+1))*AD103</f>
        <v>0.291264718465432</v>
      </c>
      <c r="AE104" s="45" t="n">
        <f aca="false">100*AC104/AB104</f>
        <v>5.51525628912865</v>
      </c>
      <c r="AF104" s="45" t="n">
        <f aca="false">100*AD104/AB104</f>
        <v>46.770954894911</v>
      </c>
      <c r="AG104" s="45" t="n">
        <f aca="false">IFERROR(100*ABS(AE104-AF104)/(AE104+AF104),0)</f>
        <v>78.9035917339056</v>
      </c>
      <c r="AH104" s="45" t="n">
        <f aca="false">2/(p_AdxN+1)*AG104+(1-2/(p_AdxN+1))*AH103</f>
        <v>69.2470732401676</v>
      </c>
      <c r="AI104" s="40" t="n">
        <f aca="false">I104*(1+p_ChPct)</f>
        <v>24.6192822473726</v>
      </c>
      <c r="AJ104" s="40" t="n">
        <f aca="false">I104*(1-p_ChPct)</f>
        <v>21.8321936910663</v>
      </c>
      <c r="AK104" s="40" t="n">
        <f aca="false">I104+1*Y104</f>
        <v>23.8657379692195</v>
      </c>
      <c r="AL104" s="40" t="n">
        <f aca="false">I104+2*Y104</f>
        <v>24.5057379692195</v>
      </c>
      <c r="AM104" s="40" t="n">
        <f aca="false">I104+3*Y104</f>
        <v>25.1457379692195</v>
      </c>
      <c r="AN104" s="40" t="n">
        <f aca="false">I104-1*Y104</f>
        <v>22.5857379692195</v>
      </c>
      <c r="AO104" s="40" t="n">
        <f aca="false">I104-2*Y104</f>
        <v>21.9457379692195</v>
      </c>
      <c r="AP104" s="40" t="n">
        <f aca="false">I104-3*Y104</f>
        <v>21.3057379692195</v>
      </c>
      <c r="AQ104" s="40" t="n">
        <f aca="true">MAX(OFFSET(C104,1-MIN(p_StochN,ROW()-4),0,MIN(p_StochN,ROW()-4),1))</f>
        <v>22.26</v>
      </c>
      <c r="AR104" s="40" t="n">
        <f aca="true">MIN(OFFSET(D104,1-MIN(p_StochN,ROW()-4),0,MIN(p_StochN,ROW()-4),1))</f>
        <v>20.37</v>
      </c>
      <c r="AS104" s="45" t="n">
        <f aca="false">IF(AQ104=AR104,50,100*(E104-AR104)/(AQ104-AR104))</f>
        <v>15.3439153439153</v>
      </c>
      <c r="AT104" s="45" t="n">
        <f aca="true">AVERAGE(OFFSET(AS104,1-MIN(p_StochSm,ROW()-4),0,MIN(p_StochSm,ROW()-4),1))</f>
        <v>15.0915224054382</v>
      </c>
      <c r="AU104" s="45" t="n">
        <f aca="true">AVERAGE(OFFSET(AT104,1-MIN(p_StochSm,ROW()-4),0,MIN(p_StochSm,ROW()-4),1))</f>
        <v>20.0687218270821</v>
      </c>
      <c r="AV104" s="41" t="n">
        <f aca="false">MAX(0,H104-D104)</f>
        <v>1.88401116052846</v>
      </c>
      <c r="AW104" s="41" t="n">
        <f aca="true">IF(COUNTIF(OFFSET(AV104,1-MIN(p_PenLb,ROW()-4),0,MIN(p_PenLb,ROW()-4),1),"&gt;0")&gt;0,SUM(OFFSET(AV104,1-MIN(p_PenLb,ROW()-4),0,MIN(p_PenLb,ROW()-4),1))/COUNTIF(OFFSET(AV104,1-MIN(p_PenLb,ROW()-4),0,MIN(p_PenLb,ROW()-4),1),"&gt;0"),0.5*Y104)</f>
        <v>1.11929719118555</v>
      </c>
      <c r="AX104" s="41" t="n">
        <f aca="false">2*H104-H103</f>
        <v>21.9883426337737</v>
      </c>
      <c r="AY104" s="40" t="n">
        <f aca="false">ROUND(MAX(AX104-AW104,0.01),2)</f>
        <v>20.87</v>
      </c>
      <c r="AZ104" s="40" t="n">
        <f aca="true">IF(MIN(p_StopLb,ROW()-4)&lt;2,D104,SMALL(OFFSET(D104,1-MIN(p_StopLb,ROW()-4),0,MIN(p_StopLb,ROW()-4),1),2))</f>
        <v>21.21</v>
      </c>
      <c r="BA104" s="40" t="n">
        <f aca="false">IF(MOD(ROUND(ROUNDDOWN(MIN(AZ104-0.01,AY104-p_StopAtr*Y104),2)*100,0),50)=0,ROUNDDOWN(MIN(AZ104-0.01,AY104-p_StopAtr*Y104),2)-0.01,ROUNDDOWN(MIN(AZ104-0.01,AY104-p_StopAtr*Y104),2))</f>
        <v>20.23</v>
      </c>
      <c r="BB104" s="40" t="n">
        <f aca="false">ROUND(AI104,2)</f>
        <v>24.62</v>
      </c>
      <c r="BC104" s="40" t="n">
        <f aca="false">IF(AY104-BA104&gt;0,(BB104-AY104)/(AY104-BA104),0)</f>
        <v>5.859375</v>
      </c>
      <c r="BD104" s="42" t="n">
        <f aca="false">IF(N104&lt;0,1,0)</f>
        <v>1</v>
      </c>
      <c r="BE104" s="41" t="n">
        <f aca="false">IF(AND(BD104=1,BD103=0),N104,IF(BD104=1,MIN(BE103,N104),BE103))</f>
        <v>-0.392824838841331</v>
      </c>
      <c r="BF104" s="40" t="n">
        <f aca="false">IF(AND(BD104=1,BD103=0),D104,IF(BD104=1,MIN(BF103,D104),BF103))</f>
        <v>20.37</v>
      </c>
      <c r="BG104" s="42" t="n">
        <f aca="false">IF(AND(BD104=1,BD103=0),ROW(),IF(BD104=1,IF(N104&lt;BE103,ROW(),BG103),BG103))</f>
        <v>98</v>
      </c>
      <c r="BH104" s="41" t="n">
        <f aca="false">IF(AND(BD104=1,BD103=0),BE103,BH103)</f>
        <v>-0.267100964273217</v>
      </c>
      <c r="BI104" s="40" t="n">
        <f aca="false">IF(AND(BD104=1,BD103=0),BF103,BI103)</f>
        <v>23.24</v>
      </c>
      <c r="BJ104" s="42" t="n">
        <f aca="false">IF(AND(BD104=1,BD103=0),BG103,BJ103)</f>
        <v>52</v>
      </c>
      <c r="BK104" s="42" t="n">
        <f aca="false">IF(AND(ISNUMBER(BG104),ISNUMBER(BJ104)),BG104-BJ104,"")</f>
        <v>46</v>
      </c>
      <c r="BL104" s="42" t="n">
        <f aca="false">IF(AND(BD104=1,N104&gt;N103,ISNUMBER(BH104),ISNUMBER(BK104)),IF(AND(BE104&gt;BH104,BF104&lt;BI104,BK104&gt;=p_GapMin,BK104&lt;=p_GapMax),1,0),0)</f>
        <v>0</v>
      </c>
      <c r="BM104" s="42" t="n">
        <f aca="false">IF(AND(BL104=1,E104&gt;BI104),1,0)</f>
        <v>0</v>
      </c>
      <c r="BN104" s="42" t="n">
        <f aca="false">IF(BL104=1,IF(BE104&gt;=BH104*0.5,1,0),0)</f>
        <v>0</v>
      </c>
      <c r="BO104" s="42" t="n">
        <f aca="true">IF(V104&gt;MIN(OFFSET(V104,-MIN(p_FiLb-1,ROW()-5),0,MIN(p_FiLb-1,ROW()-5),1)),1,0)</f>
        <v>1</v>
      </c>
      <c r="BP104" s="44" t="n">
        <f aca="true">IF(COUNTIF(OFFSET(V104,1-MIN(100,ROW()-4),0,MIN(100,ROW()-4),1),"&lt;0")&gt;=5,AVERAGEIF(OFFSET(V104,1-MIN(100,ROW()-4),0,MIN(100,ROW()-4),1),"&lt;0"),"")</f>
        <v>-939010.233673146</v>
      </c>
      <c r="BQ104" s="42" t="n">
        <f aca="false">IF(ISNUMBER(BP104),IF(AND(V104&lt;5*BP104,V104&gt;V103,E104&lt;AJ104),1,0),0)</f>
        <v>0</v>
      </c>
      <c r="BR104" s="44" t="n">
        <f aca="true">AVERAGE(OFFSET(F104,1-MIN(5,ROW()-4),0,MIN(5,ROW()-4),1))</f>
        <v>4359600</v>
      </c>
      <c r="BS104" s="42" t="n">
        <f aca="false">IFERROR(IF(MATCH(G104,周线!$A$5:$A$84,0)&lt;=1,"",INDEX(周线!$R$5:$R$84,MATCH(G104,周线!$A$5:$A$84,0)-1)),"")</f>
        <v>0</v>
      </c>
      <c r="BT104" s="42" t="n">
        <f aca="false">IFERROR(IF(MATCH(G104,周线!$A$5:$A$84,0)&lt;=1,"",INDEX(周线!$S$5:$S$84,MATCH(G104,周线!$A$5:$A$84,0)-1)),"")</f>
        <v>0</v>
      </c>
      <c r="BU104" s="42" t="n">
        <f aca="false">IFERROR(IF(MATCH(G104,周线!$A$5:$A$84,0)&lt;=1,"",INDEX(周线!$U$5:$U$84,MATCH(G104,周线!$A$5:$A$84,0)-1)),"")</f>
        <v>-1</v>
      </c>
      <c r="BV104" s="42" t="n">
        <f aca="false">IF(AND(BS104=1,S104&lt;&gt;-1,V104&lt;0,BO104=1,E104&lt;=H104,E104&gt;=AJ104),1,0)</f>
        <v>0</v>
      </c>
      <c r="BW104" s="42" t="n">
        <f aca="false">BL104</f>
        <v>0</v>
      </c>
      <c r="BX104" s="42" t="n">
        <f aca="false">BQ104</f>
        <v>0</v>
      </c>
      <c r="BY104" s="42" t="n">
        <f aca="false">IF(BS104=1,10,0)+IF(BU104=1,5,IF(BU104=-1,0,3))+IF(BT104=1,5,0)+IF(AND(AE104&gt;AF104,AH104&gt;AH103),5,0)</f>
        <v>0</v>
      </c>
      <c r="BZ104" s="42" t="n">
        <f aca="false">IF(AND(E104&lt;=H104,E104&gt;=I104),10,IF(AND(E104&gt;=AJ104,E104&lt;I104),6,0))+IF(AND(V104&lt;0,BO104=1),8,0)+IF(AT104&lt;30,7,IF(AT104&lt;50,3,0))</f>
        <v>15</v>
      </c>
      <c r="CA104" s="42" t="n">
        <f aca="false">IF(AND(BV104=1,BW104=1),25,IF(BW104=1,22,IF(BV104=1,15,IF(BX104=1,12,0))))</f>
        <v>0</v>
      </c>
      <c r="CB104" s="42" t="n">
        <f aca="false">IF(W104&gt;0,6,0)+IF(F104&lt;BR104,4,0)</f>
        <v>0</v>
      </c>
      <c r="CC104" s="42" t="n">
        <f aca="false">IF(BC104&gt;=3,15,IF(BC104&gt;=p_RRmin,10,IF(BC104&gt;=1.5,4,0)))</f>
        <v>15</v>
      </c>
      <c r="CD104" s="42" t="n">
        <f aca="false">BY104+BZ104+CA104+CB104+CC104</f>
        <v>30</v>
      </c>
      <c r="CE104" s="42" t="n">
        <f aca="false">IF(AND(BS104&lt;&gt;1,BW104+BX104=0),1,0)</f>
        <v>1</v>
      </c>
      <c r="CF104" s="42" t="n">
        <f aca="false">IF(BU104=-1,1,0)</f>
        <v>1</v>
      </c>
      <c r="CG104" s="42" t="n">
        <f aca="false">IF(S104=-1,1,0)</f>
        <v>1</v>
      </c>
      <c r="CH104" s="42" t="n">
        <f aca="false">IF(BV104+BW104+BX104=0,1,0)</f>
        <v>1</v>
      </c>
      <c r="CI104" s="42" t="n">
        <f aca="false">IF(BC104&lt;p_RRmin,1,0)</f>
        <v>0</v>
      </c>
      <c r="CJ104" s="46" t="str">
        <f aca="false">IF(SUM(CE104:CI104)=0,IF(CD104&gt;=p_GradeA,"A",IF(CD104&gt;=p_GradeB,"B","C")),IF(AND(CI104=1,SUM(CE104:CH104)=0,CD104&gt;=p_GradeB),"B","C"))</f>
        <v>C</v>
      </c>
    </row>
    <row r="105" customFormat="false" ht="15" hidden="false" customHeight="false" outlineLevel="0" collapsed="false">
      <c r="A105" s="36" t="n">
        <v>45799</v>
      </c>
      <c r="B105" s="37" t="n">
        <v>20.48</v>
      </c>
      <c r="C105" s="37" t="n">
        <v>20.8</v>
      </c>
      <c r="D105" s="37" t="n">
        <v>20.27</v>
      </c>
      <c r="E105" s="37" t="n">
        <v>20.72</v>
      </c>
      <c r="F105" s="38" t="n">
        <v>3356600</v>
      </c>
      <c r="G105" s="39" t="n">
        <f aca="false">A105-WEEKDAY(A105,3)</f>
        <v>45796</v>
      </c>
      <c r="H105" s="40" t="n">
        <f aca="false">2/(p_EmaF+1)*E105+(1-2/(p_EmaF+1))*H104</f>
        <v>22.0348667090244</v>
      </c>
      <c r="I105" s="40" t="n">
        <f aca="false">2/(p_EmaS+1)*E105+(1-2/(p_EmaS+1))*I104</f>
        <v>23.0401277492773</v>
      </c>
      <c r="J105" s="41" t="n">
        <f aca="false">2/(p_MacdF+1)*E105+(1-2/(p_MacdF+1))*J104</f>
        <v>21.9287994864176</v>
      </c>
      <c r="K105" s="41" t="n">
        <f aca="false">2/(p_MacdS+1)*E105+(1-2/(p_MacdS+1))*K104</f>
        <v>23.0401277492773</v>
      </c>
      <c r="L105" s="41" t="n">
        <f aca="false">J105-K105</f>
        <v>-1.11132826285969</v>
      </c>
      <c r="M105" s="41" t="n">
        <f aca="false">2/(p_MacdSig+1)*L105+(1-2/(p_MacdSig+1))*M104</f>
        <v>-0.89613683257758</v>
      </c>
      <c r="N105" s="41" t="n">
        <f aca="false">L105-M105</f>
        <v>-0.215191430282106</v>
      </c>
      <c r="O105" s="42" t="n">
        <f aca="false">IF(H105&gt;H104,1,0)</f>
        <v>0</v>
      </c>
      <c r="P105" s="42" t="n">
        <f aca="false">IF(H105&lt;H104,1,0)</f>
        <v>1</v>
      </c>
      <c r="Q105" s="42" t="n">
        <f aca="false">IF(N105&gt;N104,1,0)</f>
        <v>1</v>
      </c>
      <c r="R105" s="42" t="n">
        <f aca="false">IF(N105&lt;N104,1,0)</f>
        <v>0</v>
      </c>
      <c r="S105" s="42" t="n">
        <f aca="false">IF(AND(O105=1,Q105=1),1,IF(AND(P105=1,R105=1),-1,0))</f>
        <v>0</v>
      </c>
      <c r="T105" s="43" t="str">
        <f aca="false">IF(S105=1,"绿",IF(S105=-1,"红","蓝"))</f>
        <v>蓝</v>
      </c>
      <c r="U105" s="44" t="n">
        <f aca="false">F105*(E105-E104)</f>
        <v>201395.999999996</v>
      </c>
      <c r="V105" s="44" t="n">
        <f aca="false">2/(p_FiS+1)*U105+(1-2/(p_FiS+1))*V104</f>
        <v>-825362.939466981</v>
      </c>
      <c r="W105" s="44" t="n">
        <f aca="false">2/(p_FiL+1)*U105+(1-2/(p_FiL+1))*W104</f>
        <v>-1217985.70942615</v>
      </c>
      <c r="X105" s="41" t="n">
        <f aca="false">MAX(C105-D105,ABS(C105-E104),ABS(D105-E104))</f>
        <v>0.530000000000001</v>
      </c>
      <c r="Y105" s="41" t="n">
        <f aca="true">AVERAGE(OFFSET(X105,1-MIN(p_AtrN,ROW()-4),0,MIN(p_AtrN,ROW()-4),1))</f>
        <v>0.62</v>
      </c>
      <c r="Z105" s="41" t="n">
        <f aca="false">IF(AND(C105-C104&gt;D104-D105,C105-C104&gt;0),C105-C104,0)</f>
        <v>0</v>
      </c>
      <c r="AA105" s="41" t="n">
        <f aca="false">IF(AND(D104-D105&gt;C105-C104,D104-D105&gt;0),D104-D105,0)</f>
        <v>0.100000000000001</v>
      </c>
      <c r="AB105" s="41" t="n">
        <f aca="false">2/(p_AdxN+1)*X105+(1-2/(p_AdxN+1))*AB104</f>
        <v>0.609497428545811</v>
      </c>
      <c r="AC105" s="41" t="n">
        <f aca="false">2/(p_AdxN+1)*Z105+(1-2/(p_AdxN+1))*AC104</f>
        <v>0.0294395083553243</v>
      </c>
      <c r="AD105" s="41" t="n">
        <f aca="false">2/(p_AdxN+1)*AA105+(1-2/(p_AdxN+1))*AD104</f>
        <v>0.263941187256085</v>
      </c>
      <c r="AE105" s="45" t="n">
        <f aca="false">100*AC105/AB105</f>
        <v>4.83012839374294</v>
      </c>
      <c r="AF105" s="45" t="n">
        <f aca="false">100*AD105/AB105</f>
        <v>43.3047253186642</v>
      </c>
      <c r="AG105" s="45" t="n">
        <f aca="false">IFERROR(100*ABS(AE105-AF105)/(AE105+AF105),0)</f>
        <v>79.9308483511692</v>
      </c>
      <c r="AH105" s="45" t="n">
        <f aca="false">2/(p_AdxN+1)*AG105+(1-2/(p_AdxN+1))*AH104</f>
        <v>70.7733268274536</v>
      </c>
      <c r="AI105" s="40" t="n">
        <f aca="false">I105*(1+p_ChPct)</f>
        <v>24.4225354142339</v>
      </c>
      <c r="AJ105" s="40" t="n">
        <f aca="false">I105*(1-p_ChPct)</f>
        <v>21.6577200843206</v>
      </c>
      <c r="AK105" s="40" t="n">
        <f aca="false">I105+1*Y105</f>
        <v>23.6601277492773</v>
      </c>
      <c r="AL105" s="40" t="n">
        <f aca="false">I105+2*Y105</f>
        <v>24.2801277492773</v>
      </c>
      <c r="AM105" s="40" t="n">
        <f aca="false">I105+3*Y105</f>
        <v>24.9001277492773</v>
      </c>
      <c r="AN105" s="40" t="n">
        <f aca="false">I105-1*Y105</f>
        <v>22.4201277492773</v>
      </c>
      <c r="AO105" s="40" t="n">
        <f aca="false">I105-2*Y105</f>
        <v>21.8001277492773</v>
      </c>
      <c r="AP105" s="40" t="n">
        <f aca="false">I105-3*Y105</f>
        <v>21.1801277492773</v>
      </c>
      <c r="AQ105" s="40" t="n">
        <f aca="true">MAX(OFFSET(C105,1-MIN(p_StochN,ROW()-4),0,MIN(p_StochN,ROW()-4),1))</f>
        <v>22.26</v>
      </c>
      <c r="AR105" s="40" t="n">
        <f aca="true">MIN(OFFSET(D105,1-MIN(p_StochN,ROW()-4),0,MIN(p_StochN,ROW()-4),1))</f>
        <v>20.27</v>
      </c>
      <c r="AS105" s="45" t="n">
        <f aca="false">IF(AQ105=AR105,50,100*(E105-AR105)/(AQ105-AR105))</f>
        <v>22.6130653266331</v>
      </c>
      <c r="AT105" s="45" t="n">
        <f aca="true">AVERAGE(OFFSET(AS105,1-MIN(p_StochSm,ROW()-4),0,MIN(p_StochSm,ROW()-4),1))</f>
        <v>15.5094697473257</v>
      </c>
      <c r="AU105" s="45" t="n">
        <f aca="true">AVERAGE(OFFSET(AT105,1-MIN(p_StochSm,ROW()-4),0,MIN(p_StochSm,ROW()-4),1))</f>
        <v>16.5289617064131</v>
      </c>
      <c r="AV105" s="41" t="n">
        <f aca="false">MAX(0,H105-D105)</f>
        <v>1.7648667090244</v>
      </c>
      <c r="AW105" s="41" t="n">
        <f aca="true">IF(COUNTIF(OFFSET(AV105,1-MIN(p_PenLb,ROW()-4),0,MIN(p_PenLb,ROW()-4),1),"&gt;0")&gt;0,SUM(OFFSET(AV105,1-MIN(p_PenLb,ROW()-4),0,MIN(p_PenLb,ROW()-4),1))/COUNTIF(OFFSET(AV105,1-MIN(p_PenLb,ROW()-4),0,MIN(p_PenLb,ROW()-4),1),"&gt;0"),0.5*Y105)</f>
        <v>1.14412678802551</v>
      </c>
      <c r="AX105" s="41" t="n">
        <f aca="false">2*H105-H104</f>
        <v>21.8157222575203</v>
      </c>
      <c r="AY105" s="40" t="n">
        <f aca="false">ROUND(MAX(AX105-AW105,0.01),2)</f>
        <v>20.67</v>
      </c>
      <c r="AZ105" s="40" t="n">
        <f aca="true">IF(MIN(p_StopLb,ROW()-4)&lt;2,D105,SMALL(OFFSET(D105,1-MIN(p_StopLb,ROW()-4),0,MIN(p_StopLb,ROW()-4),1),2))</f>
        <v>20.37</v>
      </c>
      <c r="BA105" s="40" t="n">
        <f aca="false">IF(MOD(ROUND(ROUNDDOWN(MIN(AZ105-0.01,AY105-p_StopAtr*Y105),2)*100,0),50)=0,ROUNDDOWN(MIN(AZ105-0.01,AY105-p_StopAtr*Y105),2)-0.01,ROUNDDOWN(MIN(AZ105-0.01,AY105-p_StopAtr*Y105),2))</f>
        <v>20.05</v>
      </c>
      <c r="BB105" s="40" t="n">
        <f aca="false">ROUND(AI105,2)</f>
        <v>24.42</v>
      </c>
      <c r="BC105" s="40" t="n">
        <f aca="false">IF(AY105-BA105&gt;0,(BB105-AY105)/(AY105-BA105),0)</f>
        <v>6.04838709677418</v>
      </c>
      <c r="BD105" s="42" t="n">
        <f aca="false">IF(N105&lt;0,1,0)</f>
        <v>1</v>
      </c>
      <c r="BE105" s="41" t="n">
        <f aca="false">IF(AND(BD105=1,BD104=0),N105,IF(BD105=1,MIN(BE104,N105),BE104))</f>
        <v>-0.392824838841331</v>
      </c>
      <c r="BF105" s="40" t="n">
        <f aca="false">IF(AND(BD105=1,BD104=0),D105,IF(BD105=1,MIN(BF104,D105),BF104))</f>
        <v>20.27</v>
      </c>
      <c r="BG105" s="42" t="n">
        <f aca="false">IF(AND(BD105=1,BD104=0),ROW(),IF(BD105=1,IF(N105&lt;BE104,ROW(),BG104),BG104))</f>
        <v>98</v>
      </c>
      <c r="BH105" s="41" t="n">
        <f aca="false">IF(AND(BD105=1,BD104=0),BE104,BH104)</f>
        <v>-0.267100964273217</v>
      </c>
      <c r="BI105" s="40" t="n">
        <f aca="false">IF(AND(BD105=1,BD104=0),BF104,BI104)</f>
        <v>23.24</v>
      </c>
      <c r="BJ105" s="42" t="n">
        <f aca="false">IF(AND(BD105=1,BD104=0),BG104,BJ104)</f>
        <v>52</v>
      </c>
      <c r="BK105" s="42" t="n">
        <f aca="false">IF(AND(ISNUMBER(BG105),ISNUMBER(BJ105)),BG105-BJ105,"")</f>
        <v>46</v>
      </c>
      <c r="BL105" s="42" t="n">
        <f aca="false">IF(AND(BD105=1,N105&gt;N104,ISNUMBER(BH105),ISNUMBER(BK105)),IF(AND(BE105&gt;BH105,BF105&lt;BI105,BK105&gt;=p_GapMin,BK105&lt;=p_GapMax),1,0),0)</f>
        <v>0</v>
      </c>
      <c r="BM105" s="42" t="n">
        <f aca="false">IF(AND(BL105=1,E105&gt;BI105),1,0)</f>
        <v>0</v>
      </c>
      <c r="BN105" s="42" t="n">
        <f aca="false">IF(BL105=1,IF(BE105&gt;=BH105*0.5,1,0),0)</f>
        <v>0</v>
      </c>
      <c r="BO105" s="42" t="n">
        <f aca="true">IF(V105&gt;MIN(OFFSET(V105,-MIN(p_FiLb-1,ROW()-5),0,MIN(p_FiLb-1,ROW()-5),1)),1,0)</f>
        <v>1</v>
      </c>
      <c r="BP105" s="44" t="n">
        <f aca="true">IF(COUNTIF(OFFSET(V105,1-MIN(100,ROW()-4),0,MIN(100,ROW()-4),1),"&lt;0")&gt;=5,AVERAGEIF(OFFSET(V105,1-MIN(100,ROW()-4),0,MIN(100,ROW()-4),1),"&lt;0"),"")</f>
        <v>-936690.901138326</v>
      </c>
      <c r="BQ105" s="42" t="n">
        <f aca="false">IF(ISNUMBER(BP105),IF(AND(V105&lt;5*BP105,V105&gt;V104,E105&lt;AJ105),1,0),0)</f>
        <v>0</v>
      </c>
      <c r="BR105" s="44" t="n">
        <f aca="true">AVERAGE(OFFSET(F105,1-MIN(5,ROW()-4),0,MIN(5,ROW()-4),1))</f>
        <v>4296020</v>
      </c>
      <c r="BS105" s="42" t="n">
        <f aca="false">IFERROR(IF(MATCH(G105,周线!$A$5:$A$84,0)&lt;=1,"",INDEX(周线!$R$5:$R$84,MATCH(G105,周线!$A$5:$A$84,0)-1)),"")</f>
        <v>0</v>
      </c>
      <c r="BT105" s="42" t="n">
        <f aca="false">IFERROR(IF(MATCH(G105,周线!$A$5:$A$84,0)&lt;=1,"",INDEX(周线!$S$5:$S$84,MATCH(G105,周线!$A$5:$A$84,0)-1)),"")</f>
        <v>0</v>
      </c>
      <c r="BU105" s="42" t="n">
        <f aca="false">IFERROR(IF(MATCH(G105,周线!$A$5:$A$84,0)&lt;=1,"",INDEX(周线!$U$5:$U$84,MATCH(G105,周线!$A$5:$A$84,0)-1)),"")</f>
        <v>-1</v>
      </c>
      <c r="BV105" s="42" t="n">
        <f aca="false">IF(AND(BS105=1,S105&lt;&gt;-1,V105&lt;0,BO105=1,E105&lt;=H105,E105&gt;=AJ105),1,0)</f>
        <v>0</v>
      </c>
      <c r="BW105" s="42" t="n">
        <f aca="false">BL105</f>
        <v>0</v>
      </c>
      <c r="BX105" s="42" t="n">
        <f aca="false">BQ105</f>
        <v>0</v>
      </c>
      <c r="BY105" s="42" t="n">
        <f aca="false">IF(BS105=1,10,0)+IF(BU105=1,5,IF(BU105=-1,0,3))+IF(BT105=1,5,0)+IF(AND(AE105&gt;AF105,AH105&gt;AH104),5,0)</f>
        <v>0</v>
      </c>
      <c r="BZ105" s="42" t="n">
        <f aca="false">IF(AND(E105&lt;=H105,E105&gt;=I105),10,IF(AND(E105&gt;=AJ105,E105&lt;I105),6,0))+IF(AND(V105&lt;0,BO105=1),8,0)+IF(AT105&lt;30,7,IF(AT105&lt;50,3,0))</f>
        <v>15</v>
      </c>
      <c r="CA105" s="42" t="n">
        <f aca="false">IF(AND(BV105=1,BW105=1),25,IF(BW105=1,22,IF(BV105=1,15,IF(BX105=1,12,0))))</f>
        <v>0</v>
      </c>
      <c r="CB105" s="42" t="n">
        <f aca="false">IF(W105&gt;0,6,0)+IF(F105&lt;BR105,4,0)</f>
        <v>4</v>
      </c>
      <c r="CC105" s="42" t="n">
        <f aca="false">IF(BC105&gt;=3,15,IF(BC105&gt;=p_RRmin,10,IF(BC105&gt;=1.5,4,0)))</f>
        <v>15</v>
      </c>
      <c r="CD105" s="42" t="n">
        <f aca="false">BY105+BZ105+CA105+CB105+CC105</f>
        <v>34</v>
      </c>
      <c r="CE105" s="42" t="n">
        <f aca="false">IF(AND(BS105&lt;&gt;1,BW105+BX105=0),1,0)</f>
        <v>1</v>
      </c>
      <c r="CF105" s="42" t="n">
        <f aca="false">IF(BU105=-1,1,0)</f>
        <v>1</v>
      </c>
      <c r="CG105" s="42" t="n">
        <f aca="false">IF(S105=-1,1,0)</f>
        <v>0</v>
      </c>
      <c r="CH105" s="42" t="n">
        <f aca="false">IF(BV105+BW105+BX105=0,1,0)</f>
        <v>1</v>
      </c>
      <c r="CI105" s="42" t="n">
        <f aca="false">IF(BC105&lt;p_RRmin,1,0)</f>
        <v>0</v>
      </c>
      <c r="CJ105" s="46" t="str">
        <f aca="false">IF(SUM(CE105:CI105)=0,IF(CD105&gt;=p_GradeA,"A",IF(CD105&gt;=p_GradeB,"B","C")),IF(AND(CI105=1,SUM(CE105:CH105)=0,CD105&gt;=p_GradeB),"B","C"))</f>
        <v>C</v>
      </c>
    </row>
    <row r="106" customFormat="false" ht="15" hidden="false" customHeight="false" outlineLevel="0" collapsed="false">
      <c r="A106" s="36" t="n">
        <v>45800</v>
      </c>
      <c r="B106" s="37" t="n">
        <v>20.64</v>
      </c>
      <c r="C106" s="37" t="n">
        <v>20.69</v>
      </c>
      <c r="D106" s="37" t="n">
        <v>20.51</v>
      </c>
      <c r="E106" s="37" t="n">
        <v>20.61</v>
      </c>
      <c r="F106" s="38" t="n">
        <v>2711900</v>
      </c>
      <c r="G106" s="39" t="n">
        <f aca="false">A106-WEEKDAY(A106,3)</f>
        <v>45796</v>
      </c>
      <c r="H106" s="40" t="n">
        <f aca="false">2/(p_EmaF+1)*E106+(1-2/(p_EmaF+1))*H105</f>
        <v>21.8313143220209</v>
      </c>
      <c r="I106" s="40" t="n">
        <f aca="false">2/(p_EmaS+1)*E106+(1-2/(p_EmaS+1))*I105</f>
        <v>22.8601182863678</v>
      </c>
      <c r="J106" s="41" t="n">
        <f aca="false">2/(p_MacdF+1)*E106+(1-2/(p_MacdF+1))*J105</f>
        <v>21.725907257738</v>
      </c>
      <c r="K106" s="41" t="n">
        <f aca="false">2/(p_MacdS+1)*E106+(1-2/(p_MacdS+1))*K105</f>
        <v>22.8601182863678</v>
      </c>
      <c r="L106" s="41" t="n">
        <f aca="false">J106-K106</f>
        <v>-1.13421102862989</v>
      </c>
      <c r="M106" s="41" t="n">
        <f aca="false">2/(p_MacdSig+1)*L106+(1-2/(p_MacdSig+1))*M105</f>
        <v>-0.943751671788042</v>
      </c>
      <c r="N106" s="41" t="n">
        <f aca="false">L106-M106</f>
        <v>-0.190459356841846</v>
      </c>
      <c r="O106" s="42" t="n">
        <f aca="false">IF(H106&gt;H105,1,0)</f>
        <v>0</v>
      </c>
      <c r="P106" s="42" t="n">
        <f aca="false">IF(H106&lt;H105,1,0)</f>
        <v>1</v>
      </c>
      <c r="Q106" s="42" t="n">
        <f aca="false">IF(N106&gt;N105,1,0)</f>
        <v>1</v>
      </c>
      <c r="R106" s="42" t="n">
        <f aca="false">IF(N106&lt;N105,1,0)</f>
        <v>0</v>
      </c>
      <c r="S106" s="42" t="n">
        <f aca="false">IF(AND(O106=1,Q106=1),1,IF(AND(P106=1,R106=1),-1,0))</f>
        <v>0</v>
      </c>
      <c r="T106" s="43" t="str">
        <f aca="false">IF(S106=1,"绿",IF(S106=-1,"红","蓝"))</f>
        <v>蓝</v>
      </c>
      <c r="U106" s="44" t="n">
        <f aca="false">F106*(E106-E105)</f>
        <v>-298308.999999999</v>
      </c>
      <c r="V106" s="44" t="n">
        <f aca="false">2/(p_FiS+1)*U106+(1-2/(p_FiS+1))*V105</f>
        <v>-473993.646488993</v>
      </c>
      <c r="W106" s="44" t="n">
        <f aca="false">2/(p_FiL+1)*U106+(1-2/(p_FiL+1))*W105</f>
        <v>-1086603.32236527</v>
      </c>
      <c r="X106" s="41" t="n">
        <f aca="false">MAX(C106-D106,ABS(C106-E105),ABS(D106-E105))</f>
        <v>0.209999999999997</v>
      </c>
      <c r="Y106" s="41" t="n">
        <f aca="true">AVERAGE(OFFSET(X106,1-MIN(p_AtrN,ROW()-4),0,MIN(p_AtrN,ROW()-4),1))</f>
        <v>0.601538461538462</v>
      </c>
      <c r="Z106" s="41" t="n">
        <f aca="false">IF(AND(C106-C105&gt;D105-D106,C106-C105&gt;0),C106-C105,0)</f>
        <v>0</v>
      </c>
      <c r="AA106" s="41" t="n">
        <f aca="false">IF(AND(D105-D106&gt;C106-C105,D105-D106&gt;0),D105-D106,0)</f>
        <v>0</v>
      </c>
      <c r="AB106" s="41" t="n">
        <f aca="false">2/(p_AdxN+1)*X106+(1-2/(p_AdxN+1))*AB105</f>
        <v>0.55242636732498</v>
      </c>
      <c r="AC106" s="41" t="n">
        <f aca="false">2/(p_AdxN+1)*Z106+(1-2/(p_AdxN+1))*AC105</f>
        <v>0.0252338643045637</v>
      </c>
      <c r="AD106" s="41" t="n">
        <f aca="false">2/(p_AdxN+1)*AA106+(1-2/(p_AdxN+1))*AD105</f>
        <v>0.226235303362359</v>
      </c>
      <c r="AE106" s="45" t="n">
        <f aca="false">100*AC106/AB106</f>
        <v>4.56782402091954</v>
      </c>
      <c r="AF106" s="45" t="n">
        <f aca="false">100*AD106/AB106</f>
        <v>40.9530241030782</v>
      </c>
      <c r="AG106" s="45" t="n">
        <f aca="false">IFERROR(100*ABS(AE106-AF106)/(AE106+AF106),0)</f>
        <v>79.9308483511692</v>
      </c>
      <c r="AH106" s="45" t="n">
        <f aca="false">2/(p_AdxN+1)*AG106+(1-2/(p_AdxN+1))*AH105</f>
        <v>72.0815441879844</v>
      </c>
      <c r="AI106" s="40" t="n">
        <f aca="false">I106*(1+p_ChPct)</f>
        <v>24.2317253835499</v>
      </c>
      <c r="AJ106" s="40" t="n">
        <f aca="false">I106*(1-p_ChPct)</f>
        <v>21.4885111891858</v>
      </c>
      <c r="AK106" s="40" t="n">
        <f aca="false">I106+1*Y106</f>
        <v>23.4616567479063</v>
      </c>
      <c r="AL106" s="40" t="n">
        <f aca="false">I106+2*Y106</f>
        <v>24.0631952094448</v>
      </c>
      <c r="AM106" s="40" t="n">
        <f aca="false">I106+3*Y106</f>
        <v>24.6647336709832</v>
      </c>
      <c r="AN106" s="40" t="n">
        <f aca="false">I106-1*Y106</f>
        <v>22.2585798248294</v>
      </c>
      <c r="AO106" s="40" t="n">
        <f aca="false">I106-2*Y106</f>
        <v>21.6570413632909</v>
      </c>
      <c r="AP106" s="40" t="n">
        <f aca="false">I106-3*Y106</f>
        <v>21.0555029017525</v>
      </c>
      <c r="AQ106" s="40" t="n">
        <f aca="true">MAX(OFFSET(C106,1-MIN(p_StochN,ROW()-4),0,MIN(p_StochN,ROW()-4),1))</f>
        <v>21.98</v>
      </c>
      <c r="AR106" s="40" t="n">
        <f aca="true">MIN(OFFSET(D106,1-MIN(p_StochN,ROW()-4),0,MIN(p_StochN,ROW()-4),1))</f>
        <v>20.27</v>
      </c>
      <c r="AS106" s="45" t="n">
        <f aca="false">IF(AQ106=AR106,50,100*(E106-AR106)/(AQ106-AR106))</f>
        <v>19.8830409356725</v>
      </c>
      <c r="AT106" s="45" t="n">
        <f aca="true">AVERAGE(OFFSET(AS106,1-MIN(p_StochSm,ROW()-4),0,MIN(p_StochSm,ROW()-4),1))</f>
        <v>19.2800072020736</v>
      </c>
      <c r="AU106" s="45" t="n">
        <f aca="true">AVERAGE(OFFSET(AT106,1-MIN(p_StochSm,ROW()-4),0,MIN(p_StochSm,ROW()-4),1))</f>
        <v>16.6269997849458</v>
      </c>
      <c r="AV106" s="41" t="n">
        <f aca="false">MAX(0,H106-D106)</f>
        <v>1.32131432202091</v>
      </c>
      <c r="AW106" s="41" t="n">
        <f aca="true">IF(COUNTIF(OFFSET(AV106,1-MIN(p_PenLb,ROW()-4),0,MIN(p_PenLb,ROW()-4),1),"&gt;0")&gt;0,SUM(OFFSET(AV106,1-MIN(p_PenLb,ROW()-4),0,MIN(p_PenLb,ROW()-4),1))/COUNTIF(OFFSET(AV106,1-MIN(p_PenLb,ROW()-4),0,MIN(p_PenLb,ROW()-4),1),"&gt;0"),0.5*Y106)</f>
        <v>1.1506892892846</v>
      </c>
      <c r="AX106" s="41" t="n">
        <f aca="false">2*H106-H105</f>
        <v>21.6277619350174</v>
      </c>
      <c r="AY106" s="40" t="n">
        <f aca="false">ROUND(MAX(AX106-AW106,0.01),2)</f>
        <v>20.48</v>
      </c>
      <c r="AZ106" s="40" t="n">
        <f aca="true">IF(MIN(p_StopLb,ROW()-4)&lt;2,D106,SMALL(OFFSET(D106,1-MIN(p_StopLb,ROW()-4),0,MIN(p_StopLb,ROW()-4),1),2))</f>
        <v>20.37</v>
      </c>
      <c r="BA106" s="40" t="n">
        <f aca="false">IF(MOD(ROUND(ROUNDDOWN(MIN(AZ106-0.01,AY106-p_StopAtr*Y106),2)*100,0),50)=0,ROUNDDOWN(MIN(AZ106-0.01,AY106-p_StopAtr*Y106),2)-0.01,ROUNDDOWN(MIN(AZ106-0.01,AY106-p_StopAtr*Y106),2))</f>
        <v>19.87</v>
      </c>
      <c r="BB106" s="40" t="n">
        <f aca="false">ROUND(AI106,2)</f>
        <v>24.23</v>
      </c>
      <c r="BC106" s="40" t="n">
        <f aca="false">IF(AY106-BA106&gt;0,(BB106-AY106)/(AY106-BA106),0)</f>
        <v>6.14754098360656</v>
      </c>
      <c r="BD106" s="42" t="n">
        <f aca="false">IF(N106&lt;0,1,0)</f>
        <v>1</v>
      </c>
      <c r="BE106" s="41" t="n">
        <f aca="false">IF(AND(BD106=1,BD105=0),N106,IF(BD106=1,MIN(BE105,N106),BE105))</f>
        <v>-0.392824838841331</v>
      </c>
      <c r="BF106" s="40" t="n">
        <f aca="false">IF(AND(BD106=1,BD105=0),D106,IF(BD106=1,MIN(BF105,D106),BF105))</f>
        <v>20.27</v>
      </c>
      <c r="BG106" s="42" t="n">
        <f aca="false">IF(AND(BD106=1,BD105=0),ROW(),IF(BD106=1,IF(N106&lt;BE105,ROW(),BG105),BG105))</f>
        <v>98</v>
      </c>
      <c r="BH106" s="41" t="n">
        <f aca="false">IF(AND(BD106=1,BD105=0),BE105,BH105)</f>
        <v>-0.267100964273217</v>
      </c>
      <c r="BI106" s="40" t="n">
        <f aca="false">IF(AND(BD106=1,BD105=0),BF105,BI105)</f>
        <v>23.24</v>
      </c>
      <c r="BJ106" s="42" t="n">
        <f aca="false">IF(AND(BD106=1,BD105=0),BG105,BJ105)</f>
        <v>52</v>
      </c>
      <c r="BK106" s="42" t="n">
        <f aca="false">IF(AND(ISNUMBER(BG106),ISNUMBER(BJ106)),BG106-BJ106,"")</f>
        <v>46</v>
      </c>
      <c r="BL106" s="42" t="n">
        <f aca="false">IF(AND(BD106=1,N106&gt;N105,ISNUMBER(BH106),ISNUMBER(BK106)),IF(AND(BE106&gt;BH106,BF106&lt;BI106,BK106&gt;=p_GapMin,BK106&lt;=p_GapMax),1,0),0)</f>
        <v>0</v>
      </c>
      <c r="BM106" s="42" t="n">
        <f aca="false">IF(AND(BL106=1,E106&gt;BI106),1,0)</f>
        <v>0</v>
      </c>
      <c r="BN106" s="42" t="n">
        <f aca="false">IF(BL106=1,IF(BE106&gt;=BH106*0.5,1,0),0)</f>
        <v>0</v>
      </c>
      <c r="BO106" s="42" t="n">
        <f aca="true">IF(V106&gt;MIN(OFFSET(V106,-MIN(p_FiLb-1,ROW()-5),0,MIN(p_FiLb-1,ROW()-5),1)),1,0)</f>
        <v>1</v>
      </c>
      <c r="BP106" s="44" t="n">
        <f aca="true">IF(COUNTIF(OFFSET(V106,1-MIN(100,ROW()-4),0,MIN(100,ROW()-4),1),"&lt;0")&gt;=5,AVERAGEIF(OFFSET(V106,1-MIN(100,ROW()-4),0,MIN(100,ROW()-4),1),"&lt;0"),"")</f>
        <v>-927436.956045339</v>
      </c>
      <c r="BQ106" s="42" t="n">
        <f aca="false">IF(ISNUMBER(BP106),IF(AND(V106&lt;5*BP106,V106&gt;V105,E106&lt;AJ106),1,0),0)</f>
        <v>0</v>
      </c>
      <c r="BR106" s="44" t="n">
        <f aca="true">AVERAGE(OFFSET(F106,1-MIN(5,ROW()-4),0,MIN(5,ROW()-4),1))</f>
        <v>4019480</v>
      </c>
      <c r="BS106" s="42" t="n">
        <f aca="false">IFERROR(IF(MATCH(G106,周线!$A$5:$A$84,0)&lt;=1,"",INDEX(周线!$R$5:$R$84,MATCH(G106,周线!$A$5:$A$84,0)-1)),"")</f>
        <v>0</v>
      </c>
      <c r="BT106" s="42" t="n">
        <f aca="false">IFERROR(IF(MATCH(G106,周线!$A$5:$A$84,0)&lt;=1,"",INDEX(周线!$S$5:$S$84,MATCH(G106,周线!$A$5:$A$84,0)-1)),"")</f>
        <v>0</v>
      </c>
      <c r="BU106" s="42" t="n">
        <f aca="false">IFERROR(IF(MATCH(G106,周线!$A$5:$A$84,0)&lt;=1,"",INDEX(周线!$U$5:$U$84,MATCH(G106,周线!$A$5:$A$84,0)-1)),"")</f>
        <v>-1</v>
      </c>
      <c r="BV106" s="42" t="n">
        <f aca="false">IF(AND(BS106=1,S106&lt;&gt;-1,V106&lt;0,BO106=1,E106&lt;=H106,E106&gt;=AJ106),1,0)</f>
        <v>0</v>
      </c>
      <c r="BW106" s="42" t="n">
        <f aca="false">BL106</f>
        <v>0</v>
      </c>
      <c r="BX106" s="42" t="n">
        <f aca="false">BQ106</f>
        <v>0</v>
      </c>
      <c r="BY106" s="42" t="n">
        <f aca="false">IF(BS106=1,10,0)+IF(BU106=1,5,IF(BU106=-1,0,3))+IF(BT106=1,5,0)+IF(AND(AE106&gt;AF106,AH106&gt;AH105),5,0)</f>
        <v>0</v>
      </c>
      <c r="BZ106" s="42" t="n">
        <f aca="false">IF(AND(E106&lt;=H106,E106&gt;=I106),10,IF(AND(E106&gt;=AJ106,E106&lt;I106),6,0))+IF(AND(V106&lt;0,BO106=1),8,0)+IF(AT106&lt;30,7,IF(AT106&lt;50,3,0))</f>
        <v>15</v>
      </c>
      <c r="CA106" s="42" t="n">
        <f aca="false">IF(AND(BV106=1,BW106=1),25,IF(BW106=1,22,IF(BV106=1,15,IF(BX106=1,12,0))))</f>
        <v>0</v>
      </c>
      <c r="CB106" s="42" t="n">
        <f aca="false">IF(W106&gt;0,6,0)+IF(F106&lt;BR106,4,0)</f>
        <v>4</v>
      </c>
      <c r="CC106" s="42" t="n">
        <f aca="false">IF(BC106&gt;=3,15,IF(BC106&gt;=p_RRmin,10,IF(BC106&gt;=1.5,4,0)))</f>
        <v>15</v>
      </c>
      <c r="CD106" s="42" t="n">
        <f aca="false">BY106+BZ106+CA106+CB106+CC106</f>
        <v>34</v>
      </c>
      <c r="CE106" s="42" t="n">
        <f aca="false">IF(AND(BS106&lt;&gt;1,BW106+BX106=0),1,0)</f>
        <v>1</v>
      </c>
      <c r="CF106" s="42" t="n">
        <f aca="false">IF(BU106=-1,1,0)</f>
        <v>1</v>
      </c>
      <c r="CG106" s="42" t="n">
        <f aca="false">IF(S106=-1,1,0)</f>
        <v>0</v>
      </c>
      <c r="CH106" s="42" t="n">
        <f aca="false">IF(BV106+BW106+BX106=0,1,0)</f>
        <v>1</v>
      </c>
      <c r="CI106" s="42" t="n">
        <f aca="false">IF(BC106&lt;p_RRmin,1,0)</f>
        <v>0</v>
      </c>
      <c r="CJ106" s="46" t="str">
        <f aca="false">IF(SUM(CE106:CI106)=0,IF(CD106&gt;=p_GradeA,"A",IF(CD106&gt;=p_GradeB,"B","C")),IF(AND(CI106=1,SUM(CE106:CH106)=0,CD106&gt;=p_GradeB),"B","C"))</f>
        <v>C</v>
      </c>
    </row>
    <row r="107" customFormat="false" ht="15" hidden="false" customHeight="false" outlineLevel="0" collapsed="false">
      <c r="A107" s="36" t="n">
        <v>45803</v>
      </c>
      <c r="B107" s="37" t="n">
        <v>20.62</v>
      </c>
      <c r="C107" s="37" t="n">
        <v>20.78</v>
      </c>
      <c r="D107" s="37" t="n">
        <v>20.53</v>
      </c>
      <c r="E107" s="37" t="n">
        <v>20.7</v>
      </c>
      <c r="F107" s="38" t="n">
        <v>2455000</v>
      </c>
      <c r="G107" s="39" t="n">
        <f aca="false">A107-WEEKDAY(A107,3)</f>
        <v>45803</v>
      </c>
      <c r="H107" s="40" t="n">
        <f aca="false">2/(p_EmaF+1)*E107+(1-2/(p_EmaF+1))*H106</f>
        <v>21.6696979903036</v>
      </c>
      <c r="I107" s="40" t="n">
        <f aca="false">2/(p_EmaS+1)*E107+(1-2/(p_EmaS+1))*I106</f>
        <v>22.7001095244147</v>
      </c>
      <c r="J107" s="41" t="n">
        <f aca="false">2/(p_MacdF+1)*E107+(1-2/(p_MacdF+1))*J106</f>
        <v>21.5680753719321</v>
      </c>
      <c r="K107" s="41" t="n">
        <f aca="false">2/(p_MacdS+1)*E107+(1-2/(p_MacdS+1))*K106</f>
        <v>22.7001095244147</v>
      </c>
      <c r="L107" s="41" t="n">
        <f aca="false">J107-K107</f>
        <v>-1.13203415248255</v>
      </c>
      <c r="M107" s="41" t="n">
        <f aca="false">2/(p_MacdSig+1)*L107+(1-2/(p_MacdSig+1))*M106</f>
        <v>-0.981408167926944</v>
      </c>
      <c r="N107" s="41" t="n">
        <f aca="false">L107-M107</f>
        <v>-0.150625984555609</v>
      </c>
      <c r="O107" s="42" t="n">
        <f aca="false">IF(H107&gt;H106,1,0)</f>
        <v>0</v>
      </c>
      <c r="P107" s="42" t="n">
        <f aca="false">IF(H107&lt;H106,1,0)</f>
        <v>1</v>
      </c>
      <c r="Q107" s="42" t="n">
        <f aca="false">IF(N107&gt;N106,1,0)</f>
        <v>1</v>
      </c>
      <c r="R107" s="42" t="n">
        <f aca="false">IF(N107&lt;N106,1,0)</f>
        <v>0</v>
      </c>
      <c r="S107" s="42" t="n">
        <f aca="false">IF(AND(O107=1,Q107=1),1,IF(AND(P107=1,R107=1),-1,0))</f>
        <v>0</v>
      </c>
      <c r="T107" s="43" t="str">
        <f aca="false">IF(S107=1,"绿",IF(S107=-1,"红","蓝"))</f>
        <v>蓝</v>
      </c>
      <c r="U107" s="44" t="n">
        <f aca="false">F107*(E107-E106)</f>
        <v>220950</v>
      </c>
      <c r="V107" s="44" t="n">
        <f aca="false">2/(p_FiS+1)*U107+(1-2/(p_FiS+1))*V106</f>
        <v>-10697.8821629978</v>
      </c>
      <c r="W107" s="44" t="n">
        <f aca="false">2/(p_FiL+1)*U107+(1-2/(p_FiL+1))*W106</f>
        <v>-899809.990598807</v>
      </c>
      <c r="X107" s="41" t="n">
        <f aca="false">MAX(C107-D107,ABS(C107-E106),ABS(D107-E106))</f>
        <v>0.25</v>
      </c>
      <c r="Y107" s="41" t="n">
        <f aca="true">AVERAGE(OFFSET(X107,1-MIN(p_AtrN,ROW()-4),0,MIN(p_AtrN,ROW()-4),1))</f>
        <v>0.530769230769231</v>
      </c>
      <c r="Z107" s="41" t="n">
        <f aca="false">IF(AND(C107-C106&gt;D106-D107,C107-C106&gt;0),C107-C106,0)</f>
        <v>0.0899999999999999</v>
      </c>
      <c r="AA107" s="41" t="n">
        <f aca="false">IF(AND(D106-D107&gt;C107-C106,D106-D107&gt;0),D106-D107,0)</f>
        <v>0</v>
      </c>
      <c r="AB107" s="41" t="n">
        <f aca="false">2/(p_AdxN+1)*X107+(1-2/(p_AdxN+1))*AB106</f>
        <v>0.509222600564269</v>
      </c>
      <c r="AC107" s="41" t="n">
        <f aca="false">2/(p_AdxN+1)*Z107+(1-2/(p_AdxN+1))*AC106</f>
        <v>0.0344861694039117</v>
      </c>
      <c r="AD107" s="41" t="n">
        <f aca="false">2/(p_AdxN+1)*AA107+(1-2/(p_AdxN+1))*AD106</f>
        <v>0.193915974310593</v>
      </c>
      <c r="AE107" s="45" t="n">
        <f aca="false">100*AC107/AB107</f>
        <v>6.7723171292275</v>
      </c>
      <c r="AF107" s="45" t="n">
        <f aca="false">100*AD107/AB107</f>
        <v>38.0807870851991</v>
      </c>
      <c r="AG107" s="45" t="n">
        <f aca="false">IFERROR(100*ABS(AE107-AF107)/(AE107+AF107),0)</f>
        <v>69.8022366663789</v>
      </c>
      <c r="AH107" s="45" t="n">
        <f aca="false">2/(p_AdxN+1)*AG107+(1-2/(p_AdxN+1))*AH106</f>
        <v>71.755928827755</v>
      </c>
      <c r="AI107" s="40" t="n">
        <f aca="false">I107*(1+p_ChPct)</f>
        <v>24.0621160958796</v>
      </c>
      <c r="AJ107" s="40" t="n">
        <f aca="false">I107*(1-p_ChPct)</f>
        <v>21.3381029529498</v>
      </c>
      <c r="AK107" s="40" t="n">
        <f aca="false">I107+1*Y107</f>
        <v>23.2308787551839</v>
      </c>
      <c r="AL107" s="40" t="n">
        <f aca="false">I107+2*Y107</f>
        <v>23.7616479859531</v>
      </c>
      <c r="AM107" s="40" t="n">
        <f aca="false">I107+3*Y107</f>
        <v>24.2924172167224</v>
      </c>
      <c r="AN107" s="40" t="n">
        <f aca="false">I107-1*Y107</f>
        <v>22.1693402936454</v>
      </c>
      <c r="AO107" s="40" t="n">
        <f aca="false">I107-2*Y107</f>
        <v>21.6385710628762</v>
      </c>
      <c r="AP107" s="40" t="n">
        <f aca="false">I107-3*Y107</f>
        <v>21.107801832107</v>
      </c>
      <c r="AQ107" s="40" t="n">
        <f aca="true">MAX(OFFSET(C107,1-MIN(p_StochN,ROW()-4),0,MIN(p_StochN,ROW()-4),1))</f>
        <v>21.63</v>
      </c>
      <c r="AR107" s="40" t="n">
        <f aca="true">MIN(OFFSET(D107,1-MIN(p_StochN,ROW()-4),0,MIN(p_StochN,ROW()-4),1))</f>
        <v>20.27</v>
      </c>
      <c r="AS107" s="45" t="n">
        <f aca="false">IF(AQ107=AR107,50,100*(E107-AR107)/(AQ107-AR107))</f>
        <v>31.6176470588235</v>
      </c>
      <c r="AT107" s="45" t="n">
        <f aca="true">AVERAGE(OFFSET(AS107,1-MIN(p_StochSm,ROW()-4),0,MIN(p_StochSm,ROW()-4),1))</f>
        <v>24.7045844403764</v>
      </c>
      <c r="AU107" s="45" t="n">
        <f aca="true">AVERAGE(OFFSET(AT107,1-MIN(p_StochSm,ROW()-4),0,MIN(p_StochSm,ROW()-4),1))</f>
        <v>19.8313537965919</v>
      </c>
      <c r="AV107" s="41" t="n">
        <f aca="false">MAX(0,H107-D107)</f>
        <v>1.13969799030363</v>
      </c>
      <c r="AW107" s="41" t="n">
        <f aca="true">IF(COUNTIF(OFFSET(AV107,1-MIN(p_PenLb,ROW()-4),0,MIN(p_PenLb,ROW()-4),1),"&gt;0")&gt;0,SUM(OFFSET(AV107,1-MIN(p_PenLb,ROW()-4),0,MIN(p_PenLb,ROW()-4),1))/COUNTIF(OFFSET(AV107,1-MIN(p_PenLb,ROW()-4),0,MIN(p_PenLb,ROW()-4),1),"&gt;0"),0.5*Y107)</f>
        <v>1.15029674289242</v>
      </c>
      <c r="AX107" s="41" t="n">
        <f aca="false">2*H107-H106</f>
        <v>21.5080816585864</v>
      </c>
      <c r="AY107" s="40" t="n">
        <f aca="false">ROUND(MAX(AX107-AW107,0.01),2)</f>
        <v>20.36</v>
      </c>
      <c r="AZ107" s="40" t="n">
        <f aca="true">IF(MIN(p_StopLb,ROW()-4)&lt;2,D107,SMALL(OFFSET(D107,1-MIN(p_StopLb,ROW()-4),0,MIN(p_StopLb,ROW()-4),1),2))</f>
        <v>20.37</v>
      </c>
      <c r="BA107" s="40" t="n">
        <f aca="false">IF(MOD(ROUND(ROUNDDOWN(MIN(AZ107-0.01,AY107-p_StopAtr*Y107),2)*100,0),50)=0,ROUNDDOWN(MIN(AZ107-0.01,AY107-p_StopAtr*Y107),2)-0.01,ROUNDDOWN(MIN(AZ107-0.01,AY107-p_StopAtr*Y107),2))</f>
        <v>19.82</v>
      </c>
      <c r="BB107" s="40" t="n">
        <f aca="false">ROUND(AI107,2)</f>
        <v>24.06</v>
      </c>
      <c r="BC107" s="40" t="n">
        <f aca="false">IF(AY107-BA107&gt;0,(BB107-AY107)/(AY107-BA107),0)</f>
        <v>6.85185185185186</v>
      </c>
      <c r="BD107" s="42" t="n">
        <f aca="false">IF(N107&lt;0,1,0)</f>
        <v>1</v>
      </c>
      <c r="BE107" s="41" t="n">
        <f aca="false">IF(AND(BD107=1,BD106=0),N107,IF(BD107=1,MIN(BE106,N107),BE106))</f>
        <v>-0.392824838841331</v>
      </c>
      <c r="BF107" s="40" t="n">
        <f aca="false">IF(AND(BD107=1,BD106=0),D107,IF(BD107=1,MIN(BF106,D107),BF106))</f>
        <v>20.27</v>
      </c>
      <c r="BG107" s="42" t="n">
        <f aca="false">IF(AND(BD107=1,BD106=0),ROW(),IF(BD107=1,IF(N107&lt;BE106,ROW(),BG106),BG106))</f>
        <v>98</v>
      </c>
      <c r="BH107" s="41" t="n">
        <f aca="false">IF(AND(BD107=1,BD106=0),BE106,BH106)</f>
        <v>-0.267100964273217</v>
      </c>
      <c r="BI107" s="40" t="n">
        <f aca="false">IF(AND(BD107=1,BD106=0),BF106,BI106)</f>
        <v>23.24</v>
      </c>
      <c r="BJ107" s="42" t="n">
        <f aca="false">IF(AND(BD107=1,BD106=0),BG106,BJ106)</f>
        <v>52</v>
      </c>
      <c r="BK107" s="42" t="n">
        <f aca="false">IF(AND(ISNUMBER(BG107),ISNUMBER(BJ107)),BG107-BJ107,"")</f>
        <v>46</v>
      </c>
      <c r="BL107" s="42" t="n">
        <f aca="false">IF(AND(BD107=1,N107&gt;N106,ISNUMBER(BH107),ISNUMBER(BK107)),IF(AND(BE107&gt;BH107,BF107&lt;BI107,BK107&gt;=p_GapMin,BK107&lt;=p_GapMax),1,0),0)</f>
        <v>0</v>
      </c>
      <c r="BM107" s="42" t="n">
        <f aca="false">IF(AND(BL107=1,E107&gt;BI107),1,0)</f>
        <v>0</v>
      </c>
      <c r="BN107" s="42" t="n">
        <f aca="false">IF(BL107=1,IF(BE107&gt;=BH107*0.5,1,0),0)</f>
        <v>0</v>
      </c>
      <c r="BO107" s="42" t="n">
        <f aca="true">IF(V107&gt;MIN(OFFSET(V107,-MIN(p_FiLb-1,ROW()-5),0,MIN(p_FiLb-1,ROW()-5),1)),1,0)</f>
        <v>1</v>
      </c>
      <c r="BP107" s="44" t="n">
        <f aca="true">IF(COUNTIF(OFFSET(V107,1-MIN(100,ROW()-4),0,MIN(100,ROW()-4),1),"&lt;0")&gt;=5,AVERAGEIF(OFFSET(V107,1-MIN(100,ROW()-4),0,MIN(100,ROW()-4),1),"&lt;0"),"")</f>
        <v>-919247.940355266</v>
      </c>
      <c r="BQ107" s="42" t="n">
        <f aca="false">IF(ISNUMBER(BP107),IF(AND(V107&lt;5*BP107,V107&gt;V106,E107&lt;AJ107),1,0),0)</f>
        <v>0</v>
      </c>
      <c r="BR107" s="44" t="n">
        <f aca="true">AVERAGE(OFFSET(F107,1-MIN(5,ROW()-4),0,MIN(5,ROW()-4),1))</f>
        <v>3471440</v>
      </c>
      <c r="BS107" s="42" t="n">
        <f aca="false">IFERROR(IF(MATCH(G107,周线!$A$5:$A$84,0)&lt;=1,"",INDEX(周线!$R$5:$R$84,MATCH(G107,周线!$A$5:$A$84,0)-1)),"")</f>
        <v>0</v>
      </c>
      <c r="BT107" s="42" t="n">
        <f aca="false">IFERROR(IF(MATCH(G107,周线!$A$5:$A$84,0)&lt;=1,"",INDEX(周线!$S$5:$S$84,MATCH(G107,周线!$A$5:$A$84,0)-1)),"")</f>
        <v>0</v>
      </c>
      <c r="BU107" s="42" t="n">
        <f aca="false">IFERROR(IF(MATCH(G107,周线!$A$5:$A$84,0)&lt;=1,"",INDEX(周线!$U$5:$U$84,MATCH(G107,周线!$A$5:$A$84,0)-1)),"")</f>
        <v>-1</v>
      </c>
      <c r="BV107" s="42" t="n">
        <f aca="false">IF(AND(BS107=1,S107&lt;&gt;-1,V107&lt;0,BO107=1,E107&lt;=H107,E107&gt;=AJ107),1,0)</f>
        <v>0</v>
      </c>
      <c r="BW107" s="42" t="n">
        <f aca="false">BL107</f>
        <v>0</v>
      </c>
      <c r="BX107" s="42" t="n">
        <f aca="false">BQ107</f>
        <v>0</v>
      </c>
      <c r="BY107" s="42" t="n">
        <f aca="false">IF(BS107=1,10,0)+IF(BU107=1,5,IF(BU107=-1,0,3))+IF(BT107=1,5,0)+IF(AND(AE107&gt;AF107,AH107&gt;AH106),5,0)</f>
        <v>0</v>
      </c>
      <c r="BZ107" s="42" t="n">
        <f aca="false">IF(AND(E107&lt;=H107,E107&gt;=I107),10,IF(AND(E107&gt;=AJ107,E107&lt;I107),6,0))+IF(AND(V107&lt;0,BO107=1),8,0)+IF(AT107&lt;30,7,IF(AT107&lt;50,3,0))</f>
        <v>15</v>
      </c>
      <c r="CA107" s="42" t="n">
        <f aca="false">IF(AND(BV107=1,BW107=1),25,IF(BW107=1,22,IF(BV107=1,15,IF(BX107=1,12,0))))</f>
        <v>0</v>
      </c>
      <c r="CB107" s="42" t="n">
        <f aca="false">IF(W107&gt;0,6,0)+IF(F107&lt;BR107,4,0)</f>
        <v>4</v>
      </c>
      <c r="CC107" s="42" t="n">
        <f aca="false">IF(BC107&gt;=3,15,IF(BC107&gt;=p_RRmin,10,IF(BC107&gt;=1.5,4,0)))</f>
        <v>15</v>
      </c>
      <c r="CD107" s="42" t="n">
        <f aca="false">BY107+BZ107+CA107+CB107+CC107</f>
        <v>34</v>
      </c>
      <c r="CE107" s="42" t="n">
        <f aca="false">IF(AND(BS107&lt;&gt;1,BW107+BX107=0),1,0)</f>
        <v>1</v>
      </c>
      <c r="CF107" s="42" t="n">
        <f aca="false">IF(BU107=-1,1,0)</f>
        <v>1</v>
      </c>
      <c r="CG107" s="42" t="n">
        <f aca="false">IF(S107=-1,1,0)</f>
        <v>0</v>
      </c>
      <c r="CH107" s="42" t="n">
        <f aca="false">IF(BV107+BW107+BX107=0,1,0)</f>
        <v>1</v>
      </c>
      <c r="CI107" s="42" t="n">
        <f aca="false">IF(BC107&lt;p_RRmin,1,0)</f>
        <v>0</v>
      </c>
      <c r="CJ107" s="46" t="str">
        <f aca="false">IF(SUM(CE107:CI107)=0,IF(CD107&gt;=p_GradeA,"A",IF(CD107&gt;=p_GradeB,"B","C")),IF(AND(CI107=1,SUM(CE107:CH107)=0,CD107&gt;=p_GradeB),"B","C"))</f>
        <v>C</v>
      </c>
    </row>
    <row r="108" customFormat="false" ht="15" hidden="false" customHeight="false" outlineLevel="0" collapsed="false">
      <c r="A108" s="36" t="n">
        <v>45804</v>
      </c>
      <c r="B108" s="37" t="n">
        <v>20.65</v>
      </c>
      <c r="C108" s="37" t="n">
        <v>21.09</v>
      </c>
      <c r="D108" s="37" t="n">
        <v>20.55</v>
      </c>
      <c r="E108" s="37" t="n">
        <v>21.04</v>
      </c>
      <c r="F108" s="38" t="n">
        <v>3254800</v>
      </c>
      <c r="G108" s="39" t="n">
        <f aca="false">A108-WEEKDAY(A108,3)</f>
        <v>45803</v>
      </c>
      <c r="H108" s="40" t="n">
        <f aca="false">2/(p_EmaF+1)*E108+(1-2/(p_EmaF+1))*H107</f>
        <v>21.579741134546</v>
      </c>
      <c r="I108" s="40" t="n">
        <f aca="false">2/(p_EmaS+1)*E108+(1-2/(p_EmaS+1))*I107</f>
        <v>22.5771384485321</v>
      </c>
      <c r="J108" s="41" t="n">
        <f aca="false">2/(p_MacdF+1)*E108+(1-2/(p_MacdF+1))*J107</f>
        <v>21.4868330070195</v>
      </c>
      <c r="K108" s="41" t="n">
        <f aca="false">2/(p_MacdS+1)*E108+(1-2/(p_MacdS+1))*K107</f>
        <v>22.5771384485321</v>
      </c>
      <c r="L108" s="41" t="n">
        <f aca="false">J108-K108</f>
        <v>-1.09030544151262</v>
      </c>
      <c r="M108" s="41" t="n">
        <f aca="false">2/(p_MacdSig+1)*L108+(1-2/(p_MacdSig+1))*M107</f>
        <v>-1.00318762264408</v>
      </c>
      <c r="N108" s="41" t="n">
        <f aca="false">L108-M108</f>
        <v>-0.0871178188685398</v>
      </c>
      <c r="O108" s="42" t="n">
        <f aca="false">IF(H108&gt;H107,1,0)</f>
        <v>0</v>
      </c>
      <c r="P108" s="42" t="n">
        <f aca="false">IF(H108&lt;H107,1,0)</f>
        <v>1</v>
      </c>
      <c r="Q108" s="42" t="n">
        <f aca="false">IF(N108&gt;N107,1,0)</f>
        <v>1</v>
      </c>
      <c r="R108" s="42" t="n">
        <f aca="false">IF(N108&lt;N107,1,0)</f>
        <v>0</v>
      </c>
      <c r="S108" s="42" t="n">
        <f aca="false">IF(AND(O108=1,Q108=1),1,IF(AND(P108=1,R108=1),-1,0))</f>
        <v>0</v>
      </c>
      <c r="T108" s="43" t="str">
        <f aca="false">IF(S108=1,"绿",IF(S108=-1,"红","蓝"))</f>
        <v>蓝</v>
      </c>
      <c r="U108" s="44" t="n">
        <f aca="false">F108*(E108-E107)</f>
        <v>1106632</v>
      </c>
      <c r="V108" s="44" t="n">
        <f aca="false">2/(p_FiS+1)*U108+(1-2/(p_FiS+1))*V107</f>
        <v>734188.705945667</v>
      </c>
      <c r="W108" s="44" t="n">
        <f aca="false">2/(p_FiL+1)*U108+(1-2/(p_FiL+1))*W107</f>
        <v>-613175.420513263</v>
      </c>
      <c r="X108" s="41" t="n">
        <f aca="false">MAX(C108-D108,ABS(C108-E107),ABS(D108-E107))</f>
        <v>0.539999999999999</v>
      </c>
      <c r="Y108" s="41" t="n">
        <f aca="true">AVERAGE(OFFSET(X108,1-MIN(p_AtrN,ROW()-4),0,MIN(p_AtrN,ROW()-4),1))</f>
        <v>0.542307692307692</v>
      </c>
      <c r="Z108" s="41" t="n">
        <f aca="false">IF(AND(C108-C107&gt;D107-D108,C108-C107&gt;0),C108-C107,0)</f>
        <v>0.309999999999999</v>
      </c>
      <c r="AA108" s="41" t="n">
        <f aca="false">IF(AND(D107-D108&gt;C108-C107,D107-D108&gt;0),D107-D108,0)</f>
        <v>0</v>
      </c>
      <c r="AB108" s="41" t="n">
        <f aca="false">2/(p_AdxN+1)*X108+(1-2/(p_AdxN+1))*AB107</f>
        <v>0.51361937191223</v>
      </c>
      <c r="AC108" s="41" t="n">
        <f aca="false">2/(p_AdxN+1)*Z108+(1-2/(p_AdxN+1))*AC107</f>
        <v>0.0738452880604956</v>
      </c>
      <c r="AD108" s="41" t="n">
        <f aca="false">2/(p_AdxN+1)*AA108+(1-2/(p_AdxN+1))*AD107</f>
        <v>0.166213692266223</v>
      </c>
      <c r="AE108" s="45" t="n">
        <f aca="false">100*AC108/AB108</f>
        <v>14.3774343606951</v>
      </c>
      <c r="AF108" s="45" t="n">
        <f aca="false">100*AD108/AB108</f>
        <v>32.3612584251643</v>
      </c>
      <c r="AG108" s="45" t="n">
        <f aca="false">IFERROR(100*ABS(AE108-AF108)/(AE108+AF108),0)</f>
        <v>38.4773792173967</v>
      </c>
      <c r="AH108" s="45" t="n">
        <f aca="false">2/(p_AdxN+1)*AG108+(1-2/(p_AdxN+1))*AH107</f>
        <v>67.0018503119896</v>
      </c>
      <c r="AI108" s="40" t="n">
        <f aca="false">I108*(1+p_ChPct)</f>
        <v>23.931766755444</v>
      </c>
      <c r="AJ108" s="40" t="n">
        <f aca="false">I108*(1-p_ChPct)</f>
        <v>21.2225101416202</v>
      </c>
      <c r="AK108" s="40" t="n">
        <f aca="false">I108+1*Y108</f>
        <v>23.1194461408398</v>
      </c>
      <c r="AL108" s="40" t="n">
        <f aca="false">I108+2*Y108</f>
        <v>23.6617538331475</v>
      </c>
      <c r="AM108" s="40" t="n">
        <f aca="false">I108+3*Y108</f>
        <v>24.2040615254552</v>
      </c>
      <c r="AN108" s="40" t="n">
        <f aca="false">I108-1*Y108</f>
        <v>22.0348307562244</v>
      </c>
      <c r="AO108" s="40" t="n">
        <f aca="false">I108-2*Y108</f>
        <v>21.4925230639167</v>
      </c>
      <c r="AP108" s="40" t="n">
        <f aca="false">I108-3*Y108</f>
        <v>20.950215371609</v>
      </c>
      <c r="AQ108" s="40" t="n">
        <f aca="true">MAX(OFFSET(C108,1-MIN(p_StochN,ROW()-4),0,MIN(p_StochN,ROW()-4),1))</f>
        <v>21.27</v>
      </c>
      <c r="AR108" s="40" t="n">
        <f aca="true">MIN(OFFSET(D108,1-MIN(p_StochN,ROW()-4),0,MIN(p_StochN,ROW()-4),1))</f>
        <v>20.27</v>
      </c>
      <c r="AS108" s="45" t="n">
        <f aca="false">IF(AQ108=AR108,50,100*(E108-AR108)/(AQ108-AR108))</f>
        <v>77</v>
      </c>
      <c r="AT108" s="45" t="n">
        <f aca="true">AVERAGE(OFFSET(AS108,1-MIN(p_StochSm,ROW()-4),0,MIN(p_StochSm,ROW()-4),1))</f>
        <v>42.833562664832</v>
      </c>
      <c r="AU108" s="45" t="n">
        <f aca="true">AVERAGE(OFFSET(AT108,1-MIN(p_StochSm,ROW()-4),0,MIN(p_StochSm,ROW()-4),1))</f>
        <v>28.939384769094</v>
      </c>
      <c r="AV108" s="41" t="n">
        <f aca="false">MAX(0,H108-D108)</f>
        <v>1.02974113454598</v>
      </c>
      <c r="AW108" s="41" t="n">
        <f aca="true">IF(COUNTIF(OFFSET(AV108,1-MIN(p_PenLb,ROW()-4),0,MIN(p_PenLb,ROW()-4),1),"&gt;0")&gt;0,SUM(OFFSET(AV108,1-MIN(p_PenLb,ROW()-4),0,MIN(p_PenLb,ROW()-4),1))/COUNTIF(OFFSET(AV108,1-MIN(p_PenLb,ROW()-4),0,MIN(p_PenLb,ROW()-4),1),"&gt;0"),0.5*Y108)</f>
        <v>1.14613965294944</v>
      </c>
      <c r="AX108" s="41" t="n">
        <f aca="false">2*H108-H107</f>
        <v>21.4897842787883</v>
      </c>
      <c r="AY108" s="40" t="n">
        <f aca="false">ROUND(MAX(AX108-AW108,0.01),2)</f>
        <v>20.34</v>
      </c>
      <c r="AZ108" s="40" t="n">
        <f aca="true">IF(MIN(p_StopLb,ROW()-4)&lt;2,D108,SMALL(OFFSET(D108,1-MIN(p_StopLb,ROW()-4),0,MIN(p_StopLb,ROW()-4),1),2))</f>
        <v>20.37</v>
      </c>
      <c r="BA108" s="40" t="n">
        <f aca="false">IF(MOD(ROUND(ROUNDDOWN(MIN(AZ108-0.01,AY108-p_StopAtr*Y108),2)*100,0),50)=0,ROUNDDOWN(MIN(AZ108-0.01,AY108-p_StopAtr*Y108),2)-0.01,ROUNDDOWN(MIN(AZ108-0.01,AY108-p_StopAtr*Y108),2))</f>
        <v>19.79</v>
      </c>
      <c r="BB108" s="40" t="n">
        <f aca="false">ROUND(AI108,2)</f>
        <v>23.93</v>
      </c>
      <c r="BC108" s="40" t="n">
        <f aca="false">IF(AY108-BA108&gt;0,(BB108-AY108)/(AY108-BA108),0)</f>
        <v>6.52727272727272</v>
      </c>
      <c r="BD108" s="42" t="n">
        <f aca="false">IF(N108&lt;0,1,0)</f>
        <v>1</v>
      </c>
      <c r="BE108" s="41" t="n">
        <f aca="false">IF(AND(BD108=1,BD107=0),N108,IF(BD108=1,MIN(BE107,N108),BE107))</f>
        <v>-0.392824838841331</v>
      </c>
      <c r="BF108" s="40" t="n">
        <f aca="false">IF(AND(BD108=1,BD107=0),D108,IF(BD108=1,MIN(BF107,D108),BF107))</f>
        <v>20.27</v>
      </c>
      <c r="BG108" s="42" t="n">
        <f aca="false">IF(AND(BD108=1,BD107=0),ROW(),IF(BD108=1,IF(N108&lt;BE107,ROW(),BG107),BG107))</f>
        <v>98</v>
      </c>
      <c r="BH108" s="41" t="n">
        <f aca="false">IF(AND(BD108=1,BD107=0),BE107,BH107)</f>
        <v>-0.267100964273217</v>
      </c>
      <c r="BI108" s="40" t="n">
        <f aca="false">IF(AND(BD108=1,BD107=0),BF107,BI107)</f>
        <v>23.24</v>
      </c>
      <c r="BJ108" s="42" t="n">
        <f aca="false">IF(AND(BD108=1,BD107=0),BG107,BJ107)</f>
        <v>52</v>
      </c>
      <c r="BK108" s="42" t="n">
        <f aca="false">IF(AND(ISNUMBER(BG108),ISNUMBER(BJ108)),BG108-BJ108,"")</f>
        <v>46</v>
      </c>
      <c r="BL108" s="42" t="n">
        <f aca="false">IF(AND(BD108=1,N108&gt;N107,ISNUMBER(BH108),ISNUMBER(BK108)),IF(AND(BE108&gt;BH108,BF108&lt;BI108,BK108&gt;=p_GapMin,BK108&lt;=p_GapMax),1,0),0)</f>
        <v>0</v>
      </c>
      <c r="BM108" s="42" t="n">
        <f aca="false">IF(AND(BL108=1,E108&gt;BI108),1,0)</f>
        <v>0</v>
      </c>
      <c r="BN108" s="42" t="n">
        <f aca="false">IF(BL108=1,IF(BE108&gt;=BH108*0.5,1,0),0)</f>
        <v>0</v>
      </c>
      <c r="BO108" s="42" t="n">
        <f aca="true">IF(V108&gt;MIN(OFFSET(V108,-MIN(p_FiLb-1,ROW()-5),0,MIN(p_FiLb-1,ROW()-5),1)),1,0)</f>
        <v>1</v>
      </c>
      <c r="BP108" s="44" t="n">
        <f aca="true">IF(COUNTIF(OFFSET(V108,1-MIN(100,ROW()-4),0,MIN(100,ROW()-4),1),"&lt;0")&gt;=5,AVERAGEIF(OFFSET(V108,1-MIN(100,ROW()-4),0,MIN(100,ROW()-4),1),"&lt;0"),"")</f>
        <v>-925345.866575668</v>
      </c>
      <c r="BQ108" s="42" t="n">
        <f aca="false">IF(ISNUMBER(BP108),IF(AND(V108&lt;5*BP108,V108&gt;V107,E108&lt;AJ108),1,0),0)</f>
        <v>0</v>
      </c>
      <c r="BR108" s="44" t="n">
        <f aca="true">AVERAGE(OFFSET(F108,1-MIN(5,ROW()-4),0,MIN(5,ROW()-4),1))</f>
        <v>3585200</v>
      </c>
      <c r="BS108" s="42" t="n">
        <f aca="false">IFERROR(IF(MATCH(G108,周线!$A$5:$A$84,0)&lt;=1,"",INDEX(周线!$R$5:$R$84,MATCH(G108,周线!$A$5:$A$84,0)-1)),"")</f>
        <v>0</v>
      </c>
      <c r="BT108" s="42" t="n">
        <f aca="false">IFERROR(IF(MATCH(G108,周线!$A$5:$A$84,0)&lt;=1,"",INDEX(周线!$S$5:$S$84,MATCH(G108,周线!$A$5:$A$84,0)-1)),"")</f>
        <v>0</v>
      </c>
      <c r="BU108" s="42" t="n">
        <f aca="false">IFERROR(IF(MATCH(G108,周线!$A$5:$A$84,0)&lt;=1,"",INDEX(周线!$U$5:$U$84,MATCH(G108,周线!$A$5:$A$84,0)-1)),"")</f>
        <v>-1</v>
      </c>
      <c r="BV108" s="42" t="n">
        <f aca="false">IF(AND(BS108=1,S108&lt;&gt;-1,V108&lt;0,BO108=1,E108&lt;=H108,E108&gt;=AJ108),1,0)</f>
        <v>0</v>
      </c>
      <c r="BW108" s="42" t="n">
        <f aca="false">BL108</f>
        <v>0</v>
      </c>
      <c r="BX108" s="42" t="n">
        <f aca="false">BQ108</f>
        <v>0</v>
      </c>
      <c r="BY108" s="42" t="n">
        <f aca="false">IF(BS108=1,10,0)+IF(BU108=1,5,IF(BU108=-1,0,3))+IF(BT108=1,5,0)+IF(AND(AE108&gt;AF108,AH108&gt;AH107),5,0)</f>
        <v>0</v>
      </c>
      <c r="BZ108" s="42" t="n">
        <f aca="false">IF(AND(E108&lt;=H108,E108&gt;=I108),10,IF(AND(E108&gt;=AJ108,E108&lt;I108),6,0))+IF(AND(V108&lt;0,BO108=1),8,0)+IF(AT108&lt;30,7,IF(AT108&lt;50,3,0))</f>
        <v>3</v>
      </c>
      <c r="CA108" s="42" t="n">
        <f aca="false">IF(AND(BV108=1,BW108=1),25,IF(BW108=1,22,IF(BV108=1,15,IF(BX108=1,12,0))))</f>
        <v>0</v>
      </c>
      <c r="CB108" s="42" t="n">
        <f aca="false">IF(W108&gt;0,6,0)+IF(F108&lt;BR108,4,0)</f>
        <v>4</v>
      </c>
      <c r="CC108" s="42" t="n">
        <f aca="false">IF(BC108&gt;=3,15,IF(BC108&gt;=p_RRmin,10,IF(BC108&gt;=1.5,4,0)))</f>
        <v>15</v>
      </c>
      <c r="CD108" s="42" t="n">
        <f aca="false">BY108+BZ108+CA108+CB108+CC108</f>
        <v>22</v>
      </c>
      <c r="CE108" s="42" t="n">
        <f aca="false">IF(AND(BS108&lt;&gt;1,BW108+BX108=0),1,0)</f>
        <v>1</v>
      </c>
      <c r="CF108" s="42" t="n">
        <f aca="false">IF(BU108=-1,1,0)</f>
        <v>1</v>
      </c>
      <c r="CG108" s="42" t="n">
        <f aca="false">IF(S108=-1,1,0)</f>
        <v>0</v>
      </c>
      <c r="CH108" s="42" t="n">
        <f aca="false">IF(BV108+BW108+BX108=0,1,0)</f>
        <v>1</v>
      </c>
      <c r="CI108" s="42" t="n">
        <f aca="false">IF(BC108&lt;p_RRmin,1,0)</f>
        <v>0</v>
      </c>
      <c r="CJ108" s="46" t="str">
        <f aca="false">IF(SUM(CE108:CI108)=0,IF(CD108&gt;=p_GradeA,"A",IF(CD108&gt;=p_GradeB,"B","C")),IF(AND(CI108=1,SUM(CE108:CH108)=0,CD108&gt;=p_GradeB),"B","C"))</f>
        <v>C</v>
      </c>
    </row>
    <row r="109" customFormat="false" ht="15" hidden="false" customHeight="false" outlineLevel="0" collapsed="false">
      <c r="A109" s="36" t="n">
        <v>45805</v>
      </c>
      <c r="B109" s="37" t="n">
        <v>20.93</v>
      </c>
      <c r="C109" s="37" t="n">
        <v>21.02</v>
      </c>
      <c r="D109" s="37" t="n">
        <v>20.88</v>
      </c>
      <c r="E109" s="37" t="n">
        <v>20.98</v>
      </c>
      <c r="F109" s="38" t="n">
        <v>2611200</v>
      </c>
      <c r="G109" s="39" t="n">
        <f aca="false">A109-WEEKDAY(A109,3)</f>
        <v>45803</v>
      </c>
      <c r="H109" s="40" t="n">
        <f aca="false">2/(p_EmaF+1)*E109+(1-2/(p_EmaF+1))*H108</f>
        <v>21.4940638296108</v>
      </c>
      <c r="I109" s="40" t="n">
        <f aca="false">2/(p_EmaS+1)*E109+(1-2/(p_EmaS+1))*I108</f>
        <v>22.458831896789</v>
      </c>
      <c r="J109" s="41" t="n">
        <f aca="false">2/(p_MacdF+1)*E109+(1-2/(p_MacdF+1))*J108</f>
        <v>21.4088586982473</v>
      </c>
      <c r="K109" s="41" t="n">
        <f aca="false">2/(p_MacdS+1)*E109+(1-2/(p_MacdS+1))*K108</f>
        <v>22.458831896789</v>
      </c>
      <c r="L109" s="41" t="n">
        <f aca="false">J109-K109</f>
        <v>-1.04997319854172</v>
      </c>
      <c r="M109" s="41" t="n">
        <f aca="false">2/(p_MacdSig+1)*L109+(1-2/(p_MacdSig+1))*M108</f>
        <v>-1.01254473782361</v>
      </c>
      <c r="N109" s="41" t="n">
        <f aca="false">L109-M109</f>
        <v>-0.0374284607181163</v>
      </c>
      <c r="O109" s="42" t="n">
        <f aca="false">IF(H109&gt;H108,1,0)</f>
        <v>0</v>
      </c>
      <c r="P109" s="42" t="n">
        <f aca="false">IF(H109&lt;H108,1,0)</f>
        <v>1</v>
      </c>
      <c r="Q109" s="42" t="n">
        <f aca="false">IF(N109&gt;N108,1,0)</f>
        <v>1</v>
      </c>
      <c r="R109" s="42" t="n">
        <f aca="false">IF(N109&lt;N108,1,0)</f>
        <v>0</v>
      </c>
      <c r="S109" s="42" t="n">
        <f aca="false">IF(AND(O109=1,Q109=1),1,IF(AND(P109=1,R109=1),-1,0))</f>
        <v>0</v>
      </c>
      <c r="T109" s="43" t="str">
        <f aca="false">IF(S109=1,"绿",IF(S109=-1,"红","蓝"))</f>
        <v>蓝</v>
      </c>
      <c r="U109" s="44" t="n">
        <f aca="false">F109*(E109-E108)</f>
        <v>-156671.999999997</v>
      </c>
      <c r="V109" s="44" t="n">
        <f aca="false">2/(p_FiS+1)*U109+(1-2/(p_FiS+1))*V108</f>
        <v>140281.568648558</v>
      </c>
      <c r="W109" s="44" t="n">
        <f aca="false">2/(p_FiL+1)*U109+(1-2/(p_FiL+1))*W108</f>
        <v>-547960.646154225</v>
      </c>
      <c r="X109" s="41" t="n">
        <f aca="false">MAX(C109-D109,ABS(C109-E108),ABS(D109-E108))</f>
        <v>0.16</v>
      </c>
      <c r="Y109" s="41" t="n">
        <f aca="true">AVERAGE(OFFSET(X109,1-MIN(p_AtrN,ROW()-4),0,MIN(p_AtrN,ROW()-4),1))</f>
        <v>0.501538461538462</v>
      </c>
      <c r="Z109" s="41" t="n">
        <f aca="false">IF(AND(C109-C108&gt;D108-D109,C109-C108&gt;0),C109-C108,0)</f>
        <v>0</v>
      </c>
      <c r="AA109" s="41" t="n">
        <f aca="false">IF(AND(D108-D109&gt;C109-C108,D108-D109&gt;0),D108-D109,0)</f>
        <v>0</v>
      </c>
      <c r="AB109" s="41" t="n">
        <f aca="false">2/(p_AdxN+1)*X109+(1-2/(p_AdxN+1))*AB108</f>
        <v>0.463102318781912</v>
      </c>
      <c r="AC109" s="41" t="n">
        <f aca="false">2/(p_AdxN+1)*Z109+(1-2/(p_AdxN+1))*AC108</f>
        <v>0.0632959611947105</v>
      </c>
      <c r="AD109" s="41" t="n">
        <f aca="false">2/(p_AdxN+1)*AA109+(1-2/(p_AdxN+1))*AD108</f>
        <v>0.142468879085334</v>
      </c>
      <c r="AE109" s="45" t="n">
        <f aca="false">100*AC109/AB109</f>
        <v>13.6678134890787</v>
      </c>
      <c r="AF109" s="45" t="n">
        <f aca="false">100*AD109/AB109</f>
        <v>30.7640176495049</v>
      </c>
      <c r="AG109" s="45" t="n">
        <f aca="false">IFERROR(100*ABS(AE109-AF109)/(AE109+AF109),0)</f>
        <v>38.4773792173967</v>
      </c>
      <c r="AH109" s="45" t="n">
        <f aca="false">2/(p_AdxN+1)*AG109+(1-2/(p_AdxN+1))*AH108</f>
        <v>62.9269258699049</v>
      </c>
      <c r="AI109" s="40" t="n">
        <f aca="false">I109*(1+p_ChPct)</f>
        <v>23.8063618105963</v>
      </c>
      <c r="AJ109" s="40" t="n">
        <f aca="false">I109*(1-p_ChPct)</f>
        <v>21.1113019829816</v>
      </c>
      <c r="AK109" s="40" t="n">
        <f aca="false">I109+1*Y109</f>
        <v>22.9603703583274</v>
      </c>
      <c r="AL109" s="40" t="n">
        <f aca="false">I109+2*Y109</f>
        <v>23.4619088198659</v>
      </c>
      <c r="AM109" s="40" t="n">
        <f aca="false">I109+3*Y109</f>
        <v>23.9634472814044</v>
      </c>
      <c r="AN109" s="40" t="n">
        <f aca="false">I109-1*Y109</f>
        <v>21.9572934352505</v>
      </c>
      <c r="AO109" s="40" t="n">
        <f aca="false">I109-2*Y109</f>
        <v>21.4557549737121</v>
      </c>
      <c r="AP109" s="40" t="n">
        <f aca="false">I109-3*Y109</f>
        <v>20.9542165121736</v>
      </c>
      <c r="AQ109" s="40" t="n">
        <f aca="true">MAX(OFFSET(C109,1-MIN(p_StochN,ROW()-4),0,MIN(p_StochN,ROW()-4),1))</f>
        <v>21.09</v>
      </c>
      <c r="AR109" s="40" t="n">
        <f aca="true">MIN(OFFSET(D109,1-MIN(p_StochN,ROW()-4),0,MIN(p_StochN,ROW()-4),1))</f>
        <v>20.27</v>
      </c>
      <c r="AS109" s="45" t="n">
        <f aca="false">IF(AQ109=AR109,50,100*(E109-AR109)/(AQ109-AR109))</f>
        <v>86.5853658536586</v>
      </c>
      <c r="AT109" s="45" t="n">
        <f aca="true">AVERAGE(OFFSET(AS109,1-MIN(p_StochSm,ROW()-4),0,MIN(p_StochSm,ROW()-4),1))</f>
        <v>65.0676709708274</v>
      </c>
      <c r="AU109" s="45" t="n">
        <f aca="true">AVERAGE(OFFSET(AT109,1-MIN(p_StochSm,ROW()-4),0,MIN(p_StochSm,ROW()-4),1))</f>
        <v>44.2019393586786</v>
      </c>
      <c r="AV109" s="41" t="n">
        <f aca="false">MAX(0,H109-D109)</f>
        <v>0.614063829610842</v>
      </c>
      <c r="AW109" s="41" t="n">
        <f aca="true">IF(COUNTIF(OFFSET(AV109,1-MIN(p_PenLb,ROW()-4),0,MIN(p_PenLb,ROW()-4),1),"&gt;0")&gt;0,SUM(OFFSET(AV109,1-MIN(p_PenLb,ROW()-4),0,MIN(p_PenLb,ROW()-4),1))/COUNTIF(OFFSET(AV109,1-MIN(p_PenLb,ROW()-4),0,MIN(p_PenLb,ROW()-4),1),"&gt;0"),0.5*Y109)</f>
        <v>1.12840379217149</v>
      </c>
      <c r="AX109" s="41" t="n">
        <f aca="false">2*H109-H108</f>
        <v>21.4083865246757</v>
      </c>
      <c r="AY109" s="40" t="n">
        <f aca="false">ROUND(MAX(AX109-AW109,0.01),2)</f>
        <v>20.28</v>
      </c>
      <c r="AZ109" s="40" t="n">
        <f aca="true">IF(MIN(p_StopLb,ROW()-4)&lt;2,D109,SMALL(OFFSET(D109,1-MIN(p_StopLb,ROW()-4),0,MIN(p_StopLb,ROW()-4),1),2))</f>
        <v>20.37</v>
      </c>
      <c r="BA109" s="40" t="n">
        <f aca="false">IF(MOD(ROUND(ROUNDDOWN(MIN(AZ109-0.01,AY109-p_StopAtr*Y109),2)*100,0),50)=0,ROUNDDOWN(MIN(AZ109-0.01,AY109-p_StopAtr*Y109),2)-0.01,ROUNDDOWN(MIN(AZ109-0.01,AY109-p_StopAtr*Y109),2))</f>
        <v>19.77</v>
      </c>
      <c r="BB109" s="40" t="n">
        <f aca="false">ROUND(AI109,2)</f>
        <v>23.81</v>
      </c>
      <c r="BC109" s="40" t="n">
        <f aca="false">IF(AY109-BA109&gt;0,(BB109-AY109)/(AY109-BA109),0)</f>
        <v>6.92156862745095</v>
      </c>
      <c r="BD109" s="42" t="n">
        <f aca="false">IF(N109&lt;0,1,0)</f>
        <v>1</v>
      </c>
      <c r="BE109" s="41" t="n">
        <f aca="false">IF(AND(BD109=1,BD108=0),N109,IF(BD109=1,MIN(BE108,N109),BE108))</f>
        <v>-0.392824838841331</v>
      </c>
      <c r="BF109" s="40" t="n">
        <f aca="false">IF(AND(BD109=1,BD108=0),D109,IF(BD109=1,MIN(BF108,D109),BF108))</f>
        <v>20.27</v>
      </c>
      <c r="BG109" s="42" t="n">
        <f aca="false">IF(AND(BD109=1,BD108=0),ROW(),IF(BD109=1,IF(N109&lt;BE108,ROW(),BG108),BG108))</f>
        <v>98</v>
      </c>
      <c r="BH109" s="41" t="n">
        <f aca="false">IF(AND(BD109=1,BD108=0),BE108,BH108)</f>
        <v>-0.267100964273217</v>
      </c>
      <c r="BI109" s="40" t="n">
        <f aca="false">IF(AND(BD109=1,BD108=0),BF108,BI108)</f>
        <v>23.24</v>
      </c>
      <c r="BJ109" s="42" t="n">
        <f aca="false">IF(AND(BD109=1,BD108=0),BG108,BJ108)</f>
        <v>52</v>
      </c>
      <c r="BK109" s="42" t="n">
        <f aca="false">IF(AND(ISNUMBER(BG109),ISNUMBER(BJ109)),BG109-BJ109,"")</f>
        <v>46</v>
      </c>
      <c r="BL109" s="42" t="n">
        <f aca="false">IF(AND(BD109=1,N109&gt;N108,ISNUMBER(BH109),ISNUMBER(BK109)),IF(AND(BE109&gt;BH109,BF109&lt;BI109,BK109&gt;=p_GapMin,BK109&lt;=p_GapMax),1,0),0)</f>
        <v>0</v>
      </c>
      <c r="BM109" s="42" t="n">
        <f aca="false">IF(AND(BL109=1,E109&gt;BI109),1,0)</f>
        <v>0</v>
      </c>
      <c r="BN109" s="42" t="n">
        <f aca="false">IF(BL109=1,IF(BE109&gt;=BH109*0.5,1,0),0)</f>
        <v>0</v>
      </c>
      <c r="BO109" s="42" t="n">
        <f aca="true">IF(V109&gt;MIN(OFFSET(V109,-MIN(p_FiLb-1,ROW()-5),0,MIN(p_FiLb-1,ROW()-5),1)),1,0)</f>
        <v>1</v>
      </c>
      <c r="BP109" s="44" t="n">
        <f aca="true">IF(COUNTIF(OFFSET(V109,1-MIN(100,ROW()-4),0,MIN(100,ROW()-4),1),"&lt;0")&gt;=5,AVERAGEIF(OFFSET(V109,1-MIN(100,ROW()-4),0,MIN(100,ROW()-4),1),"&lt;0"),"")</f>
        <v>-934868.950215748</v>
      </c>
      <c r="BQ109" s="42" t="n">
        <f aca="false">IF(ISNUMBER(BP109),IF(AND(V109&lt;5*BP109,V109&gt;V108,E109&lt;AJ109),1,0),0)</f>
        <v>0</v>
      </c>
      <c r="BR109" s="44" t="n">
        <f aca="true">AVERAGE(OFFSET(F109,1-MIN(5,ROW()-4),0,MIN(5,ROW()-4),1))</f>
        <v>2877900</v>
      </c>
      <c r="BS109" s="42" t="n">
        <f aca="false">IFERROR(IF(MATCH(G109,周线!$A$5:$A$84,0)&lt;=1,"",INDEX(周线!$R$5:$R$84,MATCH(G109,周线!$A$5:$A$84,0)-1)),"")</f>
        <v>0</v>
      </c>
      <c r="BT109" s="42" t="n">
        <f aca="false">IFERROR(IF(MATCH(G109,周线!$A$5:$A$84,0)&lt;=1,"",INDEX(周线!$S$5:$S$84,MATCH(G109,周线!$A$5:$A$84,0)-1)),"")</f>
        <v>0</v>
      </c>
      <c r="BU109" s="42" t="n">
        <f aca="false">IFERROR(IF(MATCH(G109,周线!$A$5:$A$84,0)&lt;=1,"",INDEX(周线!$U$5:$U$84,MATCH(G109,周线!$A$5:$A$84,0)-1)),"")</f>
        <v>-1</v>
      </c>
      <c r="BV109" s="42" t="n">
        <f aca="false">IF(AND(BS109=1,S109&lt;&gt;-1,V109&lt;0,BO109=1,E109&lt;=H109,E109&gt;=AJ109),1,0)</f>
        <v>0</v>
      </c>
      <c r="BW109" s="42" t="n">
        <f aca="false">BL109</f>
        <v>0</v>
      </c>
      <c r="BX109" s="42" t="n">
        <f aca="false">BQ109</f>
        <v>0</v>
      </c>
      <c r="BY109" s="42" t="n">
        <f aca="false">IF(BS109=1,10,0)+IF(BU109=1,5,IF(BU109=-1,0,3))+IF(BT109=1,5,0)+IF(AND(AE109&gt;AF109,AH109&gt;AH108),5,0)</f>
        <v>0</v>
      </c>
      <c r="BZ109" s="42" t="n">
        <f aca="false">IF(AND(E109&lt;=H109,E109&gt;=I109),10,IF(AND(E109&gt;=AJ109,E109&lt;I109),6,0))+IF(AND(V109&lt;0,BO109=1),8,0)+IF(AT109&lt;30,7,IF(AT109&lt;50,3,0))</f>
        <v>0</v>
      </c>
      <c r="CA109" s="42" t="n">
        <f aca="false">IF(AND(BV109=1,BW109=1),25,IF(BW109=1,22,IF(BV109=1,15,IF(BX109=1,12,0))))</f>
        <v>0</v>
      </c>
      <c r="CB109" s="42" t="n">
        <f aca="false">IF(W109&gt;0,6,0)+IF(F109&lt;BR109,4,0)</f>
        <v>4</v>
      </c>
      <c r="CC109" s="42" t="n">
        <f aca="false">IF(BC109&gt;=3,15,IF(BC109&gt;=p_RRmin,10,IF(BC109&gt;=1.5,4,0)))</f>
        <v>15</v>
      </c>
      <c r="CD109" s="42" t="n">
        <f aca="false">BY109+BZ109+CA109+CB109+CC109</f>
        <v>19</v>
      </c>
      <c r="CE109" s="42" t="n">
        <f aca="false">IF(AND(BS109&lt;&gt;1,BW109+BX109=0),1,0)</f>
        <v>1</v>
      </c>
      <c r="CF109" s="42" t="n">
        <f aca="false">IF(BU109=-1,1,0)</f>
        <v>1</v>
      </c>
      <c r="CG109" s="42" t="n">
        <f aca="false">IF(S109=-1,1,0)</f>
        <v>0</v>
      </c>
      <c r="CH109" s="42" t="n">
        <f aca="false">IF(BV109+BW109+BX109=0,1,0)</f>
        <v>1</v>
      </c>
      <c r="CI109" s="42" t="n">
        <f aca="false">IF(BC109&lt;p_RRmin,1,0)</f>
        <v>0</v>
      </c>
      <c r="CJ109" s="46" t="str">
        <f aca="false">IF(SUM(CE109:CI109)=0,IF(CD109&gt;=p_GradeA,"A",IF(CD109&gt;=p_GradeB,"B","C")),IF(AND(CI109=1,SUM(CE109:CH109)=0,CD109&gt;=p_GradeB),"B","C"))</f>
        <v>C</v>
      </c>
    </row>
    <row r="110" customFormat="false" ht="15" hidden="false" customHeight="false" outlineLevel="0" collapsed="false">
      <c r="A110" s="36" t="n">
        <v>45806</v>
      </c>
      <c r="B110" s="37" t="n">
        <v>21.06</v>
      </c>
      <c r="C110" s="37" t="n">
        <v>21.36</v>
      </c>
      <c r="D110" s="37" t="n">
        <v>20.93</v>
      </c>
      <c r="E110" s="37" t="n">
        <v>21.26</v>
      </c>
      <c r="F110" s="38" t="n">
        <v>4964000</v>
      </c>
      <c r="G110" s="39" t="n">
        <f aca="false">A110-WEEKDAY(A110,3)</f>
        <v>45803</v>
      </c>
      <c r="H110" s="40" t="n">
        <f aca="false">2/(p_EmaF+1)*E110+(1-2/(p_EmaF+1))*H109</f>
        <v>21.4606261396664</v>
      </c>
      <c r="I110" s="40" t="n">
        <f aca="false">2/(p_EmaS+1)*E110+(1-2/(p_EmaS+1))*I109</f>
        <v>22.3700295340639</v>
      </c>
      <c r="J110" s="41" t="n">
        <f aca="false">2/(p_MacdF+1)*E110+(1-2/(p_MacdF+1))*J109</f>
        <v>21.3859573600554</v>
      </c>
      <c r="K110" s="41" t="n">
        <f aca="false">2/(p_MacdS+1)*E110+(1-2/(p_MacdS+1))*K109</f>
        <v>22.3700295340639</v>
      </c>
      <c r="L110" s="41" t="n">
        <f aca="false">J110-K110</f>
        <v>-0.984072174008496</v>
      </c>
      <c r="M110" s="41" t="n">
        <f aca="false">2/(p_MacdSig+1)*L110+(1-2/(p_MacdSig+1))*M109</f>
        <v>-1.00685022506059</v>
      </c>
      <c r="N110" s="41" t="n">
        <f aca="false">L110-M110</f>
        <v>0.0227780510520901</v>
      </c>
      <c r="O110" s="42" t="n">
        <f aca="false">IF(H110&gt;H109,1,0)</f>
        <v>0</v>
      </c>
      <c r="P110" s="42" t="n">
        <f aca="false">IF(H110&lt;H109,1,0)</f>
        <v>1</v>
      </c>
      <c r="Q110" s="42" t="n">
        <f aca="false">IF(N110&gt;N109,1,0)</f>
        <v>1</v>
      </c>
      <c r="R110" s="42" t="n">
        <f aca="false">IF(N110&lt;N109,1,0)</f>
        <v>0</v>
      </c>
      <c r="S110" s="42" t="n">
        <f aca="false">IF(AND(O110=1,Q110=1),1,IF(AND(P110=1,R110=1),-1,0))</f>
        <v>0</v>
      </c>
      <c r="T110" s="43" t="str">
        <f aca="false">IF(S110=1,"绿",IF(S110=-1,"红","蓝"))</f>
        <v>蓝</v>
      </c>
      <c r="U110" s="44" t="n">
        <f aca="false">F110*(E110-E109)</f>
        <v>1389920.00000001</v>
      </c>
      <c r="V110" s="44" t="n">
        <f aca="false">2/(p_FiS+1)*U110+(1-2/(p_FiS+1))*V109</f>
        <v>973373.85621619</v>
      </c>
      <c r="W110" s="44" t="n">
        <f aca="false">2/(p_FiL+1)*U110+(1-2/(p_FiL+1))*W109</f>
        <v>-271120.553846478</v>
      </c>
      <c r="X110" s="41" t="n">
        <f aca="false">MAX(C110-D110,ABS(C110-E109),ABS(D110-E109))</f>
        <v>0.43</v>
      </c>
      <c r="Y110" s="41" t="n">
        <f aca="true">AVERAGE(OFFSET(X110,1-MIN(p_AtrN,ROW()-4),0,MIN(p_AtrN,ROW()-4),1))</f>
        <v>0.483846153846154</v>
      </c>
      <c r="Z110" s="41" t="n">
        <f aca="false">IF(AND(C110-C109&gt;D109-D110,C110-C109&gt;0),C110-C109,0)</f>
        <v>0.34</v>
      </c>
      <c r="AA110" s="41" t="n">
        <f aca="false">IF(AND(D109-D110&gt;C110-C109,D109-D110&gt;0),D109-D110,0)</f>
        <v>0</v>
      </c>
      <c r="AB110" s="41" t="n">
        <f aca="false">2/(p_AdxN+1)*X110+(1-2/(p_AdxN+1))*AB109</f>
        <v>0.458373416098782</v>
      </c>
      <c r="AC110" s="41" t="n">
        <f aca="false">2/(p_AdxN+1)*Z110+(1-2/(p_AdxN+1))*AC109</f>
        <v>0.102825109595466</v>
      </c>
      <c r="AD110" s="41" t="n">
        <f aca="false">2/(p_AdxN+1)*AA110+(1-2/(p_AdxN+1))*AD109</f>
        <v>0.122116182073143</v>
      </c>
      <c r="AE110" s="45" t="n">
        <f aca="false">100*AC110/AB110</f>
        <v>22.4326075605804</v>
      </c>
      <c r="AF110" s="45" t="n">
        <f aca="false">100*AD110/AB110</f>
        <v>26.6412007730454</v>
      </c>
      <c r="AG110" s="45" t="n">
        <f aca="false">IFERROR(100*ABS(AE110-AF110)/(AE110+AF110),0)</f>
        <v>8.57604770319244</v>
      </c>
      <c r="AH110" s="45" t="n">
        <f aca="false">2/(p_AdxN+1)*AG110+(1-2/(p_AdxN+1))*AH109</f>
        <v>55.1625147032317</v>
      </c>
      <c r="AI110" s="40" t="n">
        <f aca="false">I110*(1+p_ChPct)</f>
        <v>23.7122313061077</v>
      </c>
      <c r="AJ110" s="40" t="n">
        <f aca="false">I110*(1-p_ChPct)</f>
        <v>21.02782776202</v>
      </c>
      <c r="AK110" s="40" t="n">
        <f aca="false">I110+1*Y110</f>
        <v>22.85387568791</v>
      </c>
      <c r="AL110" s="40" t="n">
        <f aca="false">I110+2*Y110</f>
        <v>23.3377218417562</v>
      </c>
      <c r="AM110" s="40" t="n">
        <f aca="false">I110+3*Y110</f>
        <v>23.8215679956023</v>
      </c>
      <c r="AN110" s="40" t="n">
        <f aca="false">I110-1*Y110</f>
        <v>21.8861833802177</v>
      </c>
      <c r="AO110" s="40" t="n">
        <f aca="false">I110-2*Y110</f>
        <v>21.4023372263716</v>
      </c>
      <c r="AP110" s="40" t="n">
        <f aca="false">I110-3*Y110</f>
        <v>20.9184910725254</v>
      </c>
      <c r="AQ110" s="40" t="n">
        <f aca="true">MAX(OFFSET(C110,1-MIN(p_StochN,ROW()-4),0,MIN(p_StochN,ROW()-4),1))</f>
        <v>21.36</v>
      </c>
      <c r="AR110" s="40" t="n">
        <f aca="true">MIN(OFFSET(D110,1-MIN(p_StochN,ROW()-4),0,MIN(p_StochN,ROW()-4),1))</f>
        <v>20.51</v>
      </c>
      <c r="AS110" s="45" t="n">
        <f aca="false">IF(AQ110=AR110,50,100*(E110-AR110)/(AQ110-AR110))</f>
        <v>88.2352941176473</v>
      </c>
      <c r="AT110" s="45" t="n">
        <f aca="true">AVERAGE(OFFSET(AS110,1-MIN(p_StochSm,ROW()-4),0,MIN(p_StochSm,ROW()-4),1))</f>
        <v>83.9402199904353</v>
      </c>
      <c r="AU110" s="45" t="n">
        <f aca="true">AVERAGE(OFFSET(AT110,1-MIN(p_StochSm,ROW()-4),0,MIN(p_StochSm,ROW()-4),1))</f>
        <v>63.9471512086982</v>
      </c>
      <c r="AV110" s="41" t="n">
        <f aca="false">MAX(0,H110-D110)</f>
        <v>0.530626139666438</v>
      </c>
      <c r="AW110" s="41" t="n">
        <f aca="true">IF(COUNTIF(OFFSET(AV110,1-MIN(p_PenLb,ROW()-4),0,MIN(p_PenLb,ROW()-4),1),"&gt;0")&gt;0,SUM(OFFSET(AV110,1-MIN(p_PenLb,ROW()-4),0,MIN(p_PenLb,ROW()-4),1))/COUNTIF(OFFSET(AV110,1-MIN(p_PenLb,ROW()-4),0,MIN(p_PenLb,ROW()-4),1),"&gt;0"),0.5*Y110)</f>
        <v>1.14096515519461</v>
      </c>
      <c r="AX110" s="41" t="n">
        <f aca="false">2*H110-H109</f>
        <v>21.427188449722</v>
      </c>
      <c r="AY110" s="40" t="n">
        <f aca="false">ROUND(MAX(AX110-AW110,0.01),2)</f>
        <v>20.29</v>
      </c>
      <c r="AZ110" s="40" t="n">
        <f aca="true">IF(MIN(p_StopLb,ROW()-4)&lt;2,D110,SMALL(OFFSET(D110,1-MIN(p_StopLb,ROW()-4),0,MIN(p_StopLb,ROW()-4),1),2))</f>
        <v>20.37</v>
      </c>
      <c r="BA110" s="40" t="n">
        <f aca="false">IF(MOD(ROUND(ROUNDDOWN(MIN(AZ110-0.01,AY110-p_StopAtr*Y110),2)*100,0),50)=0,ROUNDDOWN(MIN(AZ110-0.01,AY110-p_StopAtr*Y110),2)-0.01,ROUNDDOWN(MIN(AZ110-0.01,AY110-p_StopAtr*Y110),2))</f>
        <v>19.8</v>
      </c>
      <c r="BB110" s="40" t="n">
        <f aca="false">ROUND(AI110,2)</f>
        <v>23.71</v>
      </c>
      <c r="BC110" s="40" t="n">
        <f aca="false">IF(AY110-BA110&gt;0,(BB110-AY110)/(AY110-BA110),0)</f>
        <v>6.97959183673472</v>
      </c>
      <c r="BD110" s="42" t="n">
        <f aca="false">IF(N110&lt;0,1,0)</f>
        <v>0</v>
      </c>
      <c r="BE110" s="41" t="n">
        <f aca="false">IF(AND(BD110=1,BD109=0),N110,IF(BD110=1,MIN(BE109,N110),BE109))</f>
        <v>-0.392824838841331</v>
      </c>
      <c r="BF110" s="40" t="n">
        <f aca="false">IF(AND(BD110=1,BD109=0),D110,IF(BD110=1,MIN(BF109,D110),BF109))</f>
        <v>20.27</v>
      </c>
      <c r="BG110" s="42" t="n">
        <f aca="false">IF(AND(BD110=1,BD109=0),ROW(),IF(BD110=1,IF(N110&lt;BE109,ROW(),BG109),BG109))</f>
        <v>98</v>
      </c>
      <c r="BH110" s="41" t="n">
        <f aca="false">IF(AND(BD110=1,BD109=0),BE109,BH109)</f>
        <v>-0.267100964273217</v>
      </c>
      <c r="BI110" s="40" t="n">
        <f aca="false">IF(AND(BD110=1,BD109=0),BF109,BI109)</f>
        <v>23.24</v>
      </c>
      <c r="BJ110" s="42" t="n">
        <f aca="false">IF(AND(BD110=1,BD109=0),BG109,BJ109)</f>
        <v>52</v>
      </c>
      <c r="BK110" s="42" t="n">
        <f aca="false">IF(AND(ISNUMBER(BG110),ISNUMBER(BJ110)),BG110-BJ110,"")</f>
        <v>46</v>
      </c>
      <c r="BL110" s="42" t="n">
        <f aca="false">IF(AND(BD110=1,N110&gt;N109,ISNUMBER(BH110),ISNUMBER(BK110)),IF(AND(BE110&gt;BH110,BF110&lt;BI110,BK110&gt;=p_GapMin,BK110&lt;=p_GapMax),1,0),0)</f>
        <v>0</v>
      </c>
      <c r="BM110" s="42" t="n">
        <f aca="false">IF(AND(BL110=1,E110&gt;BI110),1,0)</f>
        <v>0</v>
      </c>
      <c r="BN110" s="42" t="n">
        <f aca="false">IF(BL110=1,IF(BE110&gt;=BH110*0.5,1,0),0)</f>
        <v>0</v>
      </c>
      <c r="BO110" s="42" t="n">
        <f aca="true">IF(V110&gt;MIN(OFFSET(V110,-MIN(p_FiLb-1,ROW()-5),0,MIN(p_FiLb-1,ROW()-5),1)),1,0)</f>
        <v>1</v>
      </c>
      <c r="BP110" s="44" t="n">
        <f aca="true">IF(COUNTIF(OFFSET(V110,1-MIN(100,ROW()-4),0,MIN(100,ROW()-4),1),"&lt;0")&gt;=5,AVERAGEIF(OFFSET(V110,1-MIN(100,ROW()-4),0,MIN(100,ROW()-4),1),"&lt;0"),"")</f>
        <v>-934868.950215748</v>
      </c>
      <c r="BQ110" s="42" t="n">
        <f aca="false">IF(ISNUMBER(BP110),IF(AND(V110&lt;5*BP110,V110&gt;V109,E110&lt;AJ110),1,0),0)</f>
        <v>0</v>
      </c>
      <c r="BR110" s="44" t="n">
        <f aca="true">AVERAGE(OFFSET(F110,1-MIN(5,ROW()-4),0,MIN(5,ROW()-4),1))</f>
        <v>3199380</v>
      </c>
      <c r="BS110" s="42" t="n">
        <f aca="false">IFERROR(IF(MATCH(G110,周线!$A$5:$A$84,0)&lt;=1,"",INDEX(周线!$R$5:$R$84,MATCH(G110,周线!$A$5:$A$84,0)-1)),"")</f>
        <v>0</v>
      </c>
      <c r="BT110" s="42" t="n">
        <f aca="false">IFERROR(IF(MATCH(G110,周线!$A$5:$A$84,0)&lt;=1,"",INDEX(周线!$S$5:$S$84,MATCH(G110,周线!$A$5:$A$84,0)-1)),"")</f>
        <v>0</v>
      </c>
      <c r="BU110" s="42" t="n">
        <f aca="false">IFERROR(IF(MATCH(G110,周线!$A$5:$A$84,0)&lt;=1,"",INDEX(周线!$U$5:$U$84,MATCH(G110,周线!$A$5:$A$84,0)-1)),"")</f>
        <v>-1</v>
      </c>
      <c r="BV110" s="42" t="n">
        <f aca="false">IF(AND(BS110=1,S110&lt;&gt;-1,V110&lt;0,BO110=1,E110&lt;=H110,E110&gt;=AJ110),1,0)</f>
        <v>0</v>
      </c>
      <c r="BW110" s="42" t="n">
        <f aca="false">BL110</f>
        <v>0</v>
      </c>
      <c r="BX110" s="42" t="n">
        <f aca="false">BQ110</f>
        <v>0</v>
      </c>
      <c r="BY110" s="42" t="n">
        <f aca="false">IF(BS110=1,10,0)+IF(BU110=1,5,IF(BU110=-1,0,3))+IF(BT110=1,5,0)+IF(AND(AE110&gt;AF110,AH110&gt;AH109),5,0)</f>
        <v>0</v>
      </c>
      <c r="BZ110" s="42" t="n">
        <f aca="false">IF(AND(E110&lt;=H110,E110&gt;=I110),10,IF(AND(E110&gt;=AJ110,E110&lt;I110),6,0))+IF(AND(V110&lt;0,BO110=1),8,0)+IF(AT110&lt;30,7,IF(AT110&lt;50,3,0))</f>
        <v>6</v>
      </c>
      <c r="CA110" s="42" t="n">
        <f aca="false">IF(AND(BV110=1,BW110=1),25,IF(BW110=1,22,IF(BV110=1,15,IF(BX110=1,12,0))))</f>
        <v>0</v>
      </c>
      <c r="CB110" s="42" t="n">
        <f aca="false">IF(W110&gt;0,6,0)+IF(F110&lt;BR110,4,0)</f>
        <v>0</v>
      </c>
      <c r="CC110" s="42" t="n">
        <f aca="false">IF(BC110&gt;=3,15,IF(BC110&gt;=p_RRmin,10,IF(BC110&gt;=1.5,4,0)))</f>
        <v>15</v>
      </c>
      <c r="CD110" s="42" t="n">
        <f aca="false">BY110+BZ110+CA110+CB110+CC110</f>
        <v>21</v>
      </c>
      <c r="CE110" s="42" t="n">
        <f aca="false">IF(AND(BS110&lt;&gt;1,BW110+BX110=0),1,0)</f>
        <v>1</v>
      </c>
      <c r="CF110" s="42" t="n">
        <f aca="false">IF(BU110=-1,1,0)</f>
        <v>1</v>
      </c>
      <c r="CG110" s="42" t="n">
        <f aca="false">IF(S110=-1,1,0)</f>
        <v>0</v>
      </c>
      <c r="CH110" s="42" t="n">
        <f aca="false">IF(BV110+BW110+BX110=0,1,0)</f>
        <v>1</v>
      </c>
      <c r="CI110" s="42" t="n">
        <f aca="false">IF(BC110&lt;p_RRmin,1,0)</f>
        <v>0</v>
      </c>
      <c r="CJ110" s="46" t="str">
        <f aca="false">IF(SUM(CE110:CI110)=0,IF(CD110&gt;=p_GradeA,"A",IF(CD110&gt;=p_GradeB,"B","C")),IF(AND(CI110=1,SUM(CE110:CH110)=0,CD110&gt;=p_GradeB),"B","C"))</f>
        <v>C</v>
      </c>
    </row>
    <row r="111" customFormat="false" ht="15" hidden="false" customHeight="false" outlineLevel="0" collapsed="false">
      <c r="A111" s="36" t="n">
        <v>45807</v>
      </c>
      <c r="B111" s="37" t="n">
        <v>21.46</v>
      </c>
      <c r="C111" s="37" t="n">
        <v>21.54</v>
      </c>
      <c r="D111" s="37" t="n">
        <v>21.22</v>
      </c>
      <c r="E111" s="37" t="n">
        <v>21.28</v>
      </c>
      <c r="F111" s="38" t="n">
        <v>2429200</v>
      </c>
      <c r="G111" s="39" t="n">
        <f aca="false">A111-WEEKDAY(A111,3)</f>
        <v>45803</v>
      </c>
      <c r="H111" s="40" t="n">
        <f aca="false">2/(p_EmaF+1)*E111+(1-2/(p_EmaF+1))*H110</f>
        <v>21.4348224054284</v>
      </c>
      <c r="I111" s="40" t="n">
        <f aca="false">2/(p_EmaS+1)*E111+(1-2/(p_EmaS+1))*I110</f>
        <v>22.2892866056147</v>
      </c>
      <c r="J111" s="41" t="n">
        <f aca="false">2/(p_MacdF+1)*E111+(1-2/(p_MacdF+1))*J110</f>
        <v>21.3696562277392</v>
      </c>
      <c r="K111" s="41" t="n">
        <f aca="false">2/(p_MacdS+1)*E111+(1-2/(p_MacdS+1))*K110</f>
        <v>22.2892866056147</v>
      </c>
      <c r="L111" s="41" t="n">
        <f aca="false">J111-K111</f>
        <v>-0.919630377875532</v>
      </c>
      <c r="M111" s="41" t="n">
        <f aca="false">2/(p_MacdSig+1)*L111+(1-2/(p_MacdSig+1))*M110</f>
        <v>-0.989406255623575</v>
      </c>
      <c r="N111" s="41" t="n">
        <f aca="false">L111-M111</f>
        <v>0.0697758777480436</v>
      </c>
      <c r="O111" s="42" t="n">
        <f aca="false">IF(H111&gt;H110,1,0)</f>
        <v>0</v>
      </c>
      <c r="P111" s="42" t="n">
        <f aca="false">IF(H111&lt;H110,1,0)</f>
        <v>1</v>
      </c>
      <c r="Q111" s="42" t="n">
        <f aca="false">IF(N111&gt;N110,1,0)</f>
        <v>1</v>
      </c>
      <c r="R111" s="42" t="n">
        <f aca="false">IF(N111&lt;N110,1,0)</f>
        <v>0</v>
      </c>
      <c r="S111" s="42" t="n">
        <f aca="false">IF(AND(O111=1,Q111=1),1,IF(AND(P111=1,R111=1),-1,0))</f>
        <v>0</v>
      </c>
      <c r="T111" s="43" t="str">
        <f aca="false">IF(S111=1,"绿",IF(S111=-1,"红","蓝"))</f>
        <v>蓝</v>
      </c>
      <c r="U111" s="44" t="n">
        <f aca="false">F111*(E111-E110)</f>
        <v>48583.999999999</v>
      </c>
      <c r="V111" s="44" t="n">
        <f aca="false">2/(p_FiS+1)*U111+(1-2/(p_FiS+1))*V110</f>
        <v>356847.285405396</v>
      </c>
      <c r="W111" s="44" t="n">
        <f aca="false">2/(p_FiL+1)*U111+(1-2/(p_FiL+1))*W110</f>
        <v>-225448.474725553</v>
      </c>
      <c r="X111" s="41" t="n">
        <f aca="false">MAX(C111-D111,ABS(C111-E110),ABS(D111-E110))</f>
        <v>0.32</v>
      </c>
      <c r="Y111" s="41" t="n">
        <f aca="true">AVERAGE(OFFSET(X111,1-MIN(p_AtrN,ROW()-4),0,MIN(p_AtrN,ROW()-4),1))</f>
        <v>0.457692307692308</v>
      </c>
      <c r="Z111" s="41" t="n">
        <f aca="false">IF(AND(C111-C110&gt;D110-D111,C111-C110&gt;0),C111-C110,0)</f>
        <v>0.18</v>
      </c>
      <c r="AA111" s="41" t="n">
        <f aca="false">IF(AND(D110-D111&gt;C111-C110,D110-D111&gt;0),D110-D111,0)</f>
        <v>0</v>
      </c>
      <c r="AB111" s="41" t="n">
        <f aca="false">2/(p_AdxN+1)*X111+(1-2/(p_AdxN+1))*AB110</f>
        <v>0.438605785227527</v>
      </c>
      <c r="AC111" s="41" t="n">
        <f aca="false">2/(p_AdxN+1)*Z111+(1-2/(p_AdxN+1))*AC110</f>
        <v>0.113850093938971</v>
      </c>
      <c r="AD111" s="41" t="n">
        <f aca="false">2/(p_AdxN+1)*AA111+(1-2/(p_AdxN+1))*AD110</f>
        <v>0.104671013205551</v>
      </c>
      <c r="AE111" s="45" t="n">
        <f aca="false">100*AC111/AB111</f>
        <v>25.9572713752307</v>
      </c>
      <c r="AF111" s="45" t="n">
        <f aca="false">100*AD111/AB111</f>
        <v>23.8644853148148</v>
      </c>
      <c r="AG111" s="45" t="n">
        <f aca="false">IFERROR(100*ABS(AE111-AF111)/(AE111+AF111),0)</f>
        <v>4.20054650709268</v>
      </c>
      <c r="AH111" s="45" t="n">
        <f aca="false">2/(p_AdxN+1)*AG111+(1-2/(p_AdxN+1))*AH110</f>
        <v>47.8822335323547</v>
      </c>
      <c r="AI111" s="40" t="n">
        <f aca="false">I111*(1+p_ChPct)</f>
        <v>23.6266438019516</v>
      </c>
      <c r="AJ111" s="40" t="n">
        <f aca="false">I111*(1-p_ChPct)</f>
        <v>20.9519294092778</v>
      </c>
      <c r="AK111" s="40" t="n">
        <f aca="false">I111+1*Y111</f>
        <v>22.746978913307</v>
      </c>
      <c r="AL111" s="40" t="n">
        <f aca="false">I111+2*Y111</f>
        <v>23.2046712209993</v>
      </c>
      <c r="AM111" s="40" t="n">
        <f aca="false">I111+3*Y111</f>
        <v>23.6623635286916</v>
      </c>
      <c r="AN111" s="40" t="n">
        <f aca="false">I111-1*Y111</f>
        <v>21.8315942979224</v>
      </c>
      <c r="AO111" s="40" t="n">
        <f aca="false">I111-2*Y111</f>
        <v>21.3739019902301</v>
      </c>
      <c r="AP111" s="40" t="n">
        <f aca="false">I111-3*Y111</f>
        <v>20.9162096825378</v>
      </c>
      <c r="AQ111" s="40" t="n">
        <f aca="true">MAX(OFFSET(C111,1-MIN(p_StochN,ROW()-4),0,MIN(p_StochN,ROW()-4),1))</f>
        <v>21.54</v>
      </c>
      <c r="AR111" s="40" t="n">
        <f aca="true">MIN(OFFSET(D111,1-MIN(p_StochN,ROW()-4),0,MIN(p_StochN,ROW()-4),1))</f>
        <v>20.53</v>
      </c>
      <c r="AS111" s="45" t="n">
        <f aca="false">IF(AQ111=AR111,50,100*(E111-AR111)/(AQ111-AR111))</f>
        <v>74.2574257425744</v>
      </c>
      <c r="AT111" s="45" t="n">
        <f aca="true">AVERAGE(OFFSET(AS111,1-MIN(p_StochSm,ROW()-4),0,MIN(p_StochSm,ROW()-4),1))</f>
        <v>83.0260285712934</v>
      </c>
      <c r="AU111" s="45" t="n">
        <f aca="true">AVERAGE(OFFSET(AT111,1-MIN(p_StochSm,ROW()-4),0,MIN(p_StochSm,ROW()-4),1))</f>
        <v>77.3446398441854</v>
      </c>
      <c r="AV111" s="41" t="n">
        <f aca="false">MAX(0,H111-D111)</f>
        <v>0.214822405428379</v>
      </c>
      <c r="AW111" s="41" t="n">
        <f aca="true">IF(COUNTIF(OFFSET(AV111,1-MIN(p_PenLb,ROW()-4),0,MIN(p_PenLb,ROW()-4),1),"&gt;0")&gt;0,SUM(OFFSET(AV111,1-MIN(p_PenLb,ROW()-4),0,MIN(p_PenLb,ROW()-4),1))/COUNTIF(OFFSET(AV111,1-MIN(p_PenLb,ROW()-4),0,MIN(p_PenLb,ROW()-4),1),"&gt;0"),0.5*Y111)</f>
        <v>1.14044632350014</v>
      </c>
      <c r="AX111" s="41" t="n">
        <f aca="false">2*H111-H110</f>
        <v>21.4090186711903</v>
      </c>
      <c r="AY111" s="40" t="n">
        <f aca="false">ROUND(MAX(AX111-AW111,0.01),2)</f>
        <v>20.27</v>
      </c>
      <c r="AZ111" s="40" t="n">
        <f aca="true">IF(MIN(p_StopLb,ROW()-4)&lt;2,D111,SMALL(OFFSET(D111,1-MIN(p_StopLb,ROW()-4),0,MIN(p_StopLb,ROW()-4),1),2))</f>
        <v>20.37</v>
      </c>
      <c r="BA111" s="40" t="n">
        <f aca="false">IF(MOD(ROUND(ROUNDDOWN(MIN(AZ111-0.01,AY111-p_StopAtr*Y111),2)*100,0),50)=0,ROUNDDOWN(MIN(AZ111-0.01,AY111-p_StopAtr*Y111),2)-0.01,ROUNDDOWN(MIN(AZ111-0.01,AY111-p_StopAtr*Y111),2))</f>
        <v>19.81</v>
      </c>
      <c r="BB111" s="40" t="n">
        <f aca="false">ROUND(AI111,2)</f>
        <v>23.63</v>
      </c>
      <c r="BC111" s="40" t="n">
        <f aca="false">IF(AY111-BA111&gt;0,(BB111-AY111)/(AY111-BA111),0)</f>
        <v>7.30434782608694</v>
      </c>
      <c r="BD111" s="42" t="n">
        <f aca="false">IF(N111&lt;0,1,0)</f>
        <v>0</v>
      </c>
      <c r="BE111" s="41" t="n">
        <f aca="false">IF(AND(BD111=1,BD110=0),N111,IF(BD111=1,MIN(BE110,N111),BE110))</f>
        <v>-0.392824838841331</v>
      </c>
      <c r="BF111" s="40" t="n">
        <f aca="false">IF(AND(BD111=1,BD110=0),D111,IF(BD111=1,MIN(BF110,D111),BF110))</f>
        <v>20.27</v>
      </c>
      <c r="BG111" s="42" t="n">
        <f aca="false">IF(AND(BD111=1,BD110=0),ROW(),IF(BD111=1,IF(N111&lt;BE110,ROW(),BG110),BG110))</f>
        <v>98</v>
      </c>
      <c r="BH111" s="41" t="n">
        <f aca="false">IF(AND(BD111=1,BD110=0),BE110,BH110)</f>
        <v>-0.267100964273217</v>
      </c>
      <c r="BI111" s="40" t="n">
        <f aca="false">IF(AND(BD111=1,BD110=0),BF110,BI110)</f>
        <v>23.24</v>
      </c>
      <c r="BJ111" s="42" t="n">
        <f aca="false">IF(AND(BD111=1,BD110=0),BG110,BJ110)</f>
        <v>52</v>
      </c>
      <c r="BK111" s="42" t="n">
        <f aca="false">IF(AND(ISNUMBER(BG111),ISNUMBER(BJ111)),BG111-BJ111,"")</f>
        <v>46</v>
      </c>
      <c r="BL111" s="42" t="n">
        <f aca="false">IF(AND(BD111=1,N111&gt;N110,ISNUMBER(BH111),ISNUMBER(BK111)),IF(AND(BE111&gt;BH111,BF111&lt;BI111,BK111&gt;=p_GapMin,BK111&lt;=p_GapMax),1,0),0)</f>
        <v>0</v>
      </c>
      <c r="BM111" s="42" t="n">
        <f aca="false">IF(AND(BL111=1,E111&gt;BI111),1,0)</f>
        <v>0</v>
      </c>
      <c r="BN111" s="42" t="n">
        <f aca="false">IF(BL111=1,IF(BE111&gt;=BH111*0.5,1,0),0)</f>
        <v>0</v>
      </c>
      <c r="BO111" s="42" t="n">
        <f aca="true">IF(V111&gt;MIN(OFFSET(V111,-MIN(p_FiLb-1,ROW()-5),0,MIN(p_FiLb-1,ROW()-5),1)),1,0)</f>
        <v>1</v>
      </c>
      <c r="BP111" s="44" t="n">
        <f aca="true">IF(COUNTIF(OFFSET(V111,1-MIN(100,ROW()-4),0,MIN(100,ROW()-4),1),"&lt;0")&gt;=5,AVERAGEIF(OFFSET(V111,1-MIN(100,ROW()-4),0,MIN(100,ROW()-4),1),"&lt;0"),"")</f>
        <v>-934868.950215748</v>
      </c>
      <c r="BQ111" s="42" t="n">
        <f aca="false">IF(ISNUMBER(BP111),IF(AND(V111&lt;5*BP111,V111&gt;V110,E111&lt;AJ111),1,0),0)</f>
        <v>0</v>
      </c>
      <c r="BR111" s="44" t="n">
        <f aca="true">AVERAGE(OFFSET(F111,1-MIN(5,ROW()-4),0,MIN(5,ROW()-4),1))</f>
        <v>3142840</v>
      </c>
      <c r="BS111" s="42" t="n">
        <f aca="false">IFERROR(IF(MATCH(G111,周线!$A$5:$A$84,0)&lt;=1,"",INDEX(周线!$R$5:$R$84,MATCH(G111,周线!$A$5:$A$84,0)-1)),"")</f>
        <v>0</v>
      </c>
      <c r="BT111" s="42" t="n">
        <f aca="false">IFERROR(IF(MATCH(G111,周线!$A$5:$A$84,0)&lt;=1,"",INDEX(周线!$S$5:$S$84,MATCH(G111,周线!$A$5:$A$84,0)-1)),"")</f>
        <v>0</v>
      </c>
      <c r="BU111" s="42" t="n">
        <f aca="false">IFERROR(IF(MATCH(G111,周线!$A$5:$A$84,0)&lt;=1,"",INDEX(周线!$U$5:$U$84,MATCH(G111,周线!$A$5:$A$84,0)-1)),"")</f>
        <v>-1</v>
      </c>
      <c r="BV111" s="42" t="n">
        <f aca="false">IF(AND(BS111=1,S111&lt;&gt;-1,V111&lt;0,BO111=1,E111&lt;=H111,E111&gt;=AJ111),1,0)</f>
        <v>0</v>
      </c>
      <c r="BW111" s="42" t="n">
        <f aca="false">BL111</f>
        <v>0</v>
      </c>
      <c r="BX111" s="42" t="n">
        <f aca="false">BQ111</f>
        <v>0</v>
      </c>
      <c r="BY111" s="42" t="n">
        <f aca="false">IF(BS111=1,10,0)+IF(BU111=1,5,IF(BU111=-1,0,3))+IF(BT111=1,5,0)+IF(AND(AE111&gt;AF111,AH111&gt;AH110),5,0)</f>
        <v>0</v>
      </c>
      <c r="BZ111" s="42" t="n">
        <f aca="false">IF(AND(E111&lt;=H111,E111&gt;=I111),10,IF(AND(E111&gt;=AJ111,E111&lt;I111),6,0))+IF(AND(V111&lt;0,BO111=1),8,0)+IF(AT111&lt;30,7,IF(AT111&lt;50,3,0))</f>
        <v>6</v>
      </c>
      <c r="CA111" s="42" t="n">
        <f aca="false">IF(AND(BV111=1,BW111=1),25,IF(BW111=1,22,IF(BV111=1,15,IF(BX111=1,12,0))))</f>
        <v>0</v>
      </c>
      <c r="CB111" s="42" t="n">
        <f aca="false">IF(W111&gt;0,6,0)+IF(F111&lt;BR111,4,0)</f>
        <v>4</v>
      </c>
      <c r="CC111" s="42" t="n">
        <f aca="false">IF(BC111&gt;=3,15,IF(BC111&gt;=p_RRmin,10,IF(BC111&gt;=1.5,4,0)))</f>
        <v>15</v>
      </c>
      <c r="CD111" s="42" t="n">
        <f aca="false">BY111+BZ111+CA111+CB111+CC111</f>
        <v>25</v>
      </c>
      <c r="CE111" s="42" t="n">
        <f aca="false">IF(AND(BS111&lt;&gt;1,BW111+BX111=0),1,0)</f>
        <v>1</v>
      </c>
      <c r="CF111" s="42" t="n">
        <f aca="false">IF(BU111=-1,1,0)</f>
        <v>1</v>
      </c>
      <c r="CG111" s="42" t="n">
        <f aca="false">IF(S111=-1,1,0)</f>
        <v>0</v>
      </c>
      <c r="CH111" s="42" t="n">
        <f aca="false">IF(BV111+BW111+BX111=0,1,0)</f>
        <v>1</v>
      </c>
      <c r="CI111" s="42" t="n">
        <f aca="false">IF(BC111&lt;p_RRmin,1,0)</f>
        <v>0</v>
      </c>
      <c r="CJ111" s="46" t="str">
        <f aca="false">IF(SUM(CE111:CI111)=0,IF(CD111&gt;=p_GradeA,"A",IF(CD111&gt;=p_GradeB,"B","C")),IF(AND(CI111=1,SUM(CE111:CH111)=0,CD111&gt;=p_GradeB),"B","C"))</f>
        <v>C</v>
      </c>
    </row>
    <row r="112" customFormat="false" ht="15" hidden="false" customHeight="false" outlineLevel="0" collapsed="false">
      <c r="A112" s="36" t="n">
        <v>45810</v>
      </c>
      <c r="B112" s="37" t="n">
        <v>21.33</v>
      </c>
      <c r="C112" s="37" t="n">
        <v>21.43</v>
      </c>
      <c r="D112" s="37" t="n">
        <v>20.55</v>
      </c>
      <c r="E112" s="37" t="n">
        <v>20.87</v>
      </c>
      <c r="F112" s="38" t="n">
        <v>5320200</v>
      </c>
      <c r="G112" s="39" t="n">
        <f aca="false">A112-WEEKDAY(A112,3)</f>
        <v>45810</v>
      </c>
      <c r="H112" s="40" t="n">
        <f aca="false">2/(p_EmaF+1)*E112+(1-2/(p_EmaF+1))*H111</f>
        <v>21.3541334903672</v>
      </c>
      <c r="I112" s="40" t="n">
        <f aca="false">2/(p_EmaS+1)*E112+(1-2/(p_EmaS+1))*I111</f>
        <v>22.1841542644581</v>
      </c>
      <c r="J112" s="41" t="n">
        <f aca="false">2/(p_MacdF+1)*E112+(1-2/(p_MacdF+1))*J111</f>
        <v>21.2927860388562</v>
      </c>
      <c r="K112" s="41" t="n">
        <f aca="false">2/(p_MacdS+1)*E112+(1-2/(p_MacdS+1))*K111</f>
        <v>22.1841542644581</v>
      </c>
      <c r="L112" s="41" t="n">
        <f aca="false">J112-K112</f>
        <v>-0.891368225601838</v>
      </c>
      <c r="M112" s="41" t="n">
        <f aca="false">2/(p_MacdSig+1)*L112+(1-2/(p_MacdSig+1))*M111</f>
        <v>-0.969798649619228</v>
      </c>
      <c r="N112" s="41" t="n">
        <f aca="false">L112-M112</f>
        <v>0.0784304240173901</v>
      </c>
      <c r="O112" s="42" t="n">
        <f aca="false">IF(H112&gt;H111,1,0)</f>
        <v>0</v>
      </c>
      <c r="P112" s="42" t="n">
        <f aca="false">IF(H112&lt;H111,1,0)</f>
        <v>1</v>
      </c>
      <c r="Q112" s="42" t="n">
        <f aca="false">IF(N112&gt;N111,1,0)</f>
        <v>1</v>
      </c>
      <c r="R112" s="42" t="n">
        <f aca="false">IF(N112&lt;N111,1,0)</f>
        <v>0</v>
      </c>
      <c r="S112" s="42" t="n">
        <f aca="false">IF(AND(O112=1,Q112=1),1,IF(AND(P112=1,R112=1),-1,0))</f>
        <v>0</v>
      </c>
      <c r="T112" s="43" t="str">
        <f aca="false">IF(S112=1,"绿",IF(S112=-1,"红","蓝"))</f>
        <v>蓝</v>
      </c>
      <c r="U112" s="44" t="n">
        <f aca="false">F112*(E112-E111)</f>
        <v>-2181282</v>
      </c>
      <c r="V112" s="44" t="n">
        <f aca="false">2/(p_FiS+1)*U112+(1-2/(p_FiS+1))*V111</f>
        <v>-1335238.90486487</v>
      </c>
      <c r="W112" s="44" t="n">
        <f aca="false">2/(p_FiL+1)*U112+(1-2/(p_FiL+1))*W111</f>
        <v>-504853.264050474</v>
      </c>
      <c r="X112" s="41" t="n">
        <f aca="false">MAX(C112-D112,ABS(C112-E111),ABS(D112-E111))</f>
        <v>0.879999999999999</v>
      </c>
      <c r="Y112" s="41" t="n">
        <f aca="true">AVERAGE(OFFSET(X112,1-MIN(p_AtrN,ROW()-4),0,MIN(p_AtrN,ROW()-4),1))</f>
        <v>0.500769230769231</v>
      </c>
      <c r="Z112" s="41" t="n">
        <f aca="false">IF(AND(C112-C111&gt;D111-D112,C112-C111&gt;0),C112-C111,0)</f>
        <v>0</v>
      </c>
      <c r="AA112" s="41" t="n">
        <f aca="false">IF(AND(D111-D112&gt;C112-C111,D111-D112&gt;0),D111-D112,0)</f>
        <v>0.669999999999998</v>
      </c>
      <c r="AB112" s="41" t="n">
        <f aca="false">2/(p_AdxN+1)*X112+(1-2/(p_AdxN+1))*AB111</f>
        <v>0.501662101623595</v>
      </c>
      <c r="AC112" s="41" t="n">
        <f aca="false">2/(p_AdxN+1)*Z112+(1-2/(p_AdxN+1))*AC111</f>
        <v>0.0975857948048322</v>
      </c>
      <c r="AD112" s="41" t="n">
        <f aca="false">2/(p_AdxN+1)*AA112+(1-2/(p_AdxN+1))*AD111</f>
        <v>0.18543229703333</v>
      </c>
      <c r="AE112" s="45" t="n">
        <f aca="false">100*AC112/AB112</f>
        <v>19.4524949142067</v>
      </c>
      <c r="AF112" s="45" t="n">
        <f aca="false">100*AD112/AB112</f>
        <v>36.9635849375886</v>
      </c>
      <c r="AG112" s="45" t="n">
        <f aca="false">IFERROR(100*ABS(AE112-AF112)/(AE112+AF112),0)</f>
        <v>31.0391825688411</v>
      </c>
      <c r="AH112" s="45" t="n">
        <f aca="false">2/(p_AdxN+1)*AG112+(1-2/(p_AdxN+1))*AH111</f>
        <v>45.4760833947099</v>
      </c>
      <c r="AI112" s="40" t="n">
        <f aca="false">I112*(1+p_ChPct)</f>
        <v>23.5152035203255</v>
      </c>
      <c r="AJ112" s="40" t="n">
        <f aca="false">I112*(1-p_ChPct)</f>
        <v>20.8531050085906</v>
      </c>
      <c r="AK112" s="40" t="n">
        <f aca="false">I112+1*Y112</f>
        <v>22.6849234952273</v>
      </c>
      <c r="AL112" s="40" t="n">
        <f aca="false">I112+2*Y112</f>
        <v>23.1856927259965</v>
      </c>
      <c r="AM112" s="40" t="n">
        <f aca="false">I112+3*Y112</f>
        <v>23.6864619567657</v>
      </c>
      <c r="AN112" s="40" t="n">
        <f aca="false">I112-1*Y112</f>
        <v>21.6833850336888</v>
      </c>
      <c r="AO112" s="40" t="n">
        <f aca="false">I112-2*Y112</f>
        <v>21.1826158029196</v>
      </c>
      <c r="AP112" s="40" t="n">
        <f aca="false">I112-3*Y112</f>
        <v>20.6818465721504</v>
      </c>
      <c r="AQ112" s="40" t="n">
        <f aca="true">MAX(OFFSET(C112,1-MIN(p_StochN,ROW()-4),0,MIN(p_StochN,ROW()-4),1))</f>
        <v>21.54</v>
      </c>
      <c r="AR112" s="40" t="n">
        <f aca="true">MIN(OFFSET(D112,1-MIN(p_StochN,ROW()-4),0,MIN(p_StochN,ROW()-4),1))</f>
        <v>20.55</v>
      </c>
      <c r="AS112" s="45" t="n">
        <f aca="false">IF(AQ112=AR112,50,100*(E112-AR112)/(AQ112-AR112))</f>
        <v>32.3232323232324</v>
      </c>
      <c r="AT112" s="45" t="n">
        <f aca="true">AVERAGE(OFFSET(AS112,1-MIN(p_StochSm,ROW()-4),0,MIN(p_StochSm,ROW()-4),1))</f>
        <v>64.938650727818</v>
      </c>
      <c r="AU112" s="45" t="n">
        <f aca="true">AVERAGE(OFFSET(AT112,1-MIN(p_StochSm,ROW()-4),0,MIN(p_StochSm,ROW()-4),1))</f>
        <v>77.3016330965156</v>
      </c>
      <c r="AV112" s="41" t="n">
        <f aca="false">MAX(0,H112-D112)</f>
        <v>0.804133490367182</v>
      </c>
      <c r="AW112" s="41" t="n">
        <f aca="true">IF(COUNTIF(OFFSET(AV112,1-MIN(p_PenLb,ROW()-4),0,MIN(p_PenLb,ROW()-4),1),"&gt;0")&gt;0,SUM(OFFSET(AV112,1-MIN(p_PenLb,ROW()-4),0,MIN(p_PenLb,ROW()-4),1))/COUNTIF(OFFSET(AV112,1-MIN(p_PenLb,ROW()-4),0,MIN(p_PenLb,ROW()-4),1),"&gt;0"),0.5*Y112)</f>
        <v>1.14328732490488</v>
      </c>
      <c r="AX112" s="41" t="n">
        <f aca="false">2*H112-H111</f>
        <v>21.273444575306</v>
      </c>
      <c r="AY112" s="40" t="n">
        <f aca="false">ROUND(MAX(AX112-AW112,0.01),2)</f>
        <v>20.13</v>
      </c>
      <c r="AZ112" s="40" t="n">
        <f aca="true">IF(MIN(p_StopLb,ROW()-4)&lt;2,D112,SMALL(OFFSET(D112,1-MIN(p_StopLb,ROW()-4),0,MIN(p_StopLb,ROW()-4),1),2))</f>
        <v>20.37</v>
      </c>
      <c r="BA112" s="40" t="n">
        <f aca="false">IF(MOD(ROUND(ROUNDDOWN(MIN(AZ112-0.01,AY112-p_StopAtr*Y112),2)*100,0),50)=0,ROUNDDOWN(MIN(AZ112-0.01,AY112-p_StopAtr*Y112),2)-0.01,ROUNDDOWN(MIN(AZ112-0.01,AY112-p_StopAtr*Y112),2))</f>
        <v>19.62</v>
      </c>
      <c r="BB112" s="40" t="n">
        <f aca="false">ROUND(AI112,2)</f>
        <v>23.52</v>
      </c>
      <c r="BC112" s="40" t="n">
        <f aca="false">IF(AY112-BA112&gt;0,(BB112-AY112)/(AY112-BA112),0)</f>
        <v>6.64705882352944</v>
      </c>
      <c r="BD112" s="42" t="n">
        <f aca="false">IF(N112&lt;0,1,0)</f>
        <v>0</v>
      </c>
      <c r="BE112" s="41" t="n">
        <f aca="false">IF(AND(BD112=1,BD111=0),N112,IF(BD112=1,MIN(BE111,N112),BE111))</f>
        <v>-0.392824838841331</v>
      </c>
      <c r="BF112" s="40" t="n">
        <f aca="false">IF(AND(BD112=1,BD111=0),D112,IF(BD112=1,MIN(BF111,D112),BF111))</f>
        <v>20.27</v>
      </c>
      <c r="BG112" s="42" t="n">
        <f aca="false">IF(AND(BD112=1,BD111=0),ROW(),IF(BD112=1,IF(N112&lt;BE111,ROW(),BG111),BG111))</f>
        <v>98</v>
      </c>
      <c r="BH112" s="41" t="n">
        <f aca="false">IF(AND(BD112=1,BD111=0),BE111,BH111)</f>
        <v>-0.267100964273217</v>
      </c>
      <c r="BI112" s="40" t="n">
        <f aca="false">IF(AND(BD112=1,BD111=0),BF111,BI111)</f>
        <v>23.24</v>
      </c>
      <c r="BJ112" s="42" t="n">
        <f aca="false">IF(AND(BD112=1,BD111=0),BG111,BJ111)</f>
        <v>52</v>
      </c>
      <c r="BK112" s="42" t="n">
        <f aca="false">IF(AND(ISNUMBER(BG112),ISNUMBER(BJ112)),BG112-BJ112,"")</f>
        <v>46</v>
      </c>
      <c r="BL112" s="42" t="n">
        <f aca="false">IF(AND(BD112=1,N112&gt;N111,ISNUMBER(BH112),ISNUMBER(BK112)),IF(AND(BE112&gt;BH112,BF112&lt;BI112,BK112&gt;=p_GapMin,BK112&lt;=p_GapMax),1,0),0)</f>
        <v>0</v>
      </c>
      <c r="BM112" s="42" t="n">
        <f aca="false">IF(AND(BL112=1,E112&gt;BI112),1,0)</f>
        <v>0</v>
      </c>
      <c r="BN112" s="42" t="n">
        <f aca="false">IF(BL112=1,IF(BE112&gt;=BH112*0.5,1,0),0)</f>
        <v>0</v>
      </c>
      <c r="BO112" s="42" t="n">
        <f aca="true">IF(V112&gt;MIN(OFFSET(V112,-MIN(p_FiLb-1,ROW()-5),0,MIN(p_FiLb-1,ROW()-5),1)),1,0)</f>
        <v>1</v>
      </c>
      <c r="BP112" s="44" t="n">
        <f aca="true">IF(COUNTIF(OFFSET(V112,1-MIN(100,ROW()-4),0,MIN(100,ROW()-4),1),"&lt;0")&gt;=5,AVERAGEIF(OFFSET(V112,1-MIN(100,ROW()-4),0,MIN(100,ROW()-4),1),"&lt;0"),"")</f>
        <v>-943039.76561675</v>
      </c>
      <c r="BQ112" s="42" t="n">
        <f aca="false">IF(ISNUMBER(BP112),IF(AND(V112&lt;5*BP112,V112&gt;V111,E112&lt;AJ112),1,0),0)</f>
        <v>0</v>
      </c>
      <c r="BR112" s="44" t="n">
        <f aca="true">AVERAGE(OFFSET(F112,1-MIN(5,ROW()-4),0,MIN(5,ROW()-4),1))</f>
        <v>3715880</v>
      </c>
      <c r="BS112" s="42" t="n">
        <f aca="false">IFERROR(IF(MATCH(G112,周线!$A$5:$A$84,0)&lt;=1,"",INDEX(周线!$R$5:$R$84,MATCH(G112,周线!$A$5:$A$84,0)-1)),"")</f>
        <v>0</v>
      </c>
      <c r="BT112" s="42" t="n">
        <f aca="false">IFERROR(IF(MATCH(G112,周线!$A$5:$A$84,0)&lt;=1,"",INDEX(周线!$S$5:$S$84,MATCH(G112,周线!$A$5:$A$84,0)-1)),"")</f>
        <v>0</v>
      </c>
      <c r="BU112" s="42" t="n">
        <f aca="false">IFERROR(IF(MATCH(G112,周线!$A$5:$A$84,0)&lt;=1,"",INDEX(周线!$U$5:$U$84,MATCH(G112,周线!$A$5:$A$84,0)-1)),"")</f>
        <v>-1</v>
      </c>
      <c r="BV112" s="42" t="n">
        <f aca="false">IF(AND(BS112=1,S112&lt;&gt;-1,V112&lt;0,BO112=1,E112&lt;=H112,E112&gt;=AJ112),1,0)</f>
        <v>0</v>
      </c>
      <c r="BW112" s="42" t="n">
        <f aca="false">BL112</f>
        <v>0</v>
      </c>
      <c r="BX112" s="42" t="n">
        <f aca="false">BQ112</f>
        <v>0</v>
      </c>
      <c r="BY112" s="42" t="n">
        <f aca="false">IF(BS112=1,10,0)+IF(BU112=1,5,IF(BU112=-1,0,3))+IF(BT112=1,5,0)+IF(AND(AE112&gt;AF112,AH112&gt;AH111),5,0)</f>
        <v>0</v>
      </c>
      <c r="BZ112" s="42" t="n">
        <f aca="false">IF(AND(E112&lt;=H112,E112&gt;=I112),10,IF(AND(E112&gt;=AJ112,E112&lt;I112),6,0))+IF(AND(V112&lt;0,BO112=1),8,0)+IF(AT112&lt;30,7,IF(AT112&lt;50,3,0))</f>
        <v>14</v>
      </c>
      <c r="CA112" s="42" t="n">
        <f aca="false">IF(AND(BV112=1,BW112=1),25,IF(BW112=1,22,IF(BV112=1,15,IF(BX112=1,12,0))))</f>
        <v>0</v>
      </c>
      <c r="CB112" s="42" t="n">
        <f aca="false">IF(W112&gt;0,6,0)+IF(F112&lt;BR112,4,0)</f>
        <v>0</v>
      </c>
      <c r="CC112" s="42" t="n">
        <f aca="false">IF(BC112&gt;=3,15,IF(BC112&gt;=p_RRmin,10,IF(BC112&gt;=1.5,4,0)))</f>
        <v>15</v>
      </c>
      <c r="CD112" s="42" t="n">
        <f aca="false">BY112+BZ112+CA112+CB112+CC112</f>
        <v>29</v>
      </c>
      <c r="CE112" s="42" t="n">
        <f aca="false">IF(AND(BS112&lt;&gt;1,BW112+BX112=0),1,0)</f>
        <v>1</v>
      </c>
      <c r="CF112" s="42" t="n">
        <f aca="false">IF(BU112=-1,1,0)</f>
        <v>1</v>
      </c>
      <c r="CG112" s="42" t="n">
        <f aca="false">IF(S112=-1,1,0)</f>
        <v>0</v>
      </c>
      <c r="CH112" s="42" t="n">
        <f aca="false">IF(BV112+BW112+BX112=0,1,0)</f>
        <v>1</v>
      </c>
      <c r="CI112" s="42" t="n">
        <f aca="false">IF(BC112&lt;p_RRmin,1,0)</f>
        <v>0</v>
      </c>
      <c r="CJ112" s="46" t="str">
        <f aca="false">IF(SUM(CE112:CI112)=0,IF(CD112&gt;=p_GradeA,"A",IF(CD112&gt;=p_GradeB,"B","C")),IF(AND(CI112=1,SUM(CE112:CH112)=0,CD112&gt;=p_GradeB),"B","C"))</f>
        <v>C</v>
      </c>
    </row>
    <row r="113" customFormat="false" ht="15" hidden="false" customHeight="false" outlineLevel="0" collapsed="false">
      <c r="A113" s="36" t="n">
        <v>45811</v>
      </c>
      <c r="B113" s="37" t="n">
        <v>20.96</v>
      </c>
      <c r="C113" s="37" t="n">
        <v>21.18</v>
      </c>
      <c r="D113" s="37" t="n">
        <v>20.71</v>
      </c>
      <c r="E113" s="37" t="n">
        <v>21.02</v>
      </c>
      <c r="F113" s="38" t="n">
        <v>2635900</v>
      </c>
      <c r="G113" s="39" t="n">
        <f aca="false">A113-WEEKDAY(A113,3)</f>
        <v>45810</v>
      </c>
      <c r="H113" s="40" t="n">
        <f aca="false">2/(p_EmaF+1)*E113+(1-2/(p_EmaF+1))*H112</f>
        <v>21.3064001346004</v>
      </c>
      <c r="I113" s="40" t="n">
        <f aca="false">2/(p_EmaS+1)*E113+(1-2/(p_EmaS+1))*I112</f>
        <v>22.0979206152389</v>
      </c>
      <c r="J113" s="41" t="n">
        <f aca="false">2/(p_MacdF+1)*E113+(1-2/(p_MacdF+1))*J112</f>
        <v>21.2508189559553</v>
      </c>
      <c r="K113" s="41" t="n">
        <f aca="false">2/(p_MacdS+1)*E113+(1-2/(p_MacdS+1))*K112</f>
        <v>22.0979206152389</v>
      </c>
      <c r="L113" s="41" t="n">
        <f aca="false">J113-K113</f>
        <v>-0.847101659283677</v>
      </c>
      <c r="M113" s="41" t="n">
        <f aca="false">2/(p_MacdSig+1)*L113+(1-2/(p_MacdSig+1))*M112</f>
        <v>-0.945259251552118</v>
      </c>
      <c r="N113" s="41" t="n">
        <f aca="false">L113-M113</f>
        <v>0.0981575922684408</v>
      </c>
      <c r="O113" s="42" t="n">
        <f aca="false">IF(H113&gt;H112,1,0)</f>
        <v>0</v>
      </c>
      <c r="P113" s="42" t="n">
        <f aca="false">IF(H113&lt;H112,1,0)</f>
        <v>1</v>
      </c>
      <c r="Q113" s="42" t="n">
        <f aca="false">IF(N113&gt;N112,1,0)</f>
        <v>1</v>
      </c>
      <c r="R113" s="42" t="n">
        <f aca="false">IF(N113&lt;N112,1,0)</f>
        <v>0</v>
      </c>
      <c r="S113" s="42" t="n">
        <f aca="false">IF(AND(O113=1,Q113=1),1,IF(AND(P113=1,R113=1),-1,0))</f>
        <v>0</v>
      </c>
      <c r="T113" s="43" t="str">
        <f aca="false">IF(S113=1,"绿",IF(S113=-1,"红","蓝"))</f>
        <v>蓝</v>
      </c>
      <c r="U113" s="44" t="n">
        <f aca="false">F113*(E113-E112)</f>
        <v>395384.999999996</v>
      </c>
      <c r="V113" s="44" t="n">
        <f aca="false">2/(p_FiS+1)*U113+(1-2/(p_FiS+1))*V112</f>
        <v>-181489.634954959</v>
      </c>
      <c r="W113" s="44" t="n">
        <f aca="false">2/(p_FiL+1)*U113+(1-2/(p_FiL+1))*W112</f>
        <v>-376247.797757549</v>
      </c>
      <c r="X113" s="41" t="n">
        <f aca="false">MAX(C113-D113,ABS(C113-E112),ABS(D113-E112))</f>
        <v>0.469999999999999</v>
      </c>
      <c r="Y113" s="41" t="n">
        <f aca="true">AVERAGE(OFFSET(X113,1-MIN(p_AtrN,ROW()-4),0,MIN(p_AtrN,ROW()-4),1))</f>
        <v>0.50076923076923</v>
      </c>
      <c r="Z113" s="41" t="n">
        <f aca="false">IF(AND(C113-C112&gt;D112-D113,C113-C112&gt;0),C113-C112,0)</f>
        <v>0</v>
      </c>
      <c r="AA113" s="41" t="n">
        <f aca="false">IF(AND(D112-D113&gt;C113-C112,D112-D113&gt;0),D112-D113,0)</f>
        <v>0</v>
      </c>
      <c r="AB113" s="41" t="n">
        <f aca="false">2/(p_AdxN+1)*X113+(1-2/(p_AdxN+1))*AB112</f>
        <v>0.497138944248795</v>
      </c>
      <c r="AC113" s="41" t="n">
        <f aca="false">2/(p_AdxN+1)*Z113+(1-2/(p_AdxN+1))*AC112</f>
        <v>0.0836449669755705</v>
      </c>
      <c r="AD113" s="41" t="n">
        <f aca="false">2/(p_AdxN+1)*AA113+(1-2/(p_AdxN+1))*AD112</f>
        <v>0.158941968885711</v>
      </c>
      <c r="AE113" s="45" t="n">
        <f aca="false">100*AC113/AB113</f>
        <v>16.8252694630397</v>
      </c>
      <c r="AF113" s="45" t="n">
        <f aca="false">100*AD113/AB113</f>
        <v>31.9713373342499</v>
      </c>
      <c r="AG113" s="45" t="n">
        <f aca="false">IFERROR(100*ABS(AE113-AF113)/(AE113+AF113),0)</f>
        <v>31.0391825688411</v>
      </c>
      <c r="AH113" s="45" t="n">
        <f aca="false">2/(p_AdxN+1)*AG113+(1-2/(p_AdxN+1))*AH112</f>
        <v>43.4136689910143</v>
      </c>
      <c r="AI113" s="40" t="n">
        <f aca="false">I113*(1+p_ChPct)</f>
        <v>23.4237958521533</v>
      </c>
      <c r="AJ113" s="40" t="n">
        <f aca="false">I113*(1-p_ChPct)</f>
        <v>20.7720453783246</v>
      </c>
      <c r="AK113" s="40" t="n">
        <f aca="false">I113+1*Y113</f>
        <v>22.5986898460082</v>
      </c>
      <c r="AL113" s="40" t="n">
        <f aca="false">I113+2*Y113</f>
        <v>23.0994590767774</v>
      </c>
      <c r="AM113" s="40" t="n">
        <f aca="false">I113+3*Y113</f>
        <v>23.6002283075466</v>
      </c>
      <c r="AN113" s="40" t="n">
        <f aca="false">I113-1*Y113</f>
        <v>21.5971513844697</v>
      </c>
      <c r="AO113" s="40" t="n">
        <f aca="false">I113-2*Y113</f>
        <v>21.0963821537005</v>
      </c>
      <c r="AP113" s="40" t="n">
        <f aca="false">I113-3*Y113</f>
        <v>20.5956129229312</v>
      </c>
      <c r="AQ113" s="40" t="n">
        <f aca="true">MAX(OFFSET(C113,1-MIN(p_StochN,ROW()-4),0,MIN(p_StochN,ROW()-4),1))</f>
        <v>21.54</v>
      </c>
      <c r="AR113" s="40" t="n">
        <f aca="true">MIN(OFFSET(D113,1-MIN(p_StochN,ROW()-4),0,MIN(p_StochN,ROW()-4),1))</f>
        <v>20.55</v>
      </c>
      <c r="AS113" s="45" t="n">
        <f aca="false">IF(AQ113=AR113,50,100*(E113-AR113)/(AQ113-AR113))</f>
        <v>47.4747474747474</v>
      </c>
      <c r="AT113" s="45" t="n">
        <f aca="true">AVERAGE(OFFSET(AS113,1-MIN(p_StochSm,ROW()-4),0,MIN(p_StochSm,ROW()-4),1))</f>
        <v>51.3518018468514</v>
      </c>
      <c r="AU113" s="45" t="n">
        <f aca="true">AVERAGE(OFFSET(AT113,1-MIN(p_StochSm,ROW()-4),0,MIN(p_StochSm,ROW()-4),1))</f>
        <v>66.4388270486543</v>
      </c>
      <c r="AV113" s="41" t="n">
        <f aca="false">MAX(0,H113-D113)</f>
        <v>0.59640013460044</v>
      </c>
      <c r="AW113" s="41" t="n">
        <f aca="true">IF(COUNTIF(OFFSET(AV113,1-MIN(p_PenLb,ROW()-4),0,MIN(p_PenLb,ROW()-4),1),"&gt;0")&gt;0,SUM(OFFSET(AV113,1-MIN(p_PenLb,ROW()-4),0,MIN(p_PenLb,ROW()-4),1))/COUNTIF(OFFSET(AV113,1-MIN(p_PenLb,ROW()-4),0,MIN(p_PenLb,ROW()-4),1),"&gt;0"),0.5*Y113)</f>
        <v>1.13686532610895</v>
      </c>
      <c r="AX113" s="41" t="n">
        <f aca="false">2*H113-H112</f>
        <v>21.2586667788337</v>
      </c>
      <c r="AY113" s="40" t="n">
        <f aca="false">ROUND(MAX(AX113-AW113,0.01),2)</f>
        <v>20.12</v>
      </c>
      <c r="AZ113" s="40" t="n">
        <f aca="true">IF(MIN(p_StopLb,ROW()-4)&lt;2,D113,SMALL(OFFSET(D113,1-MIN(p_StopLb,ROW()-4),0,MIN(p_StopLb,ROW()-4),1),2))</f>
        <v>20.37</v>
      </c>
      <c r="BA113" s="40" t="n">
        <f aca="false">IF(MOD(ROUND(ROUNDDOWN(MIN(AZ113-0.01,AY113-p_StopAtr*Y113),2)*100,0),50)=0,ROUNDDOWN(MIN(AZ113-0.01,AY113-p_StopAtr*Y113),2)-0.01,ROUNDDOWN(MIN(AZ113-0.01,AY113-p_StopAtr*Y113),2))</f>
        <v>19.61</v>
      </c>
      <c r="BB113" s="40" t="n">
        <f aca="false">ROUND(AI113,2)</f>
        <v>23.42</v>
      </c>
      <c r="BC113" s="40" t="n">
        <f aca="false">IF(AY113-BA113&gt;0,(BB113-AY113)/(AY113-BA113),0)</f>
        <v>6.4705882352941</v>
      </c>
      <c r="BD113" s="42" t="n">
        <f aca="false">IF(N113&lt;0,1,0)</f>
        <v>0</v>
      </c>
      <c r="BE113" s="41" t="n">
        <f aca="false">IF(AND(BD113=1,BD112=0),N113,IF(BD113=1,MIN(BE112,N113),BE112))</f>
        <v>-0.392824838841331</v>
      </c>
      <c r="BF113" s="40" t="n">
        <f aca="false">IF(AND(BD113=1,BD112=0),D113,IF(BD113=1,MIN(BF112,D113),BF112))</f>
        <v>20.27</v>
      </c>
      <c r="BG113" s="42" t="n">
        <f aca="false">IF(AND(BD113=1,BD112=0),ROW(),IF(BD113=1,IF(N113&lt;BE112,ROW(),BG112),BG112))</f>
        <v>98</v>
      </c>
      <c r="BH113" s="41" t="n">
        <f aca="false">IF(AND(BD113=1,BD112=0),BE112,BH112)</f>
        <v>-0.267100964273217</v>
      </c>
      <c r="BI113" s="40" t="n">
        <f aca="false">IF(AND(BD113=1,BD112=0),BF112,BI112)</f>
        <v>23.24</v>
      </c>
      <c r="BJ113" s="42" t="n">
        <f aca="false">IF(AND(BD113=1,BD112=0),BG112,BJ112)</f>
        <v>52</v>
      </c>
      <c r="BK113" s="42" t="n">
        <f aca="false">IF(AND(ISNUMBER(BG113),ISNUMBER(BJ113)),BG113-BJ113,"")</f>
        <v>46</v>
      </c>
      <c r="BL113" s="42" t="n">
        <f aca="false">IF(AND(BD113=1,N113&gt;N112,ISNUMBER(BH113),ISNUMBER(BK113)),IF(AND(BE113&gt;BH113,BF113&lt;BI113,BK113&gt;=p_GapMin,BK113&lt;=p_GapMax),1,0),0)</f>
        <v>0</v>
      </c>
      <c r="BM113" s="42" t="n">
        <f aca="false">IF(AND(BL113=1,E113&gt;BI113),1,0)</f>
        <v>0</v>
      </c>
      <c r="BN113" s="42" t="n">
        <f aca="false">IF(BL113=1,IF(BE113&gt;=BH113*0.5,1,0),0)</f>
        <v>0</v>
      </c>
      <c r="BO113" s="42" t="n">
        <f aca="true">IF(V113&gt;MIN(OFFSET(V113,-MIN(p_FiLb-1,ROW()-5),0,MIN(p_FiLb-1,ROW()-5),1)),1,0)</f>
        <v>1</v>
      </c>
      <c r="BP113" s="44" t="n">
        <f aca="true">IF(COUNTIF(OFFSET(V113,1-MIN(100,ROW()-4),0,MIN(100,ROW()-4),1),"&lt;0")&gt;=5,AVERAGEIF(OFFSET(V113,1-MIN(100,ROW()-4),0,MIN(100,ROW()-4),1),"&lt;0"),"")</f>
        <v>-927808.763003514</v>
      </c>
      <c r="BQ113" s="42" t="n">
        <f aca="false">IF(ISNUMBER(BP113),IF(AND(V113&lt;5*BP113,V113&gt;V112,E113&lt;AJ113),1,0),0)</f>
        <v>0</v>
      </c>
      <c r="BR113" s="44" t="n">
        <f aca="true">AVERAGE(OFFSET(F113,1-MIN(5,ROW()-4),0,MIN(5,ROW()-4),1))</f>
        <v>3592100</v>
      </c>
      <c r="BS113" s="42" t="n">
        <f aca="false">IFERROR(IF(MATCH(G113,周线!$A$5:$A$84,0)&lt;=1,"",INDEX(周线!$R$5:$R$84,MATCH(G113,周线!$A$5:$A$84,0)-1)),"")</f>
        <v>0</v>
      </c>
      <c r="BT113" s="42" t="n">
        <f aca="false">IFERROR(IF(MATCH(G113,周线!$A$5:$A$84,0)&lt;=1,"",INDEX(周线!$S$5:$S$84,MATCH(G113,周线!$A$5:$A$84,0)-1)),"")</f>
        <v>0</v>
      </c>
      <c r="BU113" s="42" t="n">
        <f aca="false">IFERROR(IF(MATCH(G113,周线!$A$5:$A$84,0)&lt;=1,"",INDEX(周线!$U$5:$U$84,MATCH(G113,周线!$A$5:$A$84,0)-1)),"")</f>
        <v>-1</v>
      </c>
      <c r="BV113" s="42" t="n">
        <f aca="false">IF(AND(BS113=1,S113&lt;&gt;-1,V113&lt;0,BO113=1,E113&lt;=H113,E113&gt;=AJ113),1,0)</f>
        <v>0</v>
      </c>
      <c r="BW113" s="42" t="n">
        <f aca="false">BL113</f>
        <v>0</v>
      </c>
      <c r="BX113" s="42" t="n">
        <f aca="false">BQ113</f>
        <v>0</v>
      </c>
      <c r="BY113" s="42" t="n">
        <f aca="false">IF(BS113=1,10,0)+IF(BU113=1,5,IF(BU113=-1,0,3))+IF(BT113=1,5,0)+IF(AND(AE113&gt;AF113,AH113&gt;AH112),5,0)</f>
        <v>0</v>
      </c>
      <c r="BZ113" s="42" t="n">
        <f aca="false">IF(AND(E113&lt;=H113,E113&gt;=I113),10,IF(AND(E113&gt;=AJ113,E113&lt;I113),6,0))+IF(AND(V113&lt;0,BO113=1),8,0)+IF(AT113&lt;30,7,IF(AT113&lt;50,3,0))</f>
        <v>14</v>
      </c>
      <c r="CA113" s="42" t="n">
        <f aca="false">IF(AND(BV113=1,BW113=1),25,IF(BW113=1,22,IF(BV113=1,15,IF(BX113=1,12,0))))</f>
        <v>0</v>
      </c>
      <c r="CB113" s="42" t="n">
        <f aca="false">IF(W113&gt;0,6,0)+IF(F113&lt;BR113,4,0)</f>
        <v>4</v>
      </c>
      <c r="CC113" s="42" t="n">
        <f aca="false">IF(BC113&gt;=3,15,IF(BC113&gt;=p_RRmin,10,IF(BC113&gt;=1.5,4,0)))</f>
        <v>15</v>
      </c>
      <c r="CD113" s="42" t="n">
        <f aca="false">BY113+BZ113+CA113+CB113+CC113</f>
        <v>33</v>
      </c>
      <c r="CE113" s="42" t="n">
        <f aca="false">IF(AND(BS113&lt;&gt;1,BW113+BX113=0),1,0)</f>
        <v>1</v>
      </c>
      <c r="CF113" s="42" t="n">
        <f aca="false">IF(BU113=-1,1,0)</f>
        <v>1</v>
      </c>
      <c r="CG113" s="42" t="n">
        <f aca="false">IF(S113=-1,1,0)</f>
        <v>0</v>
      </c>
      <c r="CH113" s="42" t="n">
        <f aca="false">IF(BV113+BW113+BX113=0,1,0)</f>
        <v>1</v>
      </c>
      <c r="CI113" s="42" t="n">
        <f aca="false">IF(BC113&lt;p_RRmin,1,0)</f>
        <v>0</v>
      </c>
      <c r="CJ113" s="46" t="str">
        <f aca="false">IF(SUM(CE113:CI113)=0,IF(CD113&gt;=p_GradeA,"A",IF(CD113&gt;=p_GradeB,"B","C")),IF(AND(CI113=1,SUM(CE113:CH113)=0,CD113&gt;=p_GradeB),"B","C"))</f>
        <v>C</v>
      </c>
    </row>
    <row r="114" customFormat="false" ht="15" hidden="false" customHeight="false" outlineLevel="0" collapsed="false">
      <c r="A114" s="36" t="n">
        <v>45812</v>
      </c>
      <c r="B114" s="37" t="n">
        <v>21.07</v>
      </c>
      <c r="C114" s="37" t="n">
        <v>21.43</v>
      </c>
      <c r="D114" s="37" t="n">
        <v>20.97</v>
      </c>
      <c r="E114" s="37" t="n">
        <v>21.3</v>
      </c>
      <c r="F114" s="38" t="n">
        <v>4329900</v>
      </c>
      <c r="G114" s="39" t="n">
        <f aca="false">A114-WEEKDAY(A114,3)</f>
        <v>45810</v>
      </c>
      <c r="H114" s="40" t="n">
        <f aca="false">2/(p_EmaF+1)*E114+(1-2/(p_EmaF+1))*H113</f>
        <v>21.3054858296575</v>
      </c>
      <c r="I114" s="40" t="n">
        <f aca="false">2/(p_EmaS+1)*E114+(1-2/(p_EmaS+1))*I113</f>
        <v>22.0388153844805</v>
      </c>
      <c r="J114" s="41" t="n">
        <f aca="false">2/(p_MacdF+1)*E114+(1-2/(p_MacdF+1))*J113</f>
        <v>21.2583852704237</v>
      </c>
      <c r="K114" s="41" t="n">
        <f aca="false">2/(p_MacdS+1)*E114+(1-2/(p_MacdS+1))*K113</f>
        <v>22.0388153844805</v>
      </c>
      <c r="L114" s="41" t="n">
        <f aca="false">J114-K114</f>
        <v>-0.78043011405682</v>
      </c>
      <c r="M114" s="41" t="n">
        <f aca="false">2/(p_MacdSig+1)*L114+(1-2/(p_MacdSig+1))*M113</f>
        <v>-0.912293424053058</v>
      </c>
      <c r="N114" s="41" t="n">
        <f aca="false">L114-M114</f>
        <v>0.131863309996238</v>
      </c>
      <c r="O114" s="42" t="n">
        <f aca="false">IF(H114&gt;H113,1,0)</f>
        <v>0</v>
      </c>
      <c r="P114" s="42" t="n">
        <f aca="false">IF(H114&lt;H113,1,0)</f>
        <v>1</v>
      </c>
      <c r="Q114" s="42" t="n">
        <f aca="false">IF(N114&gt;N113,1,0)</f>
        <v>1</v>
      </c>
      <c r="R114" s="42" t="n">
        <f aca="false">IF(N114&lt;N113,1,0)</f>
        <v>0</v>
      </c>
      <c r="S114" s="42" t="n">
        <f aca="false">IF(AND(O114=1,Q114=1),1,IF(AND(P114=1,R114=1),-1,0))</f>
        <v>0</v>
      </c>
      <c r="T114" s="43" t="str">
        <f aca="false">IF(S114=1,"绿",IF(S114=-1,"红","蓝"))</f>
        <v>蓝</v>
      </c>
      <c r="U114" s="44" t="n">
        <f aca="false">F114*(E114-E113)</f>
        <v>1212372.00000001</v>
      </c>
      <c r="V114" s="44" t="n">
        <f aca="false">2/(p_FiS+1)*U114+(1-2/(p_FiS+1))*V113</f>
        <v>747751.455015017</v>
      </c>
      <c r="W114" s="44" t="n">
        <f aca="false">2/(p_FiL+1)*U114+(1-2/(p_FiL+1))*W113</f>
        <v>-149302.112363613</v>
      </c>
      <c r="X114" s="41" t="n">
        <f aca="false">MAX(C114-D114,ABS(C114-E113),ABS(D114-E113))</f>
        <v>0.460000000000001</v>
      </c>
      <c r="Y114" s="41" t="n">
        <f aca="true">AVERAGE(OFFSET(X114,1-MIN(p_AtrN,ROW()-4),0,MIN(p_AtrN,ROW()-4),1))</f>
        <v>0.488461538461538</v>
      </c>
      <c r="Z114" s="41" t="n">
        <f aca="false">IF(AND(C114-C113&gt;D113-D114,C114-C113&gt;0),C114-C113,0)</f>
        <v>0.25</v>
      </c>
      <c r="AA114" s="41" t="n">
        <f aca="false">IF(AND(D113-D114&gt;C114-C113,D113-D114&gt;0),D113-D114,0)</f>
        <v>0</v>
      </c>
      <c r="AB114" s="41" t="n">
        <f aca="false">2/(p_AdxN+1)*X114+(1-2/(p_AdxN+1))*AB113</f>
        <v>0.491833380784682</v>
      </c>
      <c r="AC114" s="41" t="n">
        <f aca="false">2/(p_AdxN+1)*Z114+(1-2/(p_AdxN+1))*AC113</f>
        <v>0.107409971693346</v>
      </c>
      <c r="AD114" s="41" t="n">
        <f aca="false">2/(p_AdxN+1)*AA114+(1-2/(p_AdxN+1))*AD113</f>
        <v>0.13623597333061</v>
      </c>
      <c r="AE114" s="45" t="n">
        <f aca="false">100*AC114/AB114</f>
        <v>21.8386908838888</v>
      </c>
      <c r="AF114" s="45" t="n">
        <f aca="false">100*AD114/AB114</f>
        <v>27.6996191501389</v>
      </c>
      <c r="AG114" s="45" t="n">
        <f aca="false">IFERROR(100*ABS(AE114-AF114)/(AE114+AF114),0)</f>
        <v>11.8311025592604</v>
      </c>
      <c r="AH114" s="45" t="n">
        <f aca="false">2/(p_AdxN+1)*AG114+(1-2/(p_AdxN+1))*AH113</f>
        <v>38.9018737864781</v>
      </c>
      <c r="AI114" s="40" t="n">
        <f aca="false">I114*(1+p_ChPct)</f>
        <v>23.3611443075493</v>
      </c>
      <c r="AJ114" s="40" t="n">
        <f aca="false">I114*(1-p_ChPct)</f>
        <v>20.7164864614117</v>
      </c>
      <c r="AK114" s="40" t="n">
        <f aca="false">I114+1*Y114</f>
        <v>22.527276922942</v>
      </c>
      <c r="AL114" s="40" t="n">
        <f aca="false">I114+2*Y114</f>
        <v>23.0157384614036</v>
      </c>
      <c r="AM114" s="40" t="n">
        <f aca="false">I114+3*Y114</f>
        <v>23.5041999998651</v>
      </c>
      <c r="AN114" s="40" t="n">
        <f aca="false">I114-1*Y114</f>
        <v>21.550353846019</v>
      </c>
      <c r="AO114" s="40" t="n">
        <f aca="false">I114-2*Y114</f>
        <v>21.0618923075574</v>
      </c>
      <c r="AP114" s="40" t="n">
        <f aca="false">I114-3*Y114</f>
        <v>20.5734307690959</v>
      </c>
      <c r="AQ114" s="40" t="n">
        <f aca="true">MAX(OFFSET(C114,1-MIN(p_StochN,ROW()-4),0,MIN(p_StochN,ROW()-4),1))</f>
        <v>21.54</v>
      </c>
      <c r="AR114" s="40" t="n">
        <f aca="true">MIN(OFFSET(D114,1-MIN(p_StochN,ROW()-4),0,MIN(p_StochN,ROW()-4),1))</f>
        <v>20.55</v>
      </c>
      <c r="AS114" s="45" t="n">
        <f aca="false">IF(AQ114=AR114,50,100*(E114-AR114)/(AQ114-AR114))</f>
        <v>75.7575757575759</v>
      </c>
      <c r="AT114" s="45" t="n">
        <f aca="true">AVERAGE(OFFSET(AS114,1-MIN(p_StochSm,ROW()-4),0,MIN(p_StochSm,ROW()-4),1))</f>
        <v>51.8518518518519</v>
      </c>
      <c r="AU114" s="45" t="n">
        <f aca="true">AVERAGE(OFFSET(AT114,1-MIN(p_StochSm,ROW()-4),0,MIN(p_StochSm,ROW()-4),1))</f>
        <v>56.0474348088405</v>
      </c>
      <c r="AV114" s="41" t="n">
        <f aca="false">MAX(0,H114-D114)</f>
        <v>0.335485829657522</v>
      </c>
      <c r="AW114" s="41" t="n">
        <f aca="true">IF(COUNTIF(OFFSET(AV114,1-MIN(p_PenLb,ROW()-4),0,MIN(p_PenLb,ROW()-4),1),"&gt;0")&gt;0,SUM(OFFSET(AV114,1-MIN(p_PenLb,ROW()-4),0,MIN(p_PenLb,ROW()-4),1))/COUNTIF(OFFSET(AV114,1-MIN(p_PenLb,ROW()-4),0,MIN(p_PenLb,ROW()-4),1),"&gt;0"),0.5*Y114)</f>
        <v>1.11959885095053</v>
      </c>
      <c r="AX114" s="41" t="n">
        <f aca="false">2*H114-H113</f>
        <v>21.3045715247146</v>
      </c>
      <c r="AY114" s="40" t="n">
        <f aca="false">ROUND(MAX(AX114-AW114,0.01),2)</f>
        <v>20.18</v>
      </c>
      <c r="AZ114" s="40" t="n">
        <f aca="true">IF(MIN(p_StopLb,ROW()-4)&lt;2,D114,SMALL(OFFSET(D114,1-MIN(p_StopLb,ROW()-4),0,MIN(p_StopLb,ROW()-4),1),2))</f>
        <v>20.51</v>
      </c>
      <c r="BA114" s="40" t="n">
        <f aca="false">IF(MOD(ROUND(ROUNDDOWN(MIN(AZ114-0.01,AY114-p_StopAtr*Y114),2)*100,0),50)=0,ROUNDDOWN(MIN(AZ114-0.01,AY114-p_StopAtr*Y114),2)-0.01,ROUNDDOWN(MIN(AZ114-0.01,AY114-p_StopAtr*Y114),2))</f>
        <v>19.69</v>
      </c>
      <c r="BB114" s="40" t="n">
        <f aca="false">ROUND(AI114,2)</f>
        <v>23.36</v>
      </c>
      <c r="BC114" s="40" t="n">
        <f aca="false">IF(AY114-BA114&gt;0,(BB114-AY114)/(AY114-BA114),0)</f>
        <v>6.48979591836737</v>
      </c>
      <c r="BD114" s="42" t="n">
        <f aca="false">IF(N114&lt;0,1,0)</f>
        <v>0</v>
      </c>
      <c r="BE114" s="41" t="n">
        <f aca="false">IF(AND(BD114=1,BD113=0),N114,IF(BD114=1,MIN(BE113,N114),BE113))</f>
        <v>-0.392824838841331</v>
      </c>
      <c r="BF114" s="40" t="n">
        <f aca="false">IF(AND(BD114=1,BD113=0),D114,IF(BD114=1,MIN(BF113,D114),BF113))</f>
        <v>20.27</v>
      </c>
      <c r="BG114" s="42" t="n">
        <f aca="false">IF(AND(BD114=1,BD113=0),ROW(),IF(BD114=1,IF(N114&lt;BE113,ROW(),BG113),BG113))</f>
        <v>98</v>
      </c>
      <c r="BH114" s="41" t="n">
        <f aca="false">IF(AND(BD114=1,BD113=0),BE113,BH113)</f>
        <v>-0.267100964273217</v>
      </c>
      <c r="BI114" s="40" t="n">
        <f aca="false">IF(AND(BD114=1,BD113=0),BF113,BI113)</f>
        <v>23.24</v>
      </c>
      <c r="BJ114" s="42" t="n">
        <f aca="false">IF(AND(BD114=1,BD113=0),BG113,BJ113)</f>
        <v>52</v>
      </c>
      <c r="BK114" s="42" t="n">
        <f aca="false">IF(AND(ISNUMBER(BG114),ISNUMBER(BJ114)),BG114-BJ114,"")</f>
        <v>46</v>
      </c>
      <c r="BL114" s="42" t="n">
        <f aca="false">IF(AND(BD114=1,N114&gt;N113,ISNUMBER(BH114),ISNUMBER(BK114)),IF(AND(BE114&gt;BH114,BF114&lt;BI114,BK114&gt;=p_GapMin,BK114&lt;=p_GapMax),1,0),0)</f>
        <v>0</v>
      </c>
      <c r="BM114" s="42" t="n">
        <f aca="false">IF(AND(BL114=1,E114&gt;BI114),1,0)</f>
        <v>0</v>
      </c>
      <c r="BN114" s="42" t="n">
        <f aca="false">IF(BL114=1,IF(BE114&gt;=BH114*0.5,1,0),0)</f>
        <v>0</v>
      </c>
      <c r="BO114" s="42" t="n">
        <f aca="true">IF(V114&gt;MIN(OFFSET(V114,-MIN(p_FiLb-1,ROW()-5),0,MIN(p_FiLb-1,ROW()-5),1)),1,0)</f>
        <v>1</v>
      </c>
      <c r="BP114" s="44" t="n">
        <f aca="true">IF(COUNTIF(OFFSET(V114,1-MIN(100,ROW()-4),0,MIN(100,ROW()-4),1),"&lt;0")&gt;=5,AVERAGEIF(OFFSET(V114,1-MIN(100,ROW()-4),0,MIN(100,ROW()-4),1),"&lt;0"),"")</f>
        <v>-927635.967467947</v>
      </c>
      <c r="BQ114" s="42" t="n">
        <f aca="false">IF(ISNUMBER(BP114),IF(AND(V114&lt;5*BP114,V114&gt;V113,E114&lt;AJ114),1,0),0)</f>
        <v>0</v>
      </c>
      <c r="BR114" s="44" t="n">
        <f aca="true">AVERAGE(OFFSET(F114,1-MIN(5,ROW()-4),0,MIN(5,ROW()-4),1))</f>
        <v>3935840</v>
      </c>
      <c r="BS114" s="42" t="n">
        <f aca="false">IFERROR(IF(MATCH(G114,周线!$A$5:$A$84,0)&lt;=1,"",INDEX(周线!$R$5:$R$84,MATCH(G114,周线!$A$5:$A$84,0)-1)),"")</f>
        <v>0</v>
      </c>
      <c r="BT114" s="42" t="n">
        <f aca="false">IFERROR(IF(MATCH(G114,周线!$A$5:$A$84,0)&lt;=1,"",INDEX(周线!$S$5:$S$84,MATCH(G114,周线!$A$5:$A$84,0)-1)),"")</f>
        <v>0</v>
      </c>
      <c r="BU114" s="42" t="n">
        <f aca="false">IFERROR(IF(MATCH(G114,周线!$A$5:$A$84,0)&lt;=1,"",INDEX(周线!$U$5:$U$84,MATCH(G114,周线!$A$5:$A$84,0)-1)),"")</f>
        <v>-1</v>
      </c>
      <c r="BV114" s="42" t="n">
        <f aca="false">IF(AND(BS114=1,S114&lt;&gt;-1,V114&lt;0,BO114=1,E114&lt;=H114,E114&gt;=AJ114),1,0)</f>
        <v>0</v>
      </c>
      <c r="BW114" s="42" t="n">
        <f aca="false">BL114</f>
        <v>0</v>
      </c>
      <c r="BX114" s="42" t="n">
        <f aca="false">BQ114</f>
        <v>0</v>
      </c>
      <c r="BY114" s="42" t="n">
        <f aca="false">IF(BS114=1,10,0)+IF(BU114=1,5,IF(BU114=-1,0,3))+IF(BT114=1,5,0)+IF(AND(AE114&gt;AF114,AH114&gt;AH113),5,0)</f>
        <v>0</v>
      </c>
      <c r="BZ114" s="42" t="n">
        <f aca="false">IF(AND(E114&lt;=H114,E114&gt;=I114),10,IF(AND(E114&gt;=AJ114,E114&lt;I114),6,0))+IF(AND(V114&lt;0,BO114=1),8,0)+IF(AT114&lt;30,7,IF(AT114&lt;50,3,0))</f>
        <v>6</v>
      </c>
      <c r="CA114" s="42" t="n">
        <f aca="false">IF(AND(BV114=1,BW114=1),25,IF(BW114=1,22,IF(BV114=1,15,IF(BX114=1,12,0))))</f>
        <v>0</v>
      </c>
      <c r="CB114" s="42" t="n">
        <f aca="false">IF(W114&gt;0,6,0)+IF(F114&lt;BR114,4,0)</f>
        <v>0</v>
      </c>
      <c r="CC114" s="42" t="n">
        <f aca="false">IF(BC114&gt;=3,15,IF(BC114&gt;=p_RRmin,10,IF(BC114&gt;=1.5,4,0)))</f>
        <v>15</v>
      </c>
      <c r="CD114" s="42" t="n">
        <f aca="false">BY114+BZ114+CA114+CB114+CC114</f>
        <v>21</v>
      </c>
      <c r="CE114" s="42" t="n">
        <f aca="false">IF(AND(BS114&lt;&gt;1,BW114+BX114=0),1,0)</f>
        <v>1</v>
      </c>
      <c r="CF114" s="42" t="n">
        <f aca="false">IF(BU114=-1,1,0)</f>
        <v>1</v>
      </c>
      <c r="CG114" s="42" t="n">
        <f aca="false">IF(S114=-1,1,0)</f>
        <v>0</v>
      </c>
      <c r="CH114" s="42" t="n">
        <f aca="false">IF(BV114+BW114+BX114=0,1,0)</f>
        <v>1</v>
      </c>
      <c r="CI114" s="42" t="n">
        <f aca="false">IF(BC114&lt;p_RRmin,1,0)</f>
        <v>0</v>
      </c>
      <c r="CJ114" s="46" t="str">
        <f aca="false">IF(SUM(CE114:CI114)=0,IF(CD114&gt;=p_GradeA,"A",IF(CD114&gt;=p_GradeB,"B","C")),IF(AND(CI114=1,SUM(CE114:CH114)=0,CD114&gt;=p_GradeB),"B","C"))</f>
        <v>C</v>
      </c>
    </row>
    <row r="115" customFormat="false" ht="15" hidden="false" customHeight="false" outlineLevel="0" collapsed="false">
      <c r="A115" s="36" t="n">
        <v>45813</v>
      </c>
      <c r="B115" s="37" t="n">
        <v>21.34</v>
      </c>
      <c r="C115" s="37" t="n">
        <v>21.44</v>
      </c>
      <c r="D115" s="37" t="n">
        <v>21.19</v>
      </c>
      <c r="E115" s="37" t="n">
        <v>21.39</v>
      </c>
      <c r="F115" s="38" t="n">
        <v>3377000</v>
      </c>
      <c r="G115" s="39" t="n">
        <f aca="false">A115-WEEKDAY(A115,3)</f>
        <v>45810</v>
      </c>
      <c r="H115" s="40" t="n">
        <f aca="false">2/(p_EmaF+1)*E115+(1-2/(p_EmaF+1))*H114</f>
        <v>21.3175592825636</v>
      </c>
      <c r="I115" s="40" t="n">
        <f aca="false">2/(p_EmaS+1)*E115+(1-2/(p_EmaS+1))*I114</f>
        <v>21.9907549856301</v>
      </c>
      <c r="J115" s="41" t="n">
        <f aca="false">2/(p_MacdF+1)*E115+(1-2/(p_MacdF+1))*J114</f>
        <v>21.2786336903585</v>
      </c>
      <c r="K115" s="41" t="n">
        <f aca="false">2/(p_MacdS+1)*E115+(1-2/(p_MacdS+1))*K114</f>
        <v>21.9907549856301</v>
      </c>
      <c r="L115" s="41" t="n">
        <f aca="false">J115-K115</f>
        <v>-0.71212129527159</v>
      </c>
      <c r="M115" s="41" t="n">
        <f aca="false">2/(p_MacdSig+1)*L115+(1-2/(p_MacdSig+1))*M114</f>
        <v>-0.872258998296765</v>
      </c>
      <c r="N115" s="41" t="n">
        <f aca="false">L115-M115</f>
        <v>0.160137703025175</v>
      </c>
      <c r="O115" s="42" t="n">
        <f aca="false">IF(H115&gt;H114,1,0)</f>
        <v>1</v>
      </c>
      <c r="P115" s="42" t="n">
        <f aca="false">IF(H115&lt;H114,1,0)</f>
        <v>0</v>
      </c>
      <c r="Q115" s="42" t="n">
        <f aca="false">IF(N115&gt;N114,1,0)</f>
        <v>1</v>
      </c>
      <c r="R115" s="42" t="n">
        <f aca="false">IF(N115&lt;N114,1,0)</f>
        <v>0</v>
      </c>
      <c r="S115" s="42" t="n">
        <f aca="false">IF(AND(O115=1,Q115=1),1,IF(AND(P115=1,R115=1),-1,0))</f>
        <v>1</v>
      </c>
      <c r="T115" s="43" t="str">
        <f aca="false">IF(S115=1,"绿",IF(S115=-1,"红","蓝"))</f>
        <v>绿</v>
      </c>
      <c r="U115" s="44" t="n">
        <f aca="false">F115*(E115-E114)</f>
        <v>303930</v>
      </c>
      <c r="V115" s="44" t="n">
        <f aca="false">2/(p_FiS+1)*U115+(1-2/(p_FiS+1))*V114</f>
        <v>451870.485005005</v>
      </c>
      <c r="W115" s="44" t="n">
        <f aca="false">2/(p_FiL+1)*U115+(1-2/(p_FiL+1))*W114</f>
        <v>-84554.6677402399</v>
      </c>
      <c r="X115" s="41" t="n">
        <f aca="false">MAX(C115-D115,ABS(C115-E114),ABS(D115-E114))</f>
        <v>0.25</v>
      </c>
      <c r="Y115" s="41" t="n">
        <f aca="true">AVERAGE(OFFSET(X115,1-MIN(p_AtrN,ROW()-4),0,MIN(p_AtrN,ROW()-4),1))</f>
        <v>0.45</v>
      </c>
      <c r="Z115" s="41" t="n">
        <f aca="false">IF(AND(C115-C114&gt;D114-D115,C115-C114&gt;0),C115-C114,0)</f>
        <v>0.0100000000000016</v>
      </c>
      <c r="AA115" s="41" t="n">
        <f aca="false">IF(AND(D114-D115&gt;C115-C114,D114-D115&gt;0),D114-D115,0)</f>
        <v>0</v>
      </c>
      <c r="AB115" s="41" t="n">
        <f aca="false">2/(p_AdxN+1)*X115+(1-2/(p_AdxN+1))*AB114</f>
        <v>0.457285754958299</v>
      </c>
      <c r="AC115" s="41" t="n">
        <f aca="false">2/(p_AdxN+1)*Z115+(1-2/(p_AdxN+1))*AC114</f>
        <v>0.0934942614514398</v>
      </c>
      <c r="AD115" s="41" t="n">
        <f aca="false">2/(p_AdxN+1)*AA115+(1-2/(p_AdxN+1))*AD114</f>
        <v>0.116773691426237</v>
      </c>
      <c r="AE115" s="45" t="n">
        <f aca="false">100*AC115/AB115</f>
        <v>20.4454786613604</v>
      </c>
      <c r="AF115" s="45" t="n">
        <f aca="false">100*AD115/AB115</f>
        <v>25.5362626454187</v>
      </c>
      <c r="AG115" s="45" t="n">
        <f aca="false">IFERROR(100*ABS(AE115-AF115)/(AE115+AF115),0)</f>
        <v>11.0713162211361</v>
      </c>
      <c r="AH115" s="45" t="n">
        <f aca="false">2/(p_AdxN+1)*AG115+(1-2/(p_AdxN+1))*AH114</f>
        <v>34.9260798485721</v>
      </c>
      <c r="AI115" s="40" t="n">
        <f aca="false">I115*(1+p_ChPct)</f>
        <v>23.3102002847679</v>
      </c>
      <c r="AJ115" s="40" t="n">
        <f aca="false">I115*(1-p_ChPct)</f>
        <v>20.6713096864923</v>
      </c>
      <c r="AK115" s="40" t="n">
        <f aca="false">I115+1*Y115</f>
        <v>22.4407549856301</v>
      </c>
      <c r="AL115" s="40" t="n">
        <f aca="false">I115+2*Y115</f>
        <v>22.8907549856301</v>
      </c>
      <c r="AM115" s="40" t="n">
        <f aca="false">I115+3*Y115</f>
        <v>23.3407549856301</v>
      </c>
      <c r="AN115" s="40" t="n">
        <f aca="false">I115-1*Y115</f>
        <v>21.5407549856301</v>
      </c>
      <c r="AO115" s="40" t="n">
        <f aca="false">I115-2*Y115</f>
        <v>21.0907549856301</v>
      </c>
      <c r="AP115" s="40" t="n">
        <f aca="false">I115-3*Y115</f>
        <v>20.6407549856301</v>
      </c>
      <c r="AQ115" s="40" t="n">
        <f aca="true">MAX(OFFSET(C115,1-MIN(p_StochN,ROW()-4),0,MIN(p_StochN,ROW()-4),1))</f>
        <v>21.54</v>
      </c>
      <c r="AR115" s="40" t="n">
        <f aca="true">MIN(OFFSET(D115,1-MIN(p_StochN,ROW()-4),0,MIN(p_StochN,ROW()-4),1))</f>
        <v>20.55</v>
      </c>
      <c r="AS115" s="45" t="n">
        <f aca="false">IF(AQ115=AR115,50,100*(E115-AR115)/(AQ115-AR115))</f>
        <v>84.848484848485</v>
      </c>
      <c r="AT115" s="45" t="n">
        <f aca="true">AVERAGE(OFFSET(AS115,1-MIN(p_StochSm,ROW()-4),0,MIN(p_StochSm,ROW()-4),1))</f>
        <v>69.3602693602694</v>
      </c>
      <c r="AU115" s="45" t="n">
        <f aca="true">AVERAGE(OFFSET(AT115,1-MIN(p_StochSm,ROW()-4),0,MIN(p_StochSm,ROW()-4),1))</f>
        <v>57.5213076863242</v>
      </c>
      <c r="AV115" s="41" t="n">
        <f aca="false">MAX(0,H115-D115)</f>
        <v>0.127559282563588</v>
      </c>
      <c r="AW115" s="41" t="n">
        <f aca="true">IF(COUNTIF(OFFSET(AV115,1-MIN(p_PenLb,ROW()-4),0,MIN(p_PenLb,ROW()-4),1),"&gt;0")&gt;0,SUM(OFFSET(AV115,1-MIN(p_PenLb,ROW()-4),0,MIN(p_PenLb,ROW()-4),1))/COUNTIF(OFFSET(AV115,1-MIN(p_PenLb,ROW()-4),0,MIN(p_PenLb,ROW()-4),1),"&gt;0"),0.5*Y115)</f>
        <v>1.10027520557664</v>
      </c>
      <c r="AX115" s="41" t="n">
        <f aca="false">2*H115-H114</f>
        <v>21.3296327354697</v>
      </c>
      <c r="AY115" s="40" t="n">
        <f aca="false">ROUND(MAX(AX115-AW115,0.01),2)</f>
        <v>20.23</v>
      </c>
      <c r="AZ115" s="40" t="n">
        <f aca="true">IF(MIN(p_StopLb,ROW()-4)&lt;2,D115,SMALL(OFFSET(D115,1-MIN(p_StopLb,ROW()-4),0,MIN(p_StopLb,ROW()-4),1),2))</f>
        <v>20.53</v>
      </c>
      <c r="BA115" s="40" t="n">
        <f aca="false">IF(MOD(ROUND(ROUNDDOWN(MIN(AZ115-0.01,AY115-p_StopAtr*Y115),2)*100,0),50)=0,ROUNDDOWN(MIN(AZ115-0.01,AY115-p_StopAtr*Y115),2)-0.01,ROUNDDOWN(MIN(AZ115-0.01,AY115-p_StopAtr*Y115),2))</f>
        <v>19.78</v>
      </c>
      <c r="BB115" s="40" t="n">
        <f aca="false">ROUND(AI115,2)</f>
        <v>23.31</v>
      </c>
      <c r="BC115" s="40" t="n">
        <f aca="false">IF(AY115-BA115&gt;0,(BB115-AY115)/(AY115-BA115),0)</f>
        <v>6.84444444444445</v>
      </c>
      <c r="BD115" s="42" t="n">
        <f aca="false">IF(N115&lt;0,1,0)</f>
        <v>0</v>
      </c>
      <c r="BE115" s="41" t="n">
        <f aca="false">IF(AND(BD115=1,BD114=0),N115,IF(BD115=1,MIN(BE114,N115),BE114))</f>
        <v>-0.392824838841331</v>
      </c>
      <c r="BF115" s="40" t="n">
        <f aca="false">IF(AND(BD115=1,BD114=0),D115,IF(BD115=1,MIN(BF114,D115),BF114))</f>
        <v>20.27</v>
      </c>
      <c r="BG115" s="42" t="n">
        <f aca="false">IF(AND(BD115=1,BD114=0),ROW(),IF(BD115=1,IF(N115&lt;BE114,ROW(),BG114),BG114))</f>
        <v>98</v>
      </c>
      <c r="BH115" s="41" t="n">
        <f aca="false">IF(AND(BD115=1,BD114=0),BE114,BH114)</f>
        <v>-0.267100964273217</v>
      </c>
      <c r="BI115" s="40" t="n">
        <f aca="false">IF(AND(BD115=1,BD114=0),BF114,BI114)</f>
        <v>23.24</v>
      </c>
      <c r="BJ115" s="42" t="n">
        <f aca="false">IF(AND(BD115=1,BD114=0),BG114,BJ114)</f>
        <v>52</v>
      </c>
      <c r="BK115" s="42" t="n">
        <f aca="false">IF(AND(ISNUMBER(BG115),ISNUMBER(BJ115)),BG115-BJ115,"")</f>
        <v>46</v>
      </c>
      <c r="BL115" s="42" t="n">
        <f aca="false">IF(AND(BD115=1,N115&gt;N114,ISNUMBER(BH115),ISNUMBER(BK115)),IF(AND(BE115&gt;BH115,BF115&lt;BI115,BK115&gt;=p_GapMin,BK115&lt;=p_GapMax),1,0),0)</f>
        <v>0</v>
      </c>
      <c r="BM115" s="42" t="n">
        <f aca="false">IF(AND(BL115=1,E115&gt;BI115),1,0)</f>
        <v>0</v>
      </c>
      <c r="BN115" s="42" t="n">
        <f aca="false">IF(BL115=1,IF(BE115&gt;=BH115*0.5,1,0),0)</f>
        <v>0</v>
      </c>
      <c r="BO115" s="42" t="n">
        <f aca="true">IF(V115&gt;MIN(OFFSET(V115,-MIN(p_FiLb-1,ROW()-5),0,MIN(p_FiLb-1,ROW()-5),1)),1,0)</f>
        <v>1</v>
      </c>
      <c r="BP115" s="44" t="n">
        <f aca="true">IF(COUNTIF(OFFSET(V115,1-MIN(100,ROW()-4),0,MIN(100,ROW()-4),1),"&lt;0")&gt;=5,AVERAGEIF(OFFSET(V115,1-MIN(100,ROW()-4),0,MIN(100,ROW()-4),1),"&lt;0"),"")</f>
        <v>-935935.288010708</v>
      </c>
      <c r="BQ115" s="42" t="n">
        <f aca="false">IF(ISNUMBER(BP115),IF(AND(V115&lt;5*BP115,V115&gt;V114,E115&lt;AJ115),1,0),0)</f>
        <v>0</v>
      </c>
      <c r="BR115" s="44" t="n">
        <f aca="true">AVERAGE(OFFSET(F115,1-MIN(5,ROW()-4),0,MIN(5,ROW()-4),1))</f>
        <v>3618440</v>
      </c>
      <c r="BS115" s="42" t="n">
        <f aca="false">IFERROR(IF(MATCH(G115,周线!$A$5:$A$84,0)&lt;=1,"",INDEX(周线!$R$5:$R$84,MATCH(G115,周线!$A$5:$A$84,0)-1)),"")</f>
        <v>0</v>
      </c>
      <c r="BT115" s="42" t="n">
        <f aca="false">IFERROR(IF(MATCH(G115,周线!$A$5:$A$84,0)&lt;=1,"",INDEX(周线!$S$5:$S$84,MATCH(G115,周线!$A$5:$A$84,0)-1)),"")</f>
        <v>0</v>
      </c>
      <c r="BU115" s="42" t="n">
        <f aca="false">IFERROR(IF(MATCH(G115,周线!$A$5:$A$84,0)&lt;=1,"",INDEX(周线!$U$5:$U$84,MATCH(G115,周线!$A$5:$A$84,0)-1)),"")</f>
        <v>-1</v>
      </c>
      <c r="BV115" s="42" t="n">
        <f aca="false">IF(AND(BS115=1,S115&lt;&gt;-1,V115&lt;0,BO115=1,E115&lt;=H115,E115&gt;=AJ115),1,0)</f>
        <v>0</v>
      </c>
      <c r="BW115" s="42" t="n">
        <f aca="false">BL115</f>
        <v>0</v>
      </c>
      <c r="BX115" s="42" t="n">
        <f aca="false">BQ115</f>
        <v>0</v>
      </c>
      <c r="BY115" s="42" t="n">
        <f aca="false">IF(BS115=1,10,0)+IF(BU115=1,5,IF(BU115=-1,0,3))+IF(BT115=1,5,0)+IF(AND(AE115&gt;AF115,AH115&gt;AH114),5,0)</f>
        <v>0</v>
      </c>
      <c r="BZ115" s="42" t="n">
        <f aca="false">IF(AND(E115&lt;=H115,E115&gt;=I115),10,IF(AND(E115&gt;=AJ115,E115&lt;I115),6,0))+IF(AND(V115&lt;0,BO115=1),8,0)+IF(AT115&lt;30,7,IF(AT115&lt;50,3,0))</f>
        <v>6</v>
      </c>
      <c r="CA115" s="42" t="n">
        <f aca="false">IF(AND(BV115=1,BW115=1),25,IF(BW115=1,22,IF(BV115=1,15,IF(BX115=1,12,0))))</f>
        <v>0</v>
      </c>
      <c r="CB115" s="42" t="n">
        <f aca="false">IF(W115&gt;0,6,0)+IF(F115&lt;BR115,4,0)</f>
        <v>4</v>
      </c>
      <c r="CC115" s="42" t="n">
        <f aca="false">IF(BC115&gt;=3,15,IF(BC115&gt;=p_RRmin,10,IF(BC115&gt;=1.5,4,0)))</f>
        <v>15</v>
      </c>
      <c r="CD115" s="42" t="n">
        <f aca="false">BY115+BZ115+CA115+CB115+CC115</f>
        <v>25</v>
      </c>
      <c r="CE115" s="42" t="n">
        <f aca="false">IF(AND(BS115&lt;&gt;1,BW115+BX115=0),1,0)</f>
        <v>1</v>
      </c>
      <c r="CF115" s="42" t="n">
        <f aca="false">IF(BU115=-1,1,0)</f>
        <v>1</v>
      </c>
      <c r="CG115" s="42" t="n">
        <f aca="false">IF(S115=-1,1,0)</f>
        <v>0</v>
      </c>
      <c r="CH115" s="42" t="n">
        <f aca="false">IF(BV115+BW115+BX115=0,1,0)</f>
        <v>1</v>
      </c>
      <c r="CI115" s="42" t="n">
        <f aca="false">IF(BC115&lt;p_RRmin,1,0)</f>
        <v>0</v>
      </c>
      <c r="CJ115" s="46" t="str">
        <f aca="false">IF(SUM(CE115:CI115)=0,IF(CD115&gt;=p_GradeA,"A",IF(CD115&gt;=p_GradeB,"B","C")),IF(AND(CI115=1,SUM(CE115:CH115)=0,CD115&gt;=p_GradeB),"B","C"))</f>
        <v>C</v>
      </c>
    </row>
    <row r="116" customFormat="false" ht="15" hidden="false" customHeight="false" outlineLevel="0" collapsed="false">
      <c r="A116" s="36" t="n">
        <v>45814</v>
      </c>
      <c r="B116" s="37" t="n">
        <v>21.49</v>
      </c>
      <c r="C116" s="37" t="n">
        <v>21.63</v>
      </c>
      <c r="D116" s="37" t="n">
        <v>21.16</v>
      </c>
      <c r="E116" s="37" t="n">
        <v>21.29</v>
      </c>
      <c r="F116" s="38" t="n">
        <v>3879500</v>
      </c>
      <c r="G116" s="39" t="n">
        <f aca="false">A116-WEEKDAY(A116,3)</f>
        <v>45810</v>
      </c>
      <c r="H116" s="40" t="n">
        <f aca="false">2/(p_EmaF+1)*E116+(1-2/(p_EmaF+1))*H115</f>
        <v>21.3136222421974</v>
      </c>
      <c r="I116" s="40" t="n">
        <f aca="false">2/(p_EmaS+1)*E116+(1-2/(p_EmaS+1))*I115</f>
        <v>21.9388472089168</v>
      </c>
      <c r="J116" s="41" t="n">
        <f aca="false">2/(p_MacdF+1)*E116+(1-2/(p_MacdF+1))*J115</f>
        <v>21.2803823533803</v>
      </c>
      <c r="K116" s="41" t="n">
        <f aca="false">2/(p_MacdS+1)*E116+(1-2/(p_MacdS+1))*K115</f>
        <v>21.9388472089168</v>
      </c>
      <c r="L116" s="41" t="n">
        <f aca="false">J116-K116</f>
        <v>-0.658464855536479</v>
      </c>
      <c r="M116" s="41" t="n">
        <f aca="false">2/(p_MacdSig+1)*L116+(1-2/(p_MacdSig+1))*M115</f>
        <v>-0.829500169744708</v>
      </c>
      <c r="N116" s="41" t="n">
        <f aca="false">L116-M116</f>
        <v>0.171035314208228</v>
      </c>
      <c r="O116" s="42" t="n">
        <f aca="false">IF(H116&gt;H115,1,0)</f>
        <v>0</v>
      </c>
      <c r="P116" s="42" t="n">
        <f aca="false">IF(H116&lt;H115,1,0)</f>
        <v>1</v>
      </c>
      <c r="Q116" s="42" t="n">
        <f aca="false">IF(N116&gt;N115,1,0)</f>
        <v>1</v>
      </c>
      <c r="R116" s="42" t="n">
        <f aca="false">IF(N116&lt;N115,1,0)</f>
        <v>0</v>
      </c>
      <c r="S116" s="42" t="n">
        <f aca="false">IF(AND(O116=1,Q116=1),1,IF(AND(P116=1,R116=1),-1,0))</f>
        <v>0</v>
      </c>
      <c r="T116" s="43" t="str">
        <f aca="false">IF(S116=1,"绿",IF(S116=-1,"红","蓝"))</f>
        <v>蓝</v>
      </c>
      <c r="U116" s="44" t="n">
        <f aca="false">F116*(E116-E115)</f>
        <v>-387950.000000006</v>
      </c>
      <c r="V116" s="44" t="n">
        <f aca="false">2/(p_FiS+1)*U116+(1-2/(p_FiS+1))*V115</f>
        <v>-108009.838331669</v>
      </c>
      <c r="W116" s="44" t="n">
        <f aca="false">2/(p_FiL+1)*U116+(1-2/(p_FiL+1))*W115</f>
        <v>-127896.858063064</v>
      </c>
      <c r="X116" s="41" t="n">
        <f aca="false">MAX(C116-D116,ABS(C116-E115),ABS(D116-E115))</f>
        <v>0.469999999999999</v>
      </c>
      <c r="Y116" s="41" t="n">
        <f aca="true">AVERAGE(OFFSET(X116,1-MIN(p_AtrN,ROW()-4),0,MIN(p_AtrN,ROW()-4),1))</f>
        <v>0.453846153846153</v>
      </c>
      <c r="Z116" s="41" t="n">
        <f aca="false">IF(AND(C116-C115&gt;D115-D116,C116-C115&gt;0),C116-C115,0)</f>
        <v>0.189999999999998</v>
      </c>
      <c r="AA116" s="41" t="n">
        <f aca="false">IF(AND(D115-D116&gt;C116-C115,D115-D116&gt;0),D115-D116,0)</f>
        <v>0</v>
      </c>
      <c r="AB116" s="41" t="n">
        <f aca="false">2/(p_AdxN+1)*X116+(1-2/(p_AdxN+1))*AB115</f>
        <v>0.459102075678542</v>
      </c>
      <c r="AC116" s="41" t="n">
        <f aca="false">2/(p_AdxN+1)*Z116+(1-2/(p_AdxN+1))*AC115</f>
        <v>0.107280795529805</v>
      </c>
      <c r="AD116" s="41" t="n">
        <f aca="false">2/(p_AdxN+1)*AA116+(1-2/(p_AdxN+1))*AD115</f>
        <v>0.100091735508203</v>
      </c>
      <c r="AE116" s="45" t="n">
        <f aca="false">100*AC116/AB116</f>
        <v>23.3675257013915</v>
      </c>
      <c r="AF116" s="45" t="n">
        <f aca="false">100*AD116/AB116</f>
        <v>21.8016299229904</v>
      </c>
      <c r="AG116" s="45" t="n">
        <f aca="false">IFERROR(100*ABS(AE116-AF116)/(AE116+AF116),0)</f>
        <v>3.46673688439703</v>
      </c>
      <c r="AH116" s="45" t="n">
        <f aca="false">2/(p_AdxN+1)*AG116+(1-2/(p_AdxN+1))*AH115</f>
        <v>30.4318879965471</v>
      </c>
      <c r="AI116" s="40" t="n">
        <f aca="false">I116*(1+p_ChPct)</f>
        <v>23.2551780414518</v>
      </c>
      <c r="AJ116" s="40" t="n">
        <f aca="false">I116*(1-p_ChPct)</f>
        <v>20.6225163763817</v>
      </c>
      <c r="AK116" s="40" t="n">
        <f aca="false">I116+1*Y116</f>
        <v>22.3926933627629</v>
      </c>
      <c r="AL116" s="40" t="n">
        <f aca="false">I116+2*Y116</f>
        <v>22.8465395166091</v>
      </c>
      <c r="AM116" s="40" t="n">
        <f aca="false">I116+3*Y116</f>
        <v>23.3003856704552</v>
      </c>
      <c r="AN116" s="40" t="n">
        <f aca="false">I116-1*Y116</f>
        <v>21.4850010550706</v>
      </c>
      <c r="AO116" s="40" t="n">
        <f aca="false">I116-2*Y116</f>
        <v>21.0311549012244</v>
      </c>
      <c r="AP116" s="40" t="n">
        <f aca="false">I116-3*Y116</f>
        <v>20.5773087473783</v>
      </c>
      <c r="AQ116" s="40" t="n">
        <f aca="true">MAX(OFFSET(C116,1-MIN(p_StochN,ROW()-4),0,MIN(p_StochN,ROW()-4),1))</f>
        <v>21.63</v>
      </c>
      <c r="AR116" s="40" t="n">
        <f aca="true">MIN(OFFSET(D116,1-MIN(p_StochN,ROW()-4),0,MIN(p_StochN,ROW()-4),1))</f>
        <v>20.55</v>
      </c>
      <c r="AS116" s="45" t="n">
        <f aca="false">IF(AQ116=AR116,50,100*(E116-AR116)/(AQ116-AR116))</f>
        <v>68.5185185185185</v>
      </c>
      <c r="AT116" s="45" t="n">
        <f aca="true">AVERAGE(OFFSET(AS116,1-MIN(p_StochSm,ROW()-4),0,MIN(p_StochSm,ROW()-4),1))</f>
        <v>76.3748597081931</v>
      </c>
      <c r="AU116" s="45" t="n">
        <f aca="true">AVERAGE(OFFSET(AT116,1-MIN(p_StochSm,ROW()-4),0,MIN(p_StochSm,ROW()-4),1))</f>
        <v>65.8623269734381</v>
      </c>
      <c r="AV116" s="41" t="n">
        <f aca="false">MAX(0,H116-D116)</f>
        <v>0.153622242197365</v>
      </c>
      <c r="AW116" s="41" t="n">
        <f aca="true">IF(COUNTIF(OFFSET(AV116,1-MIN(p_PenLb,ROW()-4),0,MIN(p_PenLb,ROW()-4),1),"&gt;0")&gt;0,SUM(OFFSET(AV116,1-MIN(p_PenLb,ROW()-4),0,MIN(p_PenLb,ROW()-4),1))/COUNTIF(OFFSET(AV116,1-MIN(p_PenLb,ROW()-4),0,MIN(p_PenLb,ROW()-4),1),"&gt;0"),0.5*Y116)</f>
        <v>1.0863311285895</v>
      </c>
      <c r="AX116" s="41" t="n">
        <f aca="false">2*H116-H115</f>
        <v>21.3096852018311</v>
      </c>
      <c r="AY116" s="40" t="n">
        <f aca="false">ROUND(MAX(AX116-AW116,0.01),2)</f>
        <v>20.22</v>
      </c>
      <c r="AZ116" s="40" t="n">
        <f aca="true">IF(MIN(p_StopLb,ROW()-4)&lt;2,D116,SMALL(OFFSET(D116,1-MIN(p_StopLb,ROW()-4),0,MIN(p_StopLb,ROW()-4),1),2))</f>
        <v>20.55</v>
      </c>
      <c r="BA116" s="40" t="n">
        <f aca="false">IF(MOD(ROUND(ROUNDDOWN(MIN(AZ116-0.01,AY116-p_StopAtr*Y116),2)*100,0),50)=0,ROUNDDOWN(MIN(AZ116-0.01,AY116-p_StopAtr*Y116),2)-0.01,ROUNDDOWN(MIN(AZ116-0.01,AY116-p_StopAtr*Y116),2))</f>
        <v>19.76</v>
      </c>
      <c r="BB116" s="40" t="n">
        <f aca="false">ROUND(AI116,2)</f>
        <v>23.26</v>
      </c>
      <c r="BC116" s="40" t="n">
        <f aca="false">IF(AY116-BA116&gt;0,(BB116-AY116)/(AY116-BA116),0)</f>
        <v>6.60869565217396</v>
      </c>
      <c r="BD116" s="42" t="n">
        <f aca="false">IF(N116&lt;0,1,0)</f>
        <v>0</v>
      </c>
      <c r="BE116" s="41" t="n">
        <f aca="false">IF(AND(BD116=1,BD115=0),N116,IF(BD116=1,MIN(BE115,N116),BE115))</f>
        <v>-0.392824838841331</v>
      </c>
      <c r="BF116" s="40" t="n">
        <f aca="false">IF(AND(BD116=1,BD115=0),D116,IF(BD116=1,MIN(BF115,D116),BF115))</f>
        <v>20.27</v>
      </c>
      <c r="BG116" s="42" t="n">
        <f aca="false">IF(AND(BD116=1,BD115=0),ROW(),IF(BD116=1,IF(N116&lt;BE115,ROW(),BG115),BG115))</f>
        <v>98</v>
      </c>
      <c r="BH116" s="41" t="n">
        <f aca="false">IF(AND(BD116=1,BD115=0),BE115,BH115)</f>
        <v>-0.267100964273217</v>
      </c>
      <c r="BI116" s="40" t="n">
        <f aca="false">IF(AND(BD116=1,BD115=0),BF115,BI115)</f>
        <v>23.24</v>
      </c>
      <c r="BJ116" s="42" t="n">
        <f aca="false">IF(AND(BD116=1,BD115=0),BG115,BJ115)</f>
        <v>52</v>
      </c>
      <c r="BK116" s="42" t="n">
        <f aca="false">IF(AND(ISNUMBER(BG116),ISNUMBER(BJ116)),BG116-BJ116,"")</f>
        <v>46</v>
      </c>
      <c r="BL116" s="42" t="n">
        <f aca="false">IF(AND(BD116=1,N116&gt;N115,ISNUMBER(BH116),ISNUMBER(BK116)),IF(AND(BE116&gt;BH116,BF116&lt;BI116,BK116&gt;=p_GapMin,BK116&lt;=p_GapMax),1,0),0)</f>
        <v>0</v>
      </c>
      <c r="BM116" s="42" t="n">
        <f aca="false">IF(AND(BL116=1,E116&gt;BI116),1,0)</f>
        <v>0</v>
      </c>
      <c r="BN116" s="42" t="n">
        <f aca="false">IF(BL116=1,IF(BE116&gt;=BH116*0.5,1,0),0)</f>
        <v>0</v>
      </c>
      <c r="BO116" s="42" t="n">
        <f aca="true">IF(V116&gt;MIN(OFFSET(V116,-MIN(p_FiLb-1,ROW()-5),0,MIN(p_FiLb-1,ROW()-5),1)),1,0)</f>
        <v>1</v>
      </c>
      <c r="BP116" s="44" t="n">
        <f aca="true">IF(COUNTIF(OFFSET(V116,1-MIN(100,ROW()-4),0,MIN(100,ROW()-4),1),"&lt;0")&gt;=5,AVERAGEIF(OFFSET(V116,1-MIN(100,ROW()-4),0,MIN(100,ROW()-4),1),"&lt;0"),"")</f>
        <v>-919038.850262156</v>
      </c>
      <c r="BQ116" s="42" t="n">
        <f aca="false">IF(ISNUMBER(BP116),IF(AND(V116&lt;5*BP116,V116&gt;V115,E116&lt;AJ116),1,0),0)</f>
        <v>0</v>
      </c>
      <c r="BR116" s="44" t="n">
        <f aca="true">AVERAGE(OFFSET(F116,1-MIN(5,ROW()-4),0,MIN(5,ROW()-4),1))</f>
        <v>3908500</v>
      </c>
      <c r="BS116" s="42" t="n">
        <f aca="false">IFERROR(IF(MATCH(G116,周线!$A$5:$A$84,0)&lt;=1,"",INDEX(周线!$R$5:$R$84,MATCH(G116,周线!$A$5:$A$84,0)-1)),"")</f>
        <v>0</v>
      </c>
      <c r="BT116" s="42" t="n">
        <f aca="false">IFERROR(IF(MATCH(G116,周线!$A$5:$A$84,0)&lt;=1,"",INDEX(周线!$S$5:$S$84,MATCH(G116,周线!$A$5:$A$84,0)-1)),"")</f>
        <v>0</v>
      </c>
      <c r="BU116" s="42" t="n">
        <f aca="false">IFERROR(IF(MATCH(G116,周线!$A$5:$A$84,0)&lt;=1,"",INDEX(周线!$U$5:$U$84,MATCH(G116,周线!$A$5:$A$84,0)-1)),"")</f>
        <v>-1</v>
      </c>
      <c r="BV116" s="42" t="n">
        <f aca="false">IF(AND(BS116=1,S116&lt;&gt;-1,V116&lt;0,BO116=1,E116&lt;=H116,E116&gt;=AJ116),1,0)</f>
        <v>0</v>
      </c>
      <c r="BW116" s="42" t="n">
        <f aca="false">BL116</f>
        <v>0</v>
      </c>
      <c r="BX116" s="42" t="n">
        <f aca="false">BQ116</f>
        <v>0</v>
      </c>
      <c r="BY116" s="42" t="n">
        <f aca="false">IF(BS116=1,10,0)+IF(BU116=1,5,IF(BU116=-1,0,3))+IF(BT116=1,5,0)+IF(AND(AE116&gt;AF116,AH116&gt;AH115),5,0)</f>
        <v>0</v>
      </c>
      <c r="BZ116" s="42" t="n">
        <f aca="false">IF(AND(E116&lt;=H116,E116&gt;=I116),10,IF(AND(E116&gt;=AJ116,E116&lt;I116),6,0))+IF(AND(V116&lt;0,BO116=1),8,0)+IF(AT116&lt;30,7,IF(AT116&lt;50,3,0))</f>
        <v>14</v>
      </c>
      <c r="CA116" s="42" t="n">
        <f aca="false">IF(AND(BV116=1,BW116=1),25,IF(BW116=1,22,IF(BV116=1,15,IF(BX116=1,12,0))))</f>
        <v>0</v>
      </c>
      <c r="CB116" s="42" t="n">
        <f aca="false">IF(W116&gt;0,6,0)+IF(F116&lt;BR116,4,0)</f>
        <v>4</v>
      </c>
      <c r="CC116" s="42" t="n">
        <f aca="false">IF(BC116&gt;=3,15,IF(BC116&gt;=p_RRmin,10,IF(BC116&gt;=1.5,4,0)))</f>
        <v>15</v>
      </c>
      <c r="CD116" s="42" t="n">
        <f aca="false">BY116+BZ116+CA116+CB116+CC116</f>
        <v>33</v>
      </c>
      <c r="CE116" s="42" t="n">
        <f aca="false">IF(AND(BS116&lt;&gt;1,BW116+BX116=0),1,0)</f>
        <v>1</v>
      </c>
      <c r="CF116" s="42" t="n">
        <f aca="false">IF(BU116=-1,1,0)</f>
        <v>1</v>
      </c>
      <c r="CG116" s="42" t="n">
        <f aca="false">IF(S116=-1,1,0)</f>
        <v>0</v>
      </c>
      <c r="CH116" s="42" t="n">
        <f aca="false">IF(BV116+BW116+BX116=0,1,0)</f>
        <v>1</v>
      </c>
      <c r="CI116" s="42" t="n">
        <f aca="false">IF(BC116&lt;p_RRmin,1,0)</f>
        <v>0</v>
      </c>
      <c r="CJ116" s="46" t="str">
        <f aca="false">IF(SUM(CE116:CI116)=0,IF(CD116&gt;=p_GradeA,"A",IF(CD116&gt;=p_GradeB,"B","C")),IF(AND(CI116=1,SUM(CE116:CH116)=0,CD116&gt;=p_GradeB),"B","C"))</f>
        <v>C</v>
      </c>
    </row>
    <row r="117" customFormat="false" ht="15" hidden="false" customHeight="false" outlineLevel="0" collapsed="false">
      <c r="A117" s="36" t="n">
        <v>45817</v>
      </c>
      <c r="B117" s="37" t="n">
        <v>21.28</v>
      </c>
      <c r="C117" s="37" t="n">
        <v>21.52</v>
      </c>
      <c r="D117" s="37" t="n">
        <v>20.9</v>
      </c>
      <c r="E117" s="37" t="n">
        <v>21.17</v>
      </c>
      <c r="F117" s="38" t="n">
        <v>2549400</v>
      </c>
      <c r="G117" s="39" t="n">
        <f aca="false">A117-WEEKDAY(A117,3)</f>
        <v>45817</v>
      </c>
      <c r="H117" s="40" t="n">
        <f aca="false">2/(p_EmaF+1)*E117+(1-2/(p_EmaF+1))*H116</f>
        <v>21.2931047790263</v>
      </c>
      <c r="I117" s="40" t="n">
        <f aca="false">2/(p_EmaS+1)*E117+(1-2/(p_EmaS+1))*I116</f>
        <v>21.8818955638118</v>
      </c>
      <c r="J117" s="41" t="n">
        <f aca="false">2/(p_MacdF+1)*E117+(1-2/(p_MacdF+1))*J116</f>
        <v>21.2634004528602</v>
      </c>
      <c r="K117" s="41" t="n">
        <f aca="false">2/(p_MacdS+1)*E117+(1-2/(p_MacdS+1))*K116</f>
        <v>21.8818955638118</v>
      </c>
      <c r="L117" s="41" t="n">
        <f aca="false">J117-K117</f>
        <v>-0.618495110951578</v>
      </c>
      <c r="M117" s="41" t="n">
        <f aca="false">2/(p_MacdSig+1)*L117+(1-2/(p_MacdSig+1))*M116</f>
        <v>-0.787299157986082</v>
      </c>
      <c r="N117" s="41" t="n">
        <f aca="false">L117-M117</f>
        <v>0.168804047034504</v>
      </c>
      <c r="O117" s="42" t="n">
        <f aca="false">IF(H117&gt;H116,1,0)</f>
        <v>0</v>
      </c>
      <c r="P117" s="42" t="n">
        <f aca="false">IF(H117&lt;H116,1,0)</f>
        <v>1</v>
      </c>
      <c r="Q117" s="42" t="n">
        <f aca="false">IF(N117&gt;N116,1,0)</f>
        <v>0</v>
      </c>
      <c r="R117" s="42" t="n">
        <f aca="false">IF(N117&lt;N116,1,0)</f>
        <v>1</v>
      </c>
      <c r="S117" s="42" t="n">
        <f aca="false">IF(AND(O117=1,Q117=1),1,IF(AND(P117=1,R117=1),-1,0))</f>
        <v>-1</v>
      </c>
      <c r="T117" s="43" t="str">
        <f aca="false">IF(S117=1,"绿",IF(S117=-1,"红","蓝"))</f>
        <v>红</v>
      </c>
      <c r="U117" s="44" t="n">
        <f aca="false">F117*(E117-E116)</f>
        <v>-305927.999999994</v>
      </c>
      <c r="V117" s="44" t="n">
        <f aca="false">2/(p_FiS+1)*U117+(1-2/(p_FiS+1))*V116</f>
        <v>-239955.279443885</v>
      </c>
      <c r="W117" s="44" t="n">
        <f aca="false">2/(p_FiL+1)*U117+(1-2/(p_FiL+1))*W116</f>
        <v>-153329.878339768</v>
      </c>
      <c r="X117" s="41" t="n">
        <f aca="false">MAX(C117-D117,ABS(C117-E116),ABS(D117-E116))</f>
        <v>0.620000000000001</v>
      </c>
      <c r="Y117" s="41" t="n">
        <f aca="true">AVERAGE(OFFSET(X117,1-MIN(p_AtrN,ROW()-4),0,MIN(p_AtrN,ROW()-4),1))</f>
        <v>0.43</v>
      </c>
      <c r="Z117" s="41" t="n">
        <f aca="false">IF(AND(C117-C116&gt;D116-D117,C117-C116&gt;0),C117-C116,0)</f>
        <v>0</v>
      </c>
      <c r="AA117" s="41" t="n">
        <f aca="false">IF(AND(D116-D117&gt;C117-C116,D116-D117&gt;0),D116-D117,0)</f>
        <v>0.260000000000002</v>
      </c>
      <c r="AB117" s="41" t="n">
        <f aca="false">2/(p_AdxN+1)*X117+(1-2/(p_AdxN+1))*AB116</f>
        <v>0.48208749343875</v>
      </c>
      <c r="AC117" s="41" t="n">
        <f aca="false">2/(p_AdxN+1)*Z117+(1-2/(p_AdxN+1))*AC116</f>
        <v>0.0919549675969759</v>
      </c>
      <c r="AD117" s="41" t="n">
        <f aca="false">2/(p_AdxN+1)*AA117+(1-2/(p_AdxN+1))*AD116</f>
        <v>0.122935773292746</v>
      </c>
      <c r="AE117" s="45" t="n">
        <f aca="false">100*AC117/AB117</f>
        <v>19.0743317029565</v>
      </c>
      <c r="AF117" s="45" t="n">
        <f aca="false">100*AD117/AB117</f>
        <v>25.5007182235406</v>
      </c>
      <c r="AG117" s="45" t="n">
        <f aca="false">IFERROR(100*ABS(AE117-AF117)/(AE117+AF117),0)</f>
        <v>14.4170035281644</v>
      </c>
      <c r="AH117" s="45" t="n">
        <f aca="false">2/(p_AdxN+1)*AG117+(1-2/(p_AdxN+1))*AH116</f>
        <v>28.1440473582067</v>
      </c>
      <c r="AI117" s="40" t="n">
        <f aca="false">I117*(1+p_ChPct)</f>
        <v>23.1948092976405</v>
      </c>
      <c r="AJ117" s="40" t="n">
        <f aca="false">I117*(1-p_ChPct)</f>
        <v>20.5689818299831</v>
      </c>
      <c r="AK117" s="40" t="n">
        <f aca="false">I117+1*Y117</f>
        <v>22.3118955638118</v>
      </c>
      <c r="AL117" s="40" t="n">
        <f aca="false">I117+2*Y117</f>
        <v>22.7418955638118</v>
      </c>
      <c r="AM117" s="40" t="n">
        <f aca="false">I117+3*Y117</f>
        <v>23.1718955638118</v>
      </c>
      <c r="AN117" s="40" t="n">
        <f aca="false">I117-1*Y117</f>
        <v>21.4518955638118</v>
      </c>
      <c r="AO117" s="40" t="n">
        <f aca="false">I117-2*Y117</f>
        <v>21.0218955638118</v>
      </c>
      <c r="AP117" s="40" t="n">
        <f aca="false">I117-3*Y117</f>
        <v>20.5918955638118</v>
      </c>
      <c r="AQ117" s="40" t="n">
        <f aca="true">MAX(OFFSET(C117,1-MIN(p_StochN,ROW()-4),0,MIN(p_StochN,ROW()-4),1))</f>
        <v>21.63</v>
      </c>
      <c r="AR117" s="40" t="n">
        <f aca="true">MIN(OFFSET(D117,1-MIN(p_StochN,ROW()-4),0,MIN(p_StochN,ROW()-4),1))</f>
        <v>20.71</v>
      </c>
      <c r="AS117" s="45" t="n">
        <f aca="false">IF(AQ117=AR117,50,100*(E117-AR117)/(AQ117-AR117))</f>
        <v>50.0000000000002</v>
      </c>
      <c r="AT117" s="45" t="n">
        <f aca="true">AVERAGE(OFFSET(AS117,1-MIN(p_StochSm,ROW()-4),0,MIN(p_StochSm,ROW()-4),1))</f>
        <v>67.7890011223345</v>
      </c>
      <c r="AU117" s="45" t="n">
        <f aca="true">AVERAGE(OFFSET(AT117,1-MIN(p_StochSm,ROW()-4),0,MIN(p_StochSm,ROW()-4),1))</f>
        <v>71.174710063599</v>
      </c>
      <c r="AV117" s="41" t="n">
        <f aca="false">MAX(0,H117-D117)</f>
        <v>0.393104779026316</v>
      </c>
      <c r="AW117" s="41" t="n">
        <f aca="true">IF(COUNTIF(OFFSET(AV117,1-MIN(p_PenLb,ROW()-4),0,MIN(p_PenLb,ROW()-4),1),"&gt;0")&gt;0,SUM(OFFSET(AV117,1-MIN(p_PenLb,ROW()-4),0,MIN(p_PenLb,ROW()-4),1))/COUNTIF(OFFSET(AV117,1-MIN(p_PenLb,ROW()-4),0,MIN(p_PenLb,ROW()-4),1),"&gt;0"),0.5*Y117)</f>
        <v>1.0760457292672</v>
      </c>
      <c r="AX117" s="41" t="n">
        <f aca="false">2*H117-H116</f>
        <v>21.2725873158553</v>
      </c>
      <c r="AY117" s="40" t="n">
        <f aca="false">ROUND(MAX(AX117-AW117,0.01),2)</f>
        <v>20.2</v>
      </c>
      <c r="AZ117" s="40" t="n">
        <f aca="true">IF(MIN(p_StopLb,ROW()-4)&lt;2,D117,SMALL(OFFSET(D117,1-MIN(p_StopLb,ROW()-4),0,MIN(p_StopLb,ROW()-4),1),2))</f>
        <v>20.55</v>
      </c>
      <c r="BA117" s="40" t="n">
        <f aca="false">IF(MOD(ROUND(ROUNDDOWN(MIN(AZ117-0.01,AY117-p_StopAtr*Y117),2)*100,0),50)=0,ROUNDDOWN(MIN(AZ117-0.01,AY117-p_StopAtr*Y117),2)-0.01,ROUNDDOWN(MIN(AZ117-0.01,AY117-p_StopAtr*Y117),2))</f>
        <v>19.77</v>
      </c>
      <c r="BB117" s="40" t="n">
        <f aca="false">ROUND(AI117,2)</f>
        <v>23.19</v>
      </c>
      <c r="BC117" s="40" t="n">
        <f aca="false">IF(AY117-BA117&gt;0,(BB117-AY117)/(AY117-BA117),0)</f>
        <v>6.95348837209303</v>
      </c>
      <c r="BD117" s="42" t="n">
        <f aca="false">IF(N117&lt;0,1,0)</f>
        <v>0</v>
      </c>
      <c r="BE117" s="41" t="n">
        <f aca="false">IF(AND(BD117=1,BD116=0),N117,IF(BD117=1,MIN(BE116,N117),BE116))</f>
        <v>-0.392824838841331</v>
      </c>
      <c r="BF117" s="40" t="n">
        <f aca="false">IF(AND(BD117=1,BD116=0),D117,IF(BD117=1,MIN(BF116,D117),BF116))</f>
        <v>20.27</v>
      </c>
      <c r="BG117" s="42" t="n">
        <f aca="false">IF(AND(BD117=1,BD116=0),ROW(),IF(BD117=1,IF(N117&lt;BE116,ROW(),BG116),BG116))</f>
        <v>98</v>
      </c>
      <c r="BH117" s="41" t="n">
        <f aca="false">IF(AND(BD117=1,BD116=0),BE116,BH116)</f>
        <v>-0.267100964273217</v>
      </c>
      <c r="BI117" s="40" t="n">
        <f aca="false">IF(AND(BD117=1,BD116=0),BF116,BI116)</f>
        <v>23.24</v>
      </c>
      <c r="BJ117" s="42" t="n">
        <f aca="false">IF(AND(BD117=1,BD116=0),BG116,BJ116)</f>
        <v>52</v>
      </c>
      <c r="BK117" s="42" t="n">
        <f aca="false">IF(AND(ISNUMBER(BG117),ISNUMBER(BJ117)),BG117-BJ117,"")</f>
        <v>46</v>
      </c>
      <c r="BL117" s="42" t="n">
        <f aca="false">IF(AND(BD117=1,N117&gt;N116,ISNUMBER(BH117),ISNUMBER(BK117)),IF(AND(BE117&gt;BH117,BF117&lt;BI117,BK117&gt;=p_GapMin,BK117&lt;=p_GapMax),1,0),0)</f>
        <v>0</v>
      </c>
      <c r="BM117" s="42" t="n">
        <f aca="false">IF(AND(BL117=1,E117&gt;BI117),1,0)</f>
        <v>0</v>
      </c>
      <c r="BN117" s="42" t="n">
        <f aca="false">IF(BL117=1,IF(BE117&gt;=BH117*0.5,1,0),0)</f>
        <v>0</v>
      </c>
      <c r="BO117" s="42" t="n">
        <f aca="true">IF(V117&gt;MIN(OFFSET(V117,-MIN(p_FiLb-1,ROW()-5),0,MIN(p_FiLb-1,ROW()-5),1)),1,0)</f>
        <v>1</v>
      </c>
      <c r="BP117" s="44" t="n">
        <f aca="true">IF(COUNTIF(OFFSET(V117,1-MIN(100,ROW()-4),0,MIN(100,ROW()-4),1),"&lt;0")&gt;=5,AVERAGEIF(OFFSET(V117,1-MIN(100,ROW()-4),0,MIN(100,ROW()-4),1),"&lt;0"),"")</f>
        <v>-905457.17884579</v>
      </c>
      <c r="BQ117" s="42" t="n">
        <f aca="false">IF(ISNUMBER(BP117),IF(AND(V117&lt;5*BP117,V117&gt;V116,E117&lt;AJ117),1,0),0)</f>
        <v>0</v>
      </c>
      <c r="BR117" s="44" t="n">
        <f aca="true">AVERAGE(OFFSET(F117,1-MIN(5,ROW()-4),0,MIN(5,ROW()-4),1))</f>
        <v>3354340</v>
      </c>
      <c r="BS117" s="42" t="n">
        <f aca="false">IFERROR(IF(MATCH(G117,周线!$A$5:$A$84,0)&lt;=1,"",INDEX(周线!$R$5:$R$84,MATCH(G117,周线!$A$5:$A$84,0)-1)),"")</f>
        <v>0</v>
      </c>
      <c r="BT117" s="42" t="n">
        <f aca="false">IFERROR(IF(MATCH(G117,周线!$A$5:$A$84,0)&lt;=1,"",INDEX(周线!$S$5:$S$84,MATCH(G117,周线!$A$5:$A$84,0)-1)),"")</f>
        <v>0</v>
      </c>
      <c r="BU117" s="42" t="n">
        <f aca="false">IFERROR(IF(MATCH(G117,周线!$A$5:$A$84,0)&lt;=1,"",INDEX(周线!$U$5:$U$84,MATCH(G117,周线!$A$5:$A$84,0)-1)),"")</f>
        <v>-1</v>
      </c>
      <c r="BV117" s="42" t="n">
        <f aca="false">IF(AND(BS117=1,S117&lt;&gt;-1,V117&lt;0,BO117=1,E117&lt;=H117,E117&gt;=AJ117),1,0)</f>
        <v>0</v>
      </c>
      <c r="BW117" s="42" t="n">
        <f aca="false">BL117</f>
        <v>0</v>
      </c>
      <c r="BX117" s="42" t="n">
        <f aca="false">BQ117</f>
        <v>0</v>
      </c>
      <c r="BY117" s="42" t="n">
        <f aca="false">IF(BS117=1,10,0)+IF(BU117=1,5,IF(BU117=-1,0,3))+IF(BT117=1,5,0)+IF(AND(AE117&gt;AF117,AH117&gt;AH116),5,0)</f>
        <v>0</v>
      </c>
      <c r="BZ117" s="42" t="n">
        <f aca="false">IF(AND(E117&lt;=H117,E117&gt;=I117),10,IF(AND(E117&gt;=AJ117,E117&lt;I117),6,0))+IF(AND(V117&lt;0,BO117=1),8,0)+IF(AT117&lt;30,7,IF(AT117&lt;50,3,0))</f>
        <v>14</v>
      </c>
      <c r="CA117" s="42" t="n">
        <f aca="false">IF(AND(BV117=1,BW117=1),25,IF(BW117=1,22,IF(BV117=1,15,IF(BX117=1,12,0))))</f>
        <v>0</v>
      </c>
      <c r="CB117" s="42" t="n">
        <f aca="false">IF(W117&gt;0,6,0)+IF(F117&lt;BR117,4,0)</f>
        <v>4</v>
      </c>
      <c r="CC117" s="42" t="n">
        <f aca="false">IF(BC117&gt;=3,15,IF(BC117&gt;=p_RRmin,10,IF(BC117&gt;=1.5,4,0)))</f>
        <v>15</v>
      </c>
      <c r="CD117" s="42" t="n">
        <f aca="false">BY117+BZ117+CA117+CB117+CC117</f>
        <v>33</v>
      </c>
      <c r="CE117" s="42" t="n">
        <f aca="false">IF(AND(BS117&lt;&gt;1,BW117+BX117=0),1,0)</f>
        <v>1</v>
      </c>
      <c r="CF117" s="42" t="n">
        <f aca="false">IF(BU117=-1,1,0)</f>
        <v>1</v>
      </c>
      <c r="CG117" s="42" t="n">
        <f aca="false">IF(S117=-1,1,0)</f>
        <v>1</v>
      </c>
      <c r="CH117" s="42" t="n">
        <f aca="false">IF(BV117+BW117+BX117=0,1,0)</f>
        <v>1</v>
      </c>
      <c r="CI117" s="42" t="n">
        <f aca="false">IF(BC117&lt;p_RRmin,1,0)</f>
        <v>0</v>
      </c>
      <c r="CJ117" s="46" t="str">
        <f aca="false">IF(SUM(CE117:CI117)=0,IF(CD117&gt;=p_GradeA,"A",IF(CD117&gt;=p_GradeB,"B","C")),IF(AND(CI117=1,SUM(CE117:CH117)=0,CD117&gt;=p_GradeB),"B","C"))</f>
        <v>C</v>
      </c>
    </row>
    <row r="118" customFormat="false" ht="15" hidden="false" customHeight="false" outlineLevel="0" collapsed="false">
      <c r="A118" s="36" t="n">
        <v>45818</v>
      </c>
      <c r="B118" s="37" t="n">
        <v>21.22</v>
      </c>
      <c r="C118" s="37" t="n">
        <v>21.3</v>
      </c>
      <c r="D118" s="37" t="n">
        <v>21.02</v>
      </c>
      <c r="E118" s="37" t="n">
        <v>21.23</v>
      </c>
      <c r="F118" s="38" t="n">
        <v>2743600</v>
      </c>
      <c r="G118" s="39" t="n">
        <f aca="false">A118-WEEKDAY(A118,3)</f>
        <v>45817</v>
      </c>
      <c r="H118" s="40" t="n">
        <f aca="false">2/(p_EmaF+1)*E118+(1-2/(p_EmaF+1))*H117</f>
        <v>21.284089810594</v>
      </c>
      <c r="I118" s="40" t="n">
        <f aca="false">2/(p_EmaS+1)*E118+(1-2/(p_EmaS+1))*I117</f>
        <v>21.8336070035295</v>
      </c>
      <c r="J118" s="41" t="n">
        <f aca="false">2/(p_MacdF+1)*E118+(1-2/(p_MacdF+1))*J117</f>
        <v>21.258261921651</v>
      </c>
      <c r="K118" s="41" t="n">
        <f aca="false">2/(p_MacdS+1)*E118+(1-2/(p_MacdS+1))*K117</f>
        <v>21.8336070035295</v>
      </c>
      <c r="L118" s="41" t="n">
        <f aca="false">J118-K118</f>
        <v>-0.575345081878492</v>
      </c>
      <c r="M118" s="41" t="n">
        <f aca="false">2/(p_MacdSig+1)*L118+(1-2/(p_MacdSig+1))*M117</f>
        <v>-0.744908342764564</v>
      </c>
      <c r="N118" s="41" t="n">
        <f aca="false">L118-M118</f>
        <v>0.169563260886072</v>
      </c>
      <c r="O118" s="42" t="n">
        <f aca="false">IF(H118&gt;H117,1,0)</f>
        <v>0</v>
      </c>
      <c r="P118" s="42" t="n">
        <f aca="false">IF(H118&lt;H117,1,0)</f>
        <v>1</v>
      </c>
      <c r="Q118" s="42" t="n">
        <f aca="false">IF(N118&gt;N117,1,0)</f>
        <v>1</v>
      </c>
      <c r="R118" s="42" t="n">
        <f aca="false">IF(N118&lt;N117,1,0)</f>
        <v>0</v>
      </c>
      <c r="S118" s="42" t="n">
        <f aca="false">IF(AND(O118=1,Q118=1),1,IF(AND(P118=1,R118=1),-1,0))</f>
        <v>0</v>
      </c>
      <c r="T118" s="43" t="str">
        <f aca="false">IF(S118=1,"绿",IF(S118=-1,"红","蓝"))</f>
        <v>蓝</v>
      </c>
      <c r="U118" s="44" t="n">
        <f aca="false">F118*(E118-E117)</f>
        <v>164615.999999996</v>
      </c>
      <c r="V118" s="44" t="n">
        <f aca="false">2/(p_FiS+1)*U118+(1-2/(p_FiS+1))*V117</f>
        <v>29758.9068520359</v>
      </c>
      <c r="W118" s="44" t="n">
        <f aca="false">2/(p_FiL+1)*U118+(1-2/(p_FiL+1))*W117</f>
        <v>-107909.038576944</v>
      </c>
      <c r="X118" s="41" t="n">
        <f aca="false">MAX(C118-D118,ABS(C118-E117),ABS(D118-E117))</f>
        <v>0.280000000000001</v>
      </c>
      <c r="Y118" s="41" t="n">
        <f aca="true">AVERAGE(OFFSET(X118,1-MIN(p_AtrN,ROW()-4),0,MIN(p_AtrN,ROW()-4),1))</f>
        <v>0.410769230769231</v>
      </c>
      <c r="Z118" s="41" t="n">
        <f aca="false">IF(AND(C118-C117&gt;D117-D118,C118-C117&gt;0),C118-C117,0)</f>
        <v>0</v>
      </c>
      <c r="AA118" s="41" t="n">
        <f aca="false">IF(AND(D117-D118&gt;C118-C117,D117-D118&gt;0),D117-D118,0)</f>
        <v>0</v>
      </c>
      <c r="AB118" s="41" t="n">
        <f aca="false">2/(p_AdxN+1)*X118+(1-2/(p_AdxN+1))*AB117</f>
        <v>0.453217851518929</v>
      </c>
      <c r="AC118" s="41" t="n">
        <f aca="false">2/(p_AdxN+1)*Z118+(1-2/(p_AdxN+1))*AC117</f>
        <v>0.0788185436545508</v>
      </c>
      <c r="AD118" s="41" t="n">
        <f aca="false">2/(p_AdxN+1)*AA118+(1-2/(p_AdxN+1))*AD117</f>
        <v>0.105373519965211</v>
      </c>
      <c r="AE118" s="45" t="n">
        <f aca="false">100*AC118/AB118</f>
        <v>17.3908735921138</v>
      </c>
      <c r="AF118" s="45" t="n">
        <f aca="false">100*AD118/AB118</f>
        <v>23.2500815252661</v>
      </c>
      <c r="AG118" s="45" t="n">
        <f aca="false">IFERROR(100*ABS(AE118-AF118)/(AE118+AF118),0)</f>
        <v>14.4170035281644</v>
      </c>
      <c r="AH118" s="45" t="n">
        <f aca="false">2/(p_AdxN+1)*AG118+(1-2/(p_AdxN+1))*AH117</f>
        <v>26.1830410967721</v>
      </c>
      <c r="AI118" s="40" t="n">
        <f aca="false">I118*(1+p_ChPct)</f>
        <v>23.1436234237412</v>
      </c>
      <c r="AJ118" s="40" t="n">
        <f aca="false">I118*(1-p_ChPct)</f>
        <v>20.5235905833177</v>
      </c>
      <c r="AK118" s="40" t="n">
        <f aca="false">I118+1*Y118</f>
        <v>22.2443762342987</v>
      </c>
      <c r="AL118" s="40" t="n">
        <f aca="false">I118+2*Y118</f>
        <v>22.6551454650679</v>
      </c>
      <c r="AM118" s="40" t="n">
        <f aca="false">I118+3*Y118</f>
        <v>23.0659146958371</v>
      </c>
      <c r="AN118" s="40" t="n">
        <f aca="false">I118-1*Y118</f>
        <v>21.4228377727602</v>
      </c>
      <c r="AO118" s="40" t="n">
        <f aca="false">I118-2*Y118</f>
        <v>21.012068541991</v>
      </c>
      <c r="AP118" s="40" t="n">
        <f aca="false">I118-3*Y118</f>
        <v>20.6012993112218</v>
      </c>
      <c r="AQ118" s="40" t="n">
        <f aca="true">MAX(OFFSET(C118,1-MIN(p_StochN,ROW()-4),0,MIN(p_StochN,ROW()-4),1))</f>
        <v>21.63</v>
      </c>
      <c r="AR118" s="40" t="n">
        <f aca="true">MIN(OFFSET(D118,1-MIN(p_StochN,ROW()-4),0,MIN(p_StochN,ROW()-4),1))</f>
        <v>20.9</v>
      </c>
      <c r="AS118" s="45" t="n">
        <f aca="false">IF(AQ118=AR118,50,100*(E118-AR118)/(AQ118-AR118))</f>
        <v>45.205479452055</v>
      </c>
      <c r="AT118" s="45" t="n">
        <f aca="true">AVERAGE(OFFSET(AS118,1-MIN(p_StochSm,ROW()-4),0,MIN(p_StochSm,ROW()-4),1))</f>
        <v>54.5746659901912</v>
      </c>
      <c r="AU118" s="45" t="n">
        <f aca="true">AVERAGE(OFFSET(AT118,1-MIN(p_StochSm,ROW()-4),0,MIN(p_StochSm,ROW()-4),1))</f>
        <v>66.2461756069063</v>
      </c>
      <c r="AV118" s="41" t="n">
        <f aca="false">MAX(0,H118-D118)</f>
        <v>0.264089810593987</v>
      </c>
      <c r="AW118" s="41" t="n">
        <f aca="true">IF(COUNTIF(OFFSET(AV118,1-MIN(p_PenLb,ROW()-4),0,MIN(p_PenLb,ROW()-4),1),"&gt;0")&gt;0,SUM(OFFSET(AV118,1-MIN(p_PenLb,ROW()-4),0,MIN(p_PenLb,ROW()-4),1))/COUNTIF(OFFSET(AV118,1-MIN(p_PenLb,ROW()-4),0,MIN(p_PenLb,ROW()-4),1),"&gt;0"),0.5*Y118)</f>
        <v>1.05780110127664</v>
      </c>
      <c r="AX118" s="41" t="n">
        <f aca="false">2*H118-H117</f>
        <v>21.2750748421617</v>
      </c>
      <c r="AY118" s="40" t="n">
        <f aca="false">ROUND(MAX(AX118-AW118,0.01),2)</f>
        <v>20.22</v>
      </c>
      <c r="AZ118" s="40" t="n">
        <f aca="true">IF(MIN(p_StopLb,ROW()-4)&lt;2,D118,SMALL(OFFSET(D118,1-MIN(p_StopLb,ROW()-4),0,MIN(p_StopLb,ROW()-4),1),2))</f>
        <v>20.71</v>
      </c>
      <c r="BA118" s="40" t="n">
        <f aca="false">IF(MOD(ROUND(ROUNDDOWN(MIN(AZ118-0.01,AY118-p_StopAtr*Y118),2)*100,0),50)=0,ROUNDDOWN(MIN(AZ118-0.01,AY118-p_StopAtr*Y118),2)-0.01,ROUNDDOWN(MIN(AZ118-0.01,AY118-p_StopAtr*Y118),2))</f>
        <v>19.8</v>
      </c>
      <c r="BB118" s="40" t="n">
        <f aca="false">ROUND(AI118,2)</f>
        <v>23.14</v>
      </c>
      <c r="BC118" s="40" t="n">
        <f aca="false">IF(AY118-BA118&gt;0,(BB118-AY118)/(AY118-BA118),0)</f>
        <v>6.95238095238099</v>
      </c>
      <c r="BD118" s="42" t="n">
        <f aca="false">IF(N118&lt;0,1,0)</f>
        <v>0</v>
      </c>
      <c r="BE118" s="41" t="n">
        <f aca="false">IF(AND(BD118=1,BD117=0),N118,IF(BD118=1,MIN(BE117,N118),BE117))</f>
        <v>-0.392824838841331</v>
      </c>
      <c r="BF118" s="40" t="n">
        <f aca="false">IF(AND(BD118=1,BD117=0),D118,IF(BD118=1,MIN(BF117,D118),BF117))</f>
        <v>20.27</v>
      </c>
      <c r="BG118" s="42" t="n">
        <f aca="false">IF(AND(BD118=1,BD117=0),ROW(),IF(BD118=1,IF(N118&lt;BE117,ROW(),BG117),BG117))</f>
        <v>98</v>
      </c>
      <c r="BH118" s="41" t="n">
        <f aca="false">IF(AND(BD118=1,BD117=0),BE117,BH117)</f>
        <v>-0.267100964273217</v>
      </c>
      <c r="BI118" s="40" t="n">
        <f aca="false">IF(AND(BD118=1,BD117=0),BF117,BI117)</f>
        <v>23.24</v>
      </c>
      <c r="BJ118" s="42" t="n">
        <f aca="false">IF(AND(BD118=1,BD117=0),BG117,BJ117)</f>
        <v>52</v>
      </c>
      <c r="BK118" s="42" t="n">
        <f aca="false">IF(AND(ISNUMBER(BG118),ISNUMBER(BJ118)),BG118-BJ118,"")</f>
        <v>46</v>
      </c>
      <c r="BL118" s="42" t="n">
        <f aca="false">IF(AND(BD118=1,N118&gt;N117,ISNUMBER(BH118),ISNUMBER(BK118)),IF(AND(BE118&gt;BH118,BF118&lt;BI118,BK118&gt;=p_GapMin,BK118&lt;=p_GapMax),1,0),0)</f>
        <v>0</v>
      </c>
      <c r="BM118" s="42" t="n">
        <f aca="false">IF(AND(BL118=1,E118&gt;BI118),1,0)</f>
        <v>0</v>
      </c>
      <c r="BN118" s="42" t="n">
        <f aca="false">IF(BL118=1,IF(BE118&gt;=BH118*0.5,1,0),0)</f>
        <v>0</v>
      </c>
      <c r="BO118" s="42" t="n">
        <f aca="true">IF(V118&gt;MIN(OFFSET(V118,-MIN(p_FiLb-1,ROW()-5),0,MIN(p_FiLb-1,ROW()-5),1)),1,0)</f>
        <v>1</v>
      </c>
      <c r="BP118" s="44" t="n">
        <f aca="true">IF(COUNTIF(OFFSET(V118,1-MIN(100,ROW()-4),0,MIN(100,ROW()-4),1),"&lt;0")&gt;=5,AVERAGEIF(OFFSET(V118,1-MIN(100,ROW()-4),0,MIN(100,ROW()-4),1),"&lt;0"),"")</f>
        <v>-905457.17884579</v>
      </c>
      <c r="BQ118" s="42" t="n">
        <f aca="false">IF(ISNUMBER(BP118),IF(AND(V118&lt;5*BP118,V118&gt;V117,E118&lt;AJ118),1,0),0)</f>
        <v>0</v>
      </c>
      <c r="BR118" s="44" t="n">
        <f aca="true">AVERAGE(OFFSET(F118,1-MIN(5,ROW()-4),0,MIN(5,ROW()-4),1))</f>
        <v>3375880</v>
      </c>
      <c r="BS118" s="42" t="n">
        <f aca="false">IFERROR(IF(MATCH(G118,周线!$A$5:$A$84,0)&lt;=1,"",INDEX(周线!$R$5:$R$84,MATCH(G118,周线!$A$5:$A$84,0)-1)),"")</f>
        <v>0</v>
      </c>
      <c r="BT118" s="42" t="n">
        <f aca="false">IFERROR(IF(MATCH(G118,周线!$A$5:$A$84,0)&lt;=1,"",INDEX(周线!$S$5:$S$84,MATCH(G118,周线!$A$5:$A$84,0)-1)),"")</f>
        <v>0</v>
      </c>
      <c r="BU118" s="42" t="n">
        <f aca="false">IFERROR(IF(MATCH(G118,周线!$A$5:$A$84,0)&lt;=1,"",INDEX(周线!$U$5:$U$84,MATCH(G118,周线!$A$5:$A$84,0)-1)),"")</f>
        <v>-1</v>
      </c>
      <c r="BV118" s="42" t="n">
        <f aca="false">IF(AND(BS118=1,S118&lt;&gt;-1,V118&lt;0,BO118=1,E118&lt;=H118,E118&gt;=AJ118),1,0)</f>
        <v>0</v>
      </c>
      <c r="BW118" s="42" t="n">
        <f aca="false">BL118</f>
        <v>0</v>
      </c>
      <c r="BX118" s="42" t="n">
        <f aca="false">BQ118</f>
        <v>0</v>
      </c>
      <c r="BY118" s="42" t="n">
        <f aca="false">IF(BS118=1,10,0)+IF(BU118=1,5,IF(BU118=-1,0,3))+IF(BT118=1,5,0)+IF(AND(AE118&gt;AF118,AH118&gt;AH117),5,0)</f>
        <v>0</v>
      </c>
      <c r="BZ118" s="42" t="n">
        <f aca="false">IF(AND(E118&lt;=H118,E118&gt;=I118),10,IF(AND(E118&gt;=AJ118,E118&lt;I118),6,0))+IF(AND(V118&lt;0,BO118=1),8,0)+IF(AT118&lt;30,7,IF(AT118&lt;50,3,0))</f>
        <v>6</v>
      </c>
      <c r="CA118" s="42" t="n">
        <f aca="false">IF(AND(BV118=1,BW118=1),25,IF(BW118=1,22,IF(BV118=1,15,IF(BX118=1,12,0))))</f>
        <v>0</v>
      </c>
      <c r="CB118" s="42" t="n">
        <f aca="false">IF(W118&gt;0,6,0)+IF(F118&lt;BR118,4,0)</f>
        <v>4</v>
      </c>
      <c r="CC118" s="42" t="n">
        <f aca="false">IF(BC118&gt;=3,15,IF(BC118&gt;=p_RRmin,10,IF(BC118&gt;=1.5,4,0)))</f>
        <v>15</v>
      </c>
      <c r="CD118" s="42" t="n">
        <f aca="false">BY118+BZ118+CA118+CB118+CC118</f>
        <v>25</v>
      </c>
      <c r="CE118" s="42" t="n">
        <f aca="false">IF(AND(BS118&lt;&gt;1,BW118+BX118=0),1,0)</f>
        <v>1</v>
      </c>
      <c r="CF118" s="42" t="n">
        <f aca="false">IF(BU118=-1,1,0)</f>
        <v>1</v>
      </c>
      <c r="CG118" s="42" t="n">
        <f aca="false">IF(S118=-1,1,0)</f>
        <v>0</v>
      </c>
      <c r="CH118" s="42" t="n">
        <f aca="false">IF(BV118+BW118+BX118=0,1,0)</f>
        <v>1</v>
      </c>
      <c r="CI118" s="42" t="n">
        <f aca="false">IF(BC118&lt;p_RRmin,1,0)</f>
        <v>0</v>
      </c>
      <c r="CJ118" s="46" t="str">
        <f aca="false">IF(SUM(CE118:CI118)=0,IF(CD118&gt;=p_GradeA,"A",IF(CD118&gt;=p_GradeB,"B","C")),IF(AND(CI118=1,SUM(CE118:CH118)=0,CD118&gt;=p_GradeB),"B","C"))</f>
        <v>C</v>
      </c>
    </row>
    <row r="119" customFormat="false" ht="15" hidden="false" customHeight="false" outlineLevel="0" collapsed="false">
      <c r="A119" s="36" t="n">
        <v>45819</v>
      </c>
      <c r="B119" s="37" t="n">
        <v>21.16</v>
      </c>
      <c r="C119" s="37" t="n">
        <v>21.24</v>
      </c>
      <c r="D119" s="37" t="n">
        <v>20.98</v>
      </c>
      <c r="E119" s="37" t="n">
        <v>21.07</v>
      </c>
      <c r="F119" s="38" t="n">
        <v>3081700</v>
      </c>
      <c r="G119" s="39" t="n">
        <f aca="false">A119-WEEKDAY(A119,3)</f>
        <v>45817</v>
      </c>
      <c r="H119" s="40" t="n">
        <f aca="false">2/(p_EmaF+1)*E119+(1-2/(p_EmaF+1))*H118</f>
        <v>21.2535055519377</v>
      </c>
      <c r="I119" s="40" t="n">
        <f aca="false">2/(p_EmaS+1)*E119+(1-2/(p_EmaS+1))*I118</f>
        <v>21.7770435217865</v>
      </c>
      <c r="J119" s="41" t="n">
        <f aca="false">2/(p_MacdF+1)*E119+(1-2/(p_MacdF+1))*J118</f>
        <v>21.2292985490893</v>
      </c>
      <c r="K119" s="41" t="n">
        <f aca="false">2/(p_MacdS+1)*E119+(1-2/(p_MacdS+1))*K118</f>
        <v>21.7770435217865</v>
      </c>
      <c r="L119" s="41" t="n">
        <f aca="false">J119-K119</f>
        <v>-0.547744972697256</v>
      </c>
      <c r="M119" s="41" t="n">
        <f aca="false">2/(p_MacdSig+1)*L119+(1-2/(p_MacdSig+1))*M118</f>
        <v>-0.705475668751102</v>
      </c>
      <c r="N119" s="41" t="n">
        <f aca="false">L119-M119</f>
        <v>0.157730696053846</v>
      </c>
      <c r="O119" s="42" t="n">
        <f aca="false">IF(H119&gt;H118,1,0)</f>
        <v>0</v>
      </c>
      <c r="P119" s="42" t="n">
        <f aca="false">IF(H119&lt;H118,1,0)</f>
        <v>1</v>
      </c>
      <c r="Q119" s="42" t="n">
        <f aca="false">IF(N119&gt;N118,1,0)</f>
        <v>0</v>
      </c>
      <c r="R119" s="42" t="n">
        <f aca="false">IF(N119&lt;N118,1,0)</f>
        <v>1</v>
      </c>
      <c r="S119" s="42" t="n">
        <f aca="false">IF(AND(O119=1,Q119=1),1,IF(AND(P119=1,R119=1),-1,0))</f>
        <v>-1</v>
      </c>
      <c r="T119" s="43" t="str">
        <f aca="false">IF(S119=1,"绿",IF(S119=-1,"红","蓝"))</f>
        <v>红</v>
      </c>
      <c r="U119" s="44" t="n">
        <f aca="false">F119*(E119-E118)</f>
        <v>-493072</v>
      </c>
      <c r="V119" s="44" t="n">
        <f aca="false">2/(p_FiS+1)*U119+(1-2/(p_FiS+1))*V118</f>
        <v>-318795.031049322</v>
      </c>
      <c r="W119" s="44" t="n">
        <f aca="false">2/(p_FiL+1)*U119+(1-2/(p_FiL+1))*W118</f>
        <v>-162932.318780238</v>
      </c>
      <c r="X119" s="41" t="n">
        <f aca="false">MAX(C119-D119,ABS(C119-E118),ABS(D119-E118))</f>
        <v>0.259999999999998</v>
      </c>
      <c r="Y119" s="41" t="n">
        <f aca="true">AVERAGE(OFFSET(X119,1-MIN(p_AtrN,ROW()-4),0,MIN(p_AtrN,ROW()-4),1))</f>
        <v>0.414615384615384</v>
      </c>
      <c r="Z119" s="41" t="n">
        <f aca="false">IF(AND(C119-C118&gt;D118-D119,C119-C118&gt;0),C119-C118,0)</f>
        <v>0</v>
      </c>
      <c r="AA119" s="41" t="n">
        <f aca="false">IF(AND(D118-D119&gt;C119-C118,D118-D119&gt;0),D118-D119,0)</f>
        <v>0.0399999999999992</v>
      </c>
      <c r="AB119" s="41" t="n">
        <f aca="false">2/(p_AdxN+1)*X119+(1-2/(p_AdxN+1))*AB118</f>
        <v>0.425615301301939</v>
      </c>
      <c r="AC119" s="41" t="n">
        <f aca="false">2/(p_AdxN+1)*Z119+(1-2/(p_AdxN+1))*AC118</f>
        <v>0.0675587517039007</v>
      </c>
      <c r="AD119" s="41" t="n">
        <f aca="false">2/(p_AdxN+1)*AA119+(1-2/(p_AdxN+1))*AD118</f>
        <v>0.096034445684466</v>
      </c>
      <c r="AE119" s="45" t="n">
        <f aca="false">100*AC119/AB119</f>
        <v>15.8731961696963</v>
      </c>
      <c r="AF119" s="45" t="n">
        <f aca="false">100*AD119/AB119</f>
        <v>22.5636732022324</v>
      </c>
      <c r="AG119" s="45" t="n">
        <f aca="false">IFERROR(100*ABS(AE119-AF119)/(AE119+AF119),0)</f>
        <v>17.4064046886771</v>
      </c>
      <c r="AH119" s="45" t="n">
        <f aca="false">2/(p_AdxN+1)*AG119+(1-2/(p_AdxN+1))*AH118</f>
        <v>24.9292358956156</v>
      </c>
      <c r="AI119" s="40" t="n">
        <f aca="false">I119*(1+p_ChPct)</f>
        <v>23.0836661330937</v>
      </c>
      <c r="AJ119" s="40" t="n">
        <f aca="false">I119*(1-p_ChPct)</f>
        <v>20.4704209104793</v>
      </c>
      <c r="AK119" s="40" t="n">
        <f aca="false">I119+1*Y119</f>
        <v>22.1916589064019</v>
      </c>
      <c r="AL119" s="40" t="n">
        <f aca="false">I119+2*Y119</f>
        <v>22.6062742910173</v>
      </c>
      <c r="AM119" s="40" t="n">
        <f aca="false">I119+3*Y119</f>
        <v>23.0208896756327</v>
      </c>
      <c r="AN119" s="40" t="n">
        <f aca="false">I119-1*Y119</f>
        <v>21.3624281371711</v>
      </c>
      <c r="AO119" s="40" t="n">
        <f aca="false">I119-2*Y119</f>
        <v>20.9478127525558</v>
      </c>
      <c r="AP119" s="40" t="n">
        <f aca="false">I119-3*Y119</f>
        <v>20.5331973679404</v>
      </c>
      <c r="AQ119" s="40" t="n">
        <f aca="true">MAX(OFFSET(C119,1-MIN(p_StochN,ROW()-4),0,MIN(p_StochN,ROW()-4),1))</f>
        <v>21.63</v>
      </c>
      <c r="AR119" s="40" t="n">
        <f aca="true">MIN(OFFSET(D119,1-MIN(p_StochN,ROW()-4),0,MIN(p_StochN,ROW()-4),1))</f>
        <v>20.9</v>
      </c>
      <c r="AS119" s="45" t="n">
        <f aca="false">IF(AQ119=AR119,50,100*(E119-AR119)/(AQ119-AR119))</f>
        <v>23.2876712328769</v>
      </c>
      <c r="AT119" s="45" t="n">
        <f aca="true">AVERAGE(OFFSET(AS119,1-MIN(p_StochSm,ROW()-4),0,MIN(p_StochSm,ROW()-4),1))</f>
        <v>39.4977168949774</v>
      </c>
      <c r="AU119" s="45" t="n">
        <f aca="true">AVERAGE(OFFSET(AT119,1-MIN(p_StochSm,ROW()-4),0,MIN(p_StochSm,ROW()-4),1))</f>
        <v>53.9537946691677</v>
      </c>
      <c r="AV119" s="41" t="n">
        <f aca="false">MAX(0,H119-D119)</f>
        <v>0.273505551937706</v>
      </c>
      <c r="AW119" s="41" t="n">
        <f aca="true">IF(COUNTIF(OFFSET(AV119,1-MIN(p_PenLb,ROW()-4),0,MIN(p_PenLb,ROW()-4),1),"&gt;0")&gt;0,SUM(OFFSET(AV119,1-MIN(p_PenLb,ROW()-4),0,MIN(p_PenLb,ROW()-4),1))/COUNTIF(OFFSET(AV119,1-MIN(p_PenLb,ROW()-4),0,MIN(p_PenLb,ROW()-4),1),"&gt;0"),0.5*Y119)</f>
        <v>1.04173427728474</v>
      </c>
      <c r="AX119" s="41" t="n">
        <f aca="false">2*H119-H118</f>
        <v>21.2229212932814</v>
      </c>
      <c r="AY119" s="40" t="n">
        <f aca="false">ROUND(MAX(AX119-AW119,0.01),2)</f>
        <v>20.18</v>
      </c>
      <c r="AZ119" s="40" t="n">
        <f aca="true">IF(MIN(p_StopLb,ROW()-4)&lt;2,D119,SMALL(OFFSET(D119,1-MIN(p_StopLb,ROW()-4),0,MIN(p_StopLb,ROW()-4),1),2))</f>
        <v>20.71</v>
      </c>
      <c r="BA119" s="40" t="n">
        <f aca="false">IF(MOD(ROUND(ROUNDDOWN(MIN(AZ119-0.01,AY119-p_StopAtr*Y119),2)*100,0),50)=0,ROUNDDOWN(MIN(AZ119-0.01,AY119-p_StopAtr*Y119),2)-0.01,ROUNDDOWN(MIN(AZ119-0.01,AY119-p_StopAtr*Y119),2))</f>
        <v>19.76</v>
      </c>
      <c r="BB119" s="40" t="n">
        <f aca="false">ROUND(AI119,2)</f>
        <v>23.08</v>
      </c>
      <c r="BC119" s="40" t="n">
        <f aca="false">IF(AY119-BA119&gt;0,(BB119-AY119)/(AY119-BA119),0)</f>
        <v>6.90476190476193</v>
      </c>
      <c r="BD119" s="42" t="n">
        <f aca="false">IF(N119&lt;0,1,0)</f>
        <v>0</v>
      </c>
      <c r="BE119" s="41" t="n">
        <f aca="false">IF(AND(BD119=1,BD118=0),N119,IF(BD119=1,MIN(BE118,N119),BE118))</f>
        <v>-0.392824838841331</v>
      </c>
      <c r="BF119" s="40" t="n">
        <f aca="false">IF(AND(BD119=1,BD118=0),D119,IF(BD119=1,MIN(BF118,D119),BF118))</f>
        <v>20.27</v>
      </c>
      <c r="BG119" s="42" t="n">
        <f aca="false">IF(AND(BD119=1,BD118=0),ROW(),IF(BD119=1,IF(N119&lt;BE118,ROW(),BG118),BG118))</f>
        <v>98</v>
      </c>
      <c r="BH119" s="41" t="n">
        <f aca="false">IF(AND(BD119=1,BD118=0),BE118,BH118)</f>
        <v>-0.267100964273217</v>
      </c>
      <c r="BI119" s="40" t="n">
        <f aca="false">IF(AND(BD119=1,BD118=0),BF118,BI118)</f>
        <v>23.24</v>
      </c>
      <c r="BJ119" s="42" t="n">
        <f aca="false">IF(AND(BD119=1,BD118=0),BG118,BJ118)</f>
        <v>52</v>
      </c>
      <c r="BK119" s="42" t="n">
        <f aca="false">IF(AND(ISNUMBER(BG119),ISNUMBER(BJ119)),BG119-BJ119,"")</f>
        <v>46</v>
      </c>
      <c r="BL119" s="42" t="n">
        <f aca="false">IF(AND(BD119=1,N119&gt;N118,ISNUMBER(BH119),ISNUMBER(BK119)),IF(AND(BE119&gt;BH119,BF119&lt;BI119,BK119&gt;=p_GapMin,BK119&lt;=p_GapMax),1,0),0)</f>
        <v>0</v>
      </c>
      <c r="BM119" s="42" t="n">
        <f aca="false">IF(AND(BL119=1,E119&gt;BI119),1,0)</f>
        <v>0</v>
      </c>
      <c r="BN119" s="42" t="n">
        <f aca="false">IF(BL119=1,IF(BE119&gt;=BH119*0.5,1,0),0)</f>
        <v>0</v>
      </c>
      <c r="BO119" s="42" t="n">
        <f aca="true">IF(V119&gt;MIN(OFFSET(V119,-MIN(p_FiLb-1,ROW()-5),0,MIN(p_FiLb-1,ROW()-5),1)),1,0)</f>
        <v>1</v>
      </c>
      <c r="BP119" s="44" t="n">
        <f aca="true">IF(COUNTIF(OFFSET(V119,1-MIN(100,ROW()-4),0,MIN(100,ROW()-4),1),"&lt;0")&gt;=5,AVERAGEIF(OFFSET(V119,1-MIN(100,ROW()-4),0,MIN(100,ROW()-4),1),"&lt;0"),"")</f>
        <v>-893953.999477232</v>
      </c>
      <c r="BQ119" s="42" t="n">
        <f aca="false">IF(ISNUMBER(BP119),IF(AND(V119&lt;5*BP119,V119&gt;V118,E119&lt;AJ119),1,0),0)</f>
        <v>0</v>
      </c>
      <c r="BR119" s="44" t="n">
        <f aca="true">AVERAGE(OFFSET(F119,1-MIN(5,ROW()-4),0,MIN(5,ROW()-4),1))</f>
        <v>3126240</v>
      </c>
      <c r="BS119" s="42" t="n">
        <f aca="false">IFERROR(IF(MATCH(G119,周线!$A$5:$A$84,0)&lt;=1,"",INDEX(周线!$R$5:$R$84,MATCH(G119,周线!$A$5:$A$84,0)-1)),"")</f>
        <v>0</v>
      </c>
      <c r="BT119" s="42" t="n">
        <f aca="false">IFERROR(IF(MATCH(G119,周线!$A$5:$A$84,0)&lt;=1,"",INDEX(周线!$S$5:$S$84,MATCH(G119,周线!$A$5:$A$84,0)-1)),"")</f>
        <v>0</v>
      </c>
      <c r="BU119" s="42" t="n">
        <f aca="false">IFERROR(IF(MATCH(G119,周线!$A$5:$A$84,0)&lt;=1,"",INDEX(周线!$U$5:$U$84,MATCH(G119,周线!$A$5:$A$84,0)-1)),"")</f>
        <v>-1</v>
      </c>
      <c r="BV119" s="42" t="n">
        <f aca="false">IF(AND(BS119=1,S119&lt;&gt;-1,V119&lt;0,BO119=1,E119&lt;=H119,E119&gt;=AJ119),1,0)</f>
        <v>0</v>
      </c>
      <c r="BW119" s="42" t="n">
        <f aca="false">BL119</f>
        <v>0</v>
      </c>
      <c r="BX119" s="42" t="n">
        <f aca="false">BQ119</f>
        <v>0</v>
      </c>
      <c r="BY119" s="42" t="n">
        <f aca="false">IF(BS119=1,10,0)+IF(BU119=1,5,IF(BU119=-1,0,3))+IF(BT119=1,5,0)+IF(AND(AE119&gt;AF119,AH119&gt;AH118),5,0)</f>
        <v>0</v>
      </c>
      <c r="BZ119" s="42" t="n">
        <f aca="false">IF(AND(E119&lt;=H119,E119&gt;=I119),10,IF(AND(E119&gt;=AJ119,E119&lt;I119),6,0))+IF(AND(V119&lt;0,BO119=1),8,0)+IF(AT119&lt;30,7,IF(AT119&lt;50,3,0))</f>
        <v>17</v>
      </c>
      <c r="CA119" s="42" t="n">
        <f aca="false">IF(AND(BV119=1,BW119=1),25,IF(BW119=1,22,IF(BV119=1,15,IF(BX119=1,12,0))))</f>
        <v>0</v>
      </c>
      <c r="CB119" s="42" t="n">
        <f aca="false">IF(W119&gt;0,6,0)+IF(F119&lt;BR119,4,0)</f>
        <v>4</v>
      </c>
      <c r="CC119" s="42" t="n">
        <f aca="false">IF(BC119&gt;=3,15,IF(BC119&gt;=p_RRmin,10,IF(BC119&gt;=1.5,4,0)))</f>
        <v>15</v>
      </c>
      <c r="CD119" s="42" t="n">
        <f aca="false">BY119+BZ119+CA119+CB119+CC119</f>
        <v>36</v>
      </c>
      <c r="CE119" s="42" t="n">
        <f aca="false">IF(AND(BS119&lt;&gt;1,BW119+BX119=0),1,0)</f>
        <v>1</v>
      </c>
      <c r="CF119" s="42" t="n">
        <f aca="false">IF(BU119=-1,1,0)</f>
        <v>1</v>
      </c>
      <c r="CG119" s="42" t="n">
        <f aca="false">IF(S119=-1,1,0)</f>
        <v>1</v>
      </c>
      <c r="CH119" s="42" t="n">
        <f aca="false">IF(BV119+BW119+BX119=0,1,0)</f>
        <v>1</v>
      </c>
      <c r="CI119" s="42" t="n">
        <f aca="false">IF(BC119&lt;p_RRmin,1,0)</f>
        <v>0</v>
      </c>
      <c r="CJ119" s="46" t="str">
        <f aca="false">IF(SUM(CE119:CI119)=0,IF(CD119&gt;=p_GradeA,"A",IF(CD119&gt;=p_GradeB,"B","C")),IF(AND(CI119=1,SUM(CE119:CH119)=0,CD119&gt;=p_GradeB),"B","C"))</f>
        <v>C</v>
      </c>
    </row>
    <row r="120" customFormat="false" ht="15" hidden="false" customHeight="false" outlineLevel="0" collapsed="false">
      <c r="A120" s="36" t="n">
        <v>45820</v>
      </c>
      <c r="B120" s="37" t="n">
        <v>20.99</v>
      </c>
      <c r="C120" s="37" t="n">
        <v>21.24</v>
      </c>
      <c r="D120" s="37" t="n">
        <v>20.2</v>
      </c>
      <c r="E120" s="37" t="n">
        <v>20.38</v>
      </c>
      <c r="F120" s="38" t="n">
        <v>6666100</v>
      </c>
      <c r="G120" s="39" t="n">
        <f aca="false">A120-WEEKDAY(A120,3)</f>
        <v>45817</v>
      </c>
      <c r="H120" s="40" t="n">
        <f aca="false">2/(p_EmaF+1)*E120+(1-2/(p_EmaF+1))*H119</f>
        <v>21.128719044518</v>
      </c>
      <c r="I120" s="40" t="n">
        <f aca="false">2/(p_EmaS+1)*E120+(1-2/(p_EmaS+1))*I119</f>
        <v>21.673558816469</v>
      </c>
      <c r="J120" s="41" t="n">
        <f aca="false">2/(p_MacdF+1)*E120+(1-2/(p_MacdF+1))*J119</f>
        <v>21.0986372338448</v>
      </c>
      <c r="K120" s="41" t="n">
        <f aca="false">2/(p_MacdS+1)*E120+(1-2/(p_MacdS+1))*K119</f>
        <v>21.673558816469</v>
      </c>
      <c r="L120" s="41" t="n">
        <f aca="false">J120-K120</f>
        <v>-0.574921582624238</v>
      </c>
      <c r="M120" s="41" t="n">
        <f aca="false">2/(p_MacdSig+1)*L120+(1-2/(p_MacdSig+1))*M119</f>
        <v>-0.67936485152573</v>
      </c>
      <c r="N120" s="41" t="n">
        <f aca="false">L120-M120</f>
        <v>0.104443268901491</v>
      </c>
      <c r="O120" s="42" t="n">
        <f aca="false">IF(H120&gt;H119,1,0)</f>
        <v>0</v>
      </c>
      <c r="P120" s="42" t="n">
        <f aca="false">IF(H120&lt;H119,1,0)</f>
        <v>1</v>
      </c>
      <c r="Q120" s="42" t="n">
        <f aca="false">IF(N120&gt;N119,1,0)</f>
        <v>0</v>
      </c>
      <c r="R120" s="42" t="n">
        <f aca="false">IF(N120&lt;N119,1,0)</f>
        <v>1</v>
      </c>
      <c r="S120" s="42" t="n">
        <f aca="false">IF(AND(O120=1,Q120=1),1,IF(AND(P120=1,R120=1),-1,0))</f>
        <v>-1</v>
      </c>
      <c r="T120" s="43" t="str">
        <f aca="false">IF(S120=1,"绿",IF(S120=-1,"红","蓝"))</f>
        <v>红</v>
      </c>
      <c r="U120" s="44" t="n">
        <f aca="false">F120*(E120-E119)</f>
        <v>-4599609.00000001</v>
      </c>
      <c r="V120" s="44" t="n">
        <f aca="false">2/(p_FiS+1)*U120+(1-2/(p_FiS+1))*V119</f>
        <v>-3172671.01034978</v>
      </c>
      <c r="W120" s="44" t="n">
        <f aca="false">2/(p_FiL+1)*U120+(1-2/(p_FiL+1))*W119</f>
        <v>-796743.273240205</v>
      </c>
      <c r="X120" s="41" t="n">
        <f aca="false">MAX(C120-D120,ABS(C120-E119),ABS(D120-E119))</f>
        <v>1.04</v>
      </c>
      <c r="Y120" s="41" t="n">
        <f aca="true">AVERAGE(OFFSET(X120,1-MIN(p_AtrN,ROW()-4),0,MIN(p_AtrN,ROW()-4),1))</f>
        <v>0.475384615384615</v>
      </c>
      <c r="Z120" s="41" t="n">
        <f aca="false">IF(AND(C120-C119&gt;D119-D120,C120-C119&gt;0),C120-C119,0)</f>
        <v>0</v>
      </c>
      <c r="AA120" s="41" t="n">
        <f aca="false">IF(AND(D119-D120&gt;C120-C119,D119-D120&gt;0),D119-D120,0)</f>
        <v>0.780000000000001</v>
      </c>
      <c r="AB120" s="41" t="n">
        <f aca="false">2/(p_AdxN+1)*X120+(1-2/(p_AdxN+1))*AB119</f>
        <v>0.51338454397309</v>
      </c>
      <c r="AC120" s="41" t="n">
        <f aca="false">2/(p_AdxN+1)*Z120+(1-2/(p_AdxN+1))*AC119</f>
        <v>0.0579075014604863</v>
      </c>
      <c r="AD120" s="41" t="n">
        <f aca="false">2/(p_AdxN+1)*AA120+(1-2/(p_AdxN+1))*AD119</f>
        <v>0.193743810586685</v>
      </c>
      <c r="AE120" s="45" t="n">
        <f aca="false">100*AC120/AB120</f>
        <v>11.2795568429738</v>
      </c>
      <c r="AF120" s="45" t="n">
        <f aca="false">100*AD120/AB120</f>
        <v>37.7385359300651</v>
      </c>
      <c r="AG120" s="45" t="n">
        <f aca="false">IFERROR(100*ABS(AE120-AF120)/(AE120+AF120),0)</f>
        <v>53.97798565848</v>
      </c>
      <c r="AH120" s="45" t="n">
        <f aca="false">2/(p_AdxN+1)*AG120+(1-2/(p_AdxN+1))*AH119</f>
        <v>29.0790572903105</v>
      </c>
      <c r="AI120" s="40" t="n">
        <f aca="false">I120*(1+p_ChPct)</f>
        <v>22.9739723454572</v>
      </c>
      <c r="AJ120" s="40" t="n">
        <f aca="false">I120*(1-p_ChPct)</f>
        <v>20.3731452874809</v>
      </c>
      <c r="AK120" s="40" t="n">
        <f aca="false">I120+1*Y120</f>
        <v>22.1489434318536</v>
      </c>
      <c r="AL120" s="40" t="n">
        <f aca="false">I120+2*Y120</f>
        <v>22.6243280472382</v>
      </c>
      <c r="AM120" s="40" t="n">
        <f aca="false">I120+3*Y120</f>
        <v>23.0997126626229</v>
      </c>
      <c r="AN120" s="40" t="n">
        <f aca="false">I120-1*Y120</f>
        <v>21.1981742010844</v>
      </c>
      <c r="AO120" s="40" t="n">
        <f aca="false">I120-2*Y120</f>
        <v>20.7227895856998</v>
      </c>
      <c r="AP120" s="40" t="n">
        <f aca="false">I120-3*Y120</f>
        <v>20.2474049703152</v>
      </c>
      <c r="AQ120" s="40" t="n">
        <f aca="true">MAX(OFFSET(C120,1-MIN(p_StochN,ROW()-4),0,MIN(p_StochN,ROW()-4),1))</f>
        <v>21.63</v>
      </c>
      <c r="AR120" s="40" t="n">
        <f aca="true">MIN(OFFSET(D120,1-MIN(p_StochN,ROW()-4),0,MIN(p_StochN,ROW()-4),1))</f>
        <v>20.2</v>
      </c>
      <c r="AS120" s="45" t="n">
        <f aca="false">IF(AQ120=AR120,50,100*(E120-AR120)/(AQ120-AR120))</f>
        <v>12.5874125874126</v>
      </c>
      <c r="AT120" s="45" t="n">
        <f aca="true">AVERAGE(OFFSET(AS120,1-MIN(p_StochSm,ROW()-4),0,MIN(p_StochSm,ROW()-4),1))</f>
        <v>27.0268544241148</v>
      </c>
      <c r="AU120" s="45" t="n">
        <f aca="true">AVERAGE(OFFSET(AT120,1-MIN(p_StochSm,ROW()-4),0,MIN(p_StochSm,ROW()-4),1))</f>
        <v>40.3664124364278</v>
      </c>
      <c r="AV120" s="41" t="n">
        <f aca="false">MAX(0,H120-D120)</f>
        <v>0.928719044518036</v>
      </c>
      <c r="AW120" s="41" t="n">
        <f aca="true">IF(COUNTIF(OFFSET(AV120,1-MIN(p_PenLb,ROW()-4),0,MIN(p_PenLb,ROW()-4),1),"&gt;0")&gt;0,SUM(OFFSET(AV120,1-MIN(p_PenLb,ROW()-4),0,MIN(p_PenLb,ROW()-4),1))/COUNTIF(OFFSET(AV120,1-MIN(p_PenLb,ROW()-4),0,MIN(p_PenLb,ROW()-4),1),"&gt;0"),0.5*Y120)</f>
        <v>1.05201033291073</v>
      </c>
      <c r="AX120" s="41" t="n">
        <f aca="false">2*H120-H119</f>
        <v>21.0039325370984</v>
      </c>
      <c r="AY120" s="40" t="n">
        <f aca="false">ROUND(MAX(AX120-AW120,0.01),2)</f>
        <v>19.95</v>
      </c>
      <c r="AZ120" s="40" t="n">
        <f aca="true">IF(MIN(p_StopLb,ROW()-4)&lt;2,D120,SMALL(OFFSET(D120,1-MIN(p_StopLb,ROW()-4),0,MIN(p_StopLb,ROW()-4),1),2))</f>
        <v>20.55</v>
      </c>
      <c r="BA120" s="40" t="n">
        <f aca="false">IF(MOD(ROUND(ROUNDDOWN(MIN(AZ120-0.01,AY120-p_StopAtr*Y120),2)*100,0),50)=0,ROUNDDOWN(MIN(AZ120-0.01,AY120-p_StopAtr*Y120),2)-0.01,ROUNDDOWN(MIN(AZ120-0.01,AY120-p_StopAtr*Y120),2))</f>
        <v>19.47</v>
      </c>
      <c r="BB120" s="40" t="n">
        <f aca="false">ROUND(AI120,2)</f>
        <v>22.97</v>
      </c>
      <c r="BC120" s="40" t="n">
        <f aca="false">IF(AY120-BA120&gt;0,(BB120-AY120)/(AY120-BA120),0)</f>
        <v>6.29166666666666</v>
      </c>
      <c r="BD120" s="42" t="n">
        <f aca="false">IF(N120&lt;0,1,0)</f>
        <v>0</v>
      </c>
      <c r="BE120" s="41" t="n">
        <f aca="false">IF(AND(BD120=1,BD119=0),N120,IF(BD120=1,MIN(BE119,N120),BE119))</f>
        <v>-0.392824838841331</v>
      </c>
      <c r="BF120" s="40" t="n">
        <f aca="false">IF(AND(BD120=1,BD119=0),D120,IF(BD120=1,MIN(BF119,D120),BF119))</f>
        <v>20.27</v>
      </c>
      <c r="BG120" s="42" t="n">
        <f aca="false">IF(AND(BD120=1,BD119=0),ROW(),IF(BD120=1,IF(N120&lt;BE119,ROW(),BG119),BG119))</f>
        <v>98</v>
      </c>
      <c r="BH120" s="41" t="n">
        <f aca="false">IF(AND(BD120=1,BD119=0),BE119,BH119)</f>
        <v>-0.267100964273217</v>
      </c>
      <c r="BI120" s="40" t="n">
        <f aca="false">IF(AND(BD120=1,BD119=0),BF119,BI119)</f>
        <v>23.24</v>
      </c>
      <c r="BJ120" s="42" t="n">
        <f aca="false">IF(AND(BD120=1,BD119=0),BG119,BJ119)</f>
        <v>52</v>
      </c>
      <c r="BK120" s="42" t="n">
        <f aca="false">IF(AND(ISNUMBER(BG120),ISNUMBER(BJ120)),BG120-BJ120,"")</f>
        <v>46</v>
      </c>
      <c r="BL120" s="42" t="n">
        <f aca="false">IF(AND(BD120=1,N120&gt;N119,ISNUMBER(BH120),ISNUMBER(BK120)),IF(AND(BE120&gt;BH120,BF120&lt;BI120,BK120&gt;=p_GapMin,BK120&lt;=p_GapMax),1,0),0)</f>
        <v>0</v>
      </c>
      <c r="BM120" s="42" t="n">
        <f aca="false">IF(AND(BL120=1,E120&gt;BI120),1,0)</f>
        <v>0</v>
      </c>
      <c r="BN120" s="42" t="n">
        <f aca="false">IF(BL120=1,IF(BE120&gt;=BH120*0.5,1,0),0)</f>
        <v>0</v>
      </c>
      <c r="BO120" s="42" t="n">
        <f aca="true">IF(V120&gt;MIN(OFFSET(V120,-MIN(p_FiLb-1,ROW()-5),0,MIN(p_FiLb-1,ROW()-5),1)),1,0)</f>
        <v>0</v>
      </c>
      <c r="BP120" s="44" t="n">
        <f aca="true">IF(COUNTIF(OFFSET(V120,1-MIN(100,ROW()-4),0,MIN(100,ROW()-4),1),"&lt;0")&gt;=5,AVERAGEIF(OFFSET(V120,1-MIN(100,ROW()-4),0,MIN(100,ROW()-4),1),"&lt;0"),"")</f>
        <v>-937775.480455551</v>
      </c>
      <c r="BQ120" s="42" t="n">
        <f aca="false">IF(ISNUMBER(BP120),IF(AND(V120&lt;5*BP120,V120&gt;V119,E120&lt;AJ120),1,0),0)</f>
        <v>0</v>
      </c>
      <c r="BR120" s="44" t="n">
        <f aca="true">AVERAGE(OFFSET(F120,1-MIN(5,ROW()-4),0,MIN(5,ROW()-4),1))</f>
        <v>3784060</v>
      </c>
      <c r="BS120" s="42" t="n">
        <f aca="false">IFERROR(IF(MATCH(G120,周线!$A$5:$A$84,0)&lt;=1,"",INDEX(周线!$R$5:$R$84,MATCH(G120,周线!$A$5:$A$84,0)-1)),"")</f>
        <v>0</v>
      </c>
      <c r="BT120" s="42" t="n">
        <f aca="false">IFERROR(IF(MATCH(G120,周线!$A$5:$A$84,0)&lt;=1,"",INDEX(周线!$S$5:$S$84,MATCH(G120,周线!$A$5:$A$84,0)-1)),"")</f>
        <v>0</v>
      </c>
      <c r="BU120" s="42" t="n">
        <f aca="false">IFERROR(IF(MATCH(G120,周线!$A$5:$A$84,0)&lt;=1,"",INDEX(周线!$U$5:$U$84,MATCH(G120,周线!$A$5:$A$84,0)-1)),"")</f>
        <v>-1</v>
      </c>
      <c r="BV120" s="42" t="n">
        <f aca="false">IF(AND(BS120=1,S120&lt;&gt;-1,V120&lt;0,BO120=1,E120&lt;=H120,E120&gt;=AJ120),1,0)</f>
        <v>0</v>
      </c>
      <c r="BW120" s="42" t="n">
        <f aca="false">BL120</f>
        <v>0</v>
      </c>
      <c r="BX120" s="42" t="n">
        <f aca="false">BQ120</f>
        <v>0</v>
      </c>
      <c r="BY120" s="42" t="n">
        <f aca="false">IF(BS120=1,10,0)+IF(BU120=1,5,IF(BU120=-1,0,3))+IF(BT120=1,5,0)+IF(AND(AE120&gt;AF120,AH120&gt;AH119),5,0)</f>
        <v>0</v>
      </c>
      <c r="BZ120" s="42" t="n">
        <f aca="false">IF(AND(E120&lt;=H120,E120&gt;=I120),10,IF(AND(E120&gt;=AJ120,E120&lt;I120),6,0))+IF(AND(V120&lt;0,BO120=1),8,0)+IF(AT120&lt;30,7,IF(AT120&lt;50,3,0))</f>
        <v>13</v>
      </c>
      <c r="CA120" s="42" t="n">
        <f aca="false">IF(AND(BV120=1,BW120=1),25,IF(BW120=1,22,IF(BV120=1,15,IF(BX120=1,12,0))))</f>
        <v>0</v>
      </c>
      <c r="CB120" s="42" t="n">
        <f aca="false">IF(W120&gt;0,6,0)+IF(F120&lt;BR120,4,0)</f>
        <v>0</v>
      </c>
      <c r="CC120" s="42" t="n">
        <f aca="false">IF(BC120&gt;=3,15,IF(BC120&gt;=p_RRmin,10,IF(BC120&gt;=1.5,4,0)))</f>
        <v>15</v>
      </c>
      <c r="CD120" s="42" t="n">
        <f aca="false">BY120+BZ120+CA120+CB120+CC120</f>
        <v>28</v>
      </c>
      <c r="CE120" s="42" t="n">
        <f aca="false">IF(AND(BS120&lt;&gt;1,BW120+BX120=0),1,0)</f>
        <v>1</v>
      </c>
      <c r="CF120" s="42" t="n">
        <f aca="false">IF(BU120=-1,1,0)</f>
        <v>1</v>
      </c>
      <c r="CG120" s="42" t="n">
        <f aca="false">IF(S120=-1,1,0)</f>
        <v>1</v>
      </c>
      <c r="CH120" s="42" t="n">
        <f aca="false">IF(BV120+BW120+BX120=0,1,0)</f>
        <v>1</v>
      </c>
      <c r="CI120" s="42" t="n">
        <f aca="false">IF(BC120&lt;p_RRmin,1,0)</f>
        <v>0</v>
      </c>
      <c r="CJ120" s="46" t="str">
        <f aca="false">IF(SUM(CE120:CI120)=0,IF(CD120&gt;=p_GradeA,"A",IF(CD120&gt;=p_GradeB,"B","C")),IF(AND(CI120=1,SUM(CE120:CH120)=0,CD120&gt;=p_GradeB),"B","C"))</f>
        <v>C</v>
      </c>
    </row>
    <row r="121" customFormat="false" ht="15" hidden="false" customHeight="false" outlineLevel="0" collapsed="false">
      <c r="A121" s="36" t="n">
        <v>45821</v>
      </c>
      <c r="B121" s="37" t="n">
        <v>20.53</v>
      </c>
      <c r="C121" s="37" t="n">
        <v>20.65</v>
      </c>
      <c r="D121" s="37" t="n">
        <v>19.97</v>
      </c>
      <c r="E121" s="37" t="n">
        <v>20.16</v>
      </c>
      <c r="F121" s="38" t="n">
        <v>4515200</v>
      </c>
      <c r="G121" s="39" t="n">
        <f aca="false">A121-WEEKDAY(A121,3)</f>
        <v>45817</v>
      </c>
      <c r="H121" s="40" t="n">
        <f aca="false">2/(p_EmaF+1)*E121+(1-2/(p_EmaF+1))*H120</f>
        <v>20.9903306095869</v>
      </c>
      <c r="I121" s="40" t="n">
        <f aca="false">2/(p_EmaS+1)*E121+(1-2/(p_EmaS+1))*I120</f>
        <v>21.5614433485824</v>
      </c>
      <c r="J121" s="41" t="n">
        <f aca="false">2/(p_MacdF+1)*E121+(1-2/(p_MacdF+1))*J120</f>
        <v>20.954231505561</v>
      </c>
      <c r="K121" s="41" t="n">
        <f aca="false">2/(p_MacdS+1)*E121+(1-2/(p_MacdS+1))*K120</f>
        <v>21.5614433485824</v>
      </c>
      <c r="L121" s="41" t="n">
        <f aca="false">J121-K121</f>
        <v>-0.607211843021457</v>
      </c>
      <c r="M121" s="41" t="n">
        <f aca="false">2/(p_MacdSig+1)*L121+(1-2/(p_MacdSig+1))*M120</f>
        <v>-0.664934249824875</v>
      </c>
      <c r="N121" s="41" t="n">
        <f aca="false">L121-M121</f>
        <v>0.0577224068034185</v>
      </c>
      <c r="O121" s="42" t="n">
        <f aca="false">IF(H121&gt;H120,1,0)</f>
        <v>0</v>
      </c>
      <c r="P121" s="42" t="n">
        <f aca="false">IF(H121&lt;H120,1,0)</f>
        <v>1</v>
      </c>
      <c r="Q121" s="42" t="n">
        <f aca="false">IF(N121&gt;N120,1,0)</f>
        <v>0</v>
      </c>
      <c r="R121" s="42" t="n">
        <f aca="false">IF(N121&lt;N120,1,0)</f>
        <v>1</v>
      </c>
      <c r="S121" s="42" t="n">
        <f aca="false">IF(AND(O121=1,Q121=1),1,IF(AND(P121=1,R121=1),-1,0))</f>
        <v>-1</v>
      </c>
      <c r="T121" s="43" t="str">
        <f aca="false">IF(S121=1,"绿",IF(S121=-1,"红","蓝"))</f>
        <v>红</v>
      </c>
      <c r="U121" s="44" t="n">
        <f aca="false">F121*(E121-E120)</f>
        <v>-993343.999999995</v>
      </c>
      <c r="V121" s="44" t="n">
        <f aca="false">2/(p_FiS+1)*U121+(1-2/(p_FiS+1))*V120</f>
        <v>-1719786.33678326</v>
      </c>
      <c r="W121" s="44" t="n">
        <f aca="false">2/(p_FiL+1)*U121+(1-2/(p_FiL+1))*W120</f>
        <v>-824829.091348747</v>
      </c>
      <c r="X121" s="41" t="n">
        <f aca="false">MAX(C121-D121,ABS(C121-E120),ABS(D121-E120))</f>
        <v>0.68</v>
      </c>
      <c r="Y121" s="41" t="n">
        <f aca="true">AVERAGE(OFFSET(X121,1-MIN(p_AtrN,ROW()-4),0,MIN(p_AtrN,ROW()-4),1))</f>
        <v>0.486153846153846</v>
      </c>
      <c r="Z121" s="41" t="n">
        <f aca="false">IF(AND(C121-C120&gt;D120-D121,C121-C120&gt;0),C121-C120,0)</f>
        <v>0</v>
      </c>
      <c r="AA121" s="41" t="n">
        <f aca="false">IF(AND(D120-D121&gt;C121-C120,D120-D121&gt;0),D120-D121,0)</f>
        <v>0.23</v>
      </c>
      <c r="AB121" s="41" t="n">
        <f aca="false">2/(p_AdxN+1)*X121+(1-2/(p_AdxN+1))*AB120</f>
        <v>0.537186751976934</v>
      </c>
      <c r="AC121" s="41" t="n">
        <f aca="false">2/(p_AdxN+1)*Z121+(1-2/(p_AdxN+1))*AC120</f>
        <v>0.0496350012518454</v>
      </c>
      <c r="AD121" s="41" t="n">
        <f aca="false">2/(p_AdxN+1)*AA121+(1-2/(p_AdxN+1))*AD120</f>
        <v>0.198923266217159</v>
      </c>
      <c r="AE121" s="45" t="n">
        <f aca="false">100*AC121/AB121</f>
        <v>9.23980367519872</v>
      </c>
      <c r="AF121" s="45" t="n">
        <f aca="false">100*AD121/AB121</f>
        <v>37.0305606914335</v>
      </c>
      <c r="AG121" s="45" t="n">
        <f aca="false">IFERROR(100*ABS(AE121-AF121)/(AE121+AF121),0)</f>
        <v>60.0616774833008</v>
      </c>
      <c r="AH121" s="45" t="n">
        <f aca="false">2/(p_AdxN+1)*AG121+(1-2/(p_AdxN+1))*AH120</f>
        <v>33.5051458893092</v>
      </c>
      <c r="AI121" s="40" t="n">
        <f aca="false">I121*(1+p_ChPct)</f>
        <v>22.8551299494974</v>
      </c>
      <c r="AJ121" s="40" t="n">
        <f aca="false">I121*(1-p_ChPct)</f>
        <v>20.2677567476675</v>
      </c>
      <c r="AK121" s="40" t="n">
        <f aca="false">I121+1*Y121</f>
        <v>22.0475971947363</v>
      </c>
      <c r="AL121" s="40" t="n">
        <f aca="false">I121+2*Y121</f>
        <v>22.5337510408901</v>
      </c>
      <c r="AM121" s="40" t="n">
        <f aca="false">I121+3*Y121</f>
        <v>23.019904887044</v>
      </c>
      <c r="AN121" s="40" t="n">
        <f aca="false">I121-1*Y121</f>
        <v>21.0752895024286</v>
      </c>
      <c r="AO121" s="40" t="n">
        <f aca="false">I121-2*Y121</f>
        <v>20.5891356562747</v>
      </c>
      <c r="AP121" s="40" t="n">
        <f aca="false">I121-3*Y121</f>
        <v>20.1029818101209</v>
      </c>
      <c r="AQ121" s="40" t="n">
        <f aca="true">MAX(OFFSET(C121,1-MIN(p_StochN,ROW()-4),0,MIN(p_StochN,ROW()-4),1))</f>
        <v>21.52</v>
      </c>
      <c r="AR121" s="40" t="n">
        <f aca="true">MIN(OFFSET(D121,1-MIN(p_StochN,ROW()-4),0,MIN(p_StochN,ROW()-4),1))</f>
        <v>19.97</v>
      </c>
      <c r="AS121" s="45" t="n">
        <f aca="false">IF(AQ121=AR121,50,100*(E121-AR121)/(AQ121-AR121))</f>
        <v>12.2580645161291</v>
      </c>
      <c r="AT121" s="45" t="n">
        <f aca="true">AVERAGE(OFFSET(AS121,1-MIN(p_StochSm,ROW()-4),0,MIN(p_StochSm,ROW()-4),1))</f>
        <v>16.0443827788062</v>
      </c>
      <c r="AU121" s="45" t="n">
        <f aca="true">AVERAGE(OFFSET(AT121,1-MIN(p_StochSm,ROW()-4),0,MIN(p_StochSm,ROW()-4),1))</f>
        <v>27.5229846992995</v>
      </c>
      <c r="AV121" s="41" t="n">
        <f aca="false">MAX(0,H121-D121)</f>
        <v>1.02033060958689</v>
      </c>
      <c r="AW121" s="41" t="n">
        <f aca="true">IF(COUNTIF(OFFSET(AV121,1-MIN(p_PenLb,ROW()-4),0,MIN(p_PenLb,ROW()-4),1),"&gt;0")&gt;0,SUM(OFFSET(AV121,1-MIN(p_PenLb,ROW()-4),0,MIN(p_PenLb,ROW()-4),1))/COUNTIF(OFFSET(AV121,1-MIN(p_PenLb,ROW()-4),0,MIN(p_PenLb,ROW()-4),1),"&gt;0"),0.5*Y121)</f>
        <v>1.06515171392349</v>
      </c>
      <c r="AX121" s="41" t="n">
        <f aca="false">2*H121-H120</f>
        <v>20.8519421746557</v>
      </c>
      <c r="AY121" s="40" t="n">
        <f aca="false">ROUND(MAX(AX121-AW121,0.01),2)</f>
        <v>19.79</v>
      </c>
      <c r="AZ121" s="40" t="n">
        <f aca="true">IF(MIN(p_StopLb,ROW()-4)&lt;2,D121,SMALL(OFFSET(D121,1-MIN(p_StopLb,ROW()-4),0,MIN(p_StopLb,ROW()-4),1),2))</f>
        <v>20.2</v>
      </c>
      <c r="BA121" s="40" t="n">
        <f aca="false">IF(MOD(ROUND(ROUNDDOWN(MIN(AZ121-0.01,AY121-p_StopAtr*Y121),2)*100,0),50)=0,ROUNDDOWN(MIN(AZ121-0.01,AY121-p_StopAtr*Y121),2)-0.01,ROUNDDOWN(MIN(AZ121-0.01,AY121-p_StopAtr*Y121),2))</f>
        <v>19.3</v>
      </c>
      <c r="BB121" s="40" t="n">
        <f aca="false">ROUND(AI121,2)</f>
        <v>22.86</v>
      </c>
      <c r="BC121" s="40" t="n">
        <f aca="false">IF(AY121-BA121&gt;0,(BB121-AY121)/(AY121-BA121),0)</f>
        <v>6.265306122449</v>
      </c>
      <c r="BD121" s="42" t="n">
        <f aca="false">IF(N121&lt;0,1,0)</f>
        <v>0</v>
      </c>
      <c r="BE121" s="41" t="n">
        <f aca="false">IF(AND(BD121=1,BD120=0),N121,IF(BD121=1,MIN(BE120,N121),BE120))</f>
        <v>-0.392824838841331</v>
      </c>
      <c r="BF121" s="40" t="n">
        <f aca="false">IF(AND(BD121=1,BD120=0),D121,IF(BD121=1,MIN(BF120,D121),BF120))</f>
        <v>20.27</v>
      </c>
      <c r="BG121" s="42" t="n">
        <f aca="false">IF(AND(BD121=1,BD120=0),ROW(),IF(BD121=1,IF(N121&lt;BE120,ROW(),BG120),BG120))</f>
        <v>98</v>
      </c>
      <c r="BH121" s="41" t="n">
        <f aca="false">IF(AND(BD121=1,BD120=0),BE120,BH120)</f>
        <v>-0.267100964273217</v>
      </c>
      <c r="BI121" s="40" t="n">
        <f aca="false">IF(AND(BD121=1,BD120=0),BF120,BI120)</f>
        <v>23.24</v>
      </c>
      <c r="BJ121" s="42" t="n">
        <f aca="false">IF(AND(BD121=1,BD120=0),BG120,BJ120)</f>
        <v>52</v>
      </c>
      <c r="BK121" s="42" t="n">
        <f aca="false">IF(AND(ISNUMBER(BG121),ISNUMBER(BJ121)),BG121-BJ121,"")</f>
        <v>46</v>
      </c>
      <c r="BL121" s="42" t="n">
        <f aca="false">IF(AND(BD121=1,N121&gt;N120,ISNUMBER(BH121),ISNUMBER(BK121)),IF(AND(BE121&gt;BH121,BF121&lt;BI121,BK121&gt;=p_GapMin,BK121&lt;=p_GapMax),1,0),0)</f>
        <v>0</v>
      </c>
      <c r="BM121" s="42" t="n">
        <f aca="false">IF(AND(BL121=1,E121&gt;BI121),1,0)</f>
        <v>0</v>
      </c>
      <c r="BN121" s="42" t="n">
        <f aca="false">IF(BL121=1,IF(BE121&gt;=BH121*0.5,1,0),0)</f>
        <v>0</v>
      </c>
      <c r="BO121" s="42" t="n">
        <f aca="true">IF(V121&gt;MIN(OFFSET(V121,-MIN(p_FiLb-1,ROW()-5),0,MIN(p_FiLb-1,ROW()-5),1)),1,0)</f>
        <v>1</v>
      </c>
      <c r="BP121" s="44" t="n">
        <f aca="true">IF(COUNTIF(OFFSET(V121,1-MIN(100,ROW()-4),0,MIN(100,ROW()-4),1),"&lt;0")&gt;=5,AVERAGEIF(OFFSET(V121,1-MIN(100,ROW()-4),0,MIN(100,ROW()-4),1),"&lt;0"),"")</f>
        <v>-952530.402273054</v>
      </c>
      <c r="BQ121" s="42" t="n">
        <f aca="false">IF(ISNUMBER(BP121),IF(AND(V121&lt;5*BP121,V121&gt;V120,E121&lt;AJ121),1,0),0)</f>
        <v>0</v>
      </c>
      <c r="BR121" s="44" t="n">
        <f aca="true">AVERAGE(OFFSET(F121,1-MIN(5,ROW()-4),0,MIN(5,ROW()-4),1))</f>
        <v>3911200</v>
      </c>
      <c r="BS121" s="42" t="n">
        <f aca="false">IFERROR(IF(MATCH(G121,周线!$A$5:$A$84,0)&lt;=1,"",INDEX(周线!$R$5:$R$84,MATCH(G121,周线!$A$5:$A$84,0)-1)),"")</f>
        <v>0</v>
      </c>
      <c r="BT121" s="42" t="n">
        <f aca="false">IFERROR(IF(MATCH(G121,周线!$A$5:$A$84,0)&lt;=1,"",INDEX(周线!$S$5:$S$84,MATCH(G121,周线!$A$5:$A$84,0)-1)),"")</f>
        <v>0</v>
      </c>
      <c r="BU121" s="42" t="n">
        <f aca="false">IFERROR(IF(MATCH(G121,周线!$A$5:$A$84,0)&lt;=1,"",INDEX(周线!$U$5:$U$84,MATCH(G121,周线!$A$5:$A$84,0)-1)),"")</f>
        <v>-1</v>
      </c>
      <c r="BV121" s="42" t="n">
        <f aca="false">IF(AND(BS121=1,S121&lt;&gt;-1,V121&lt;0,BO121=1,E121&lt;=H121,E121&gt;=AJ121),1,0)</f>
        <v>0</v>
      </c>
      <c r="BW121" s="42" t="n">
        <f aca="false">BL121</f>
        <v>0</v>
      </c>
      <c r="BX121" s="42" t="n">
        <f aca="false">BQ121</f>
        <v>0</v>
      </c>
      <c r="BY121" s="42" t="n">
        <f aca="false">IF(BS121=1,10,0)+IF(BU121=1,5,IF(BU121=-1,0,3))+IF(BT121=1,5,0)+IF(AND(AE121&gt;AF121,AH121&gt;AH120),5,0)</f>
        <v>0</v>
      </c>
      <c r="BZ121" s="42" t="n">
        <f aca="false">IF(AND(E121&lt;=H121,E121&gt;=I121),10,IF(AND(E121&gt;=AJ121,E121&lt;I121),6,0))+IF(AND(V121&lt;0,BO121=1),8,0)+IF(AT121&lt;30,7,IF(AT121&lt;50,3,0))</f>
        <v>15</v>
      </c>
      <c r="CA121" s="42" t="n">
        <f aca="false">IF(AND(BV121=1,BW121=1),25,IF(BW121=1,22,IF(BV121=1,15,IF(BX121=1,12,0))))</f>
        <v>0</v>
      </c>
      <c r="CB121" s="42" t="n">
        <f aca="false">IF(W121&gt;0,6,0)+IF(F121&lt;BR121,4,0)</f>
        <v>0</v>
      </c>
      <c r="CC121" s="42" t="n">
        <f aca="false">IF(BC121&gt;=3,15,IF(BC121&gt;=p_RRmin,10,IF(BC121&gt;=1.5,4,0)))</f>
        <v>15</v>
      </c>
      <c r="CD121" s="42" t="n">
        <f aca="false">BY121+BZ121+CA121+CB121+CC121</f>
        <v>30</v>
      </c>
      <c r="CE121" s="42" t="n">
        <f aca="false">IF(AND(BS121&lt;&gt;1,BW121+BX121=0),1,0)</f>
        <v>1</v>
      </c>
      <c r="CF121" s="42" t="n">
        <f aca="false">IF(BU121=-1,1,0)</f>
        <v>1</v>
      </c>
      <c r="CG121" s="42" t="n">
        <f aca="false">IF(S121=-1,1,0)</f>
        <v>1</v>
      </c>
      <c r="CH121" s="42" t="n">
        <f aca="false">IF(BV121+BW121+BX121=0,1,0)</f>
        <v>1</v>
      </c>
      <c r="CI121" s="42" t="n">
        <f aca="false">IF(BC121&lt;p_RRmin,1,0)</f>
        <v>0</v>
      </c>
      <c r="CJ121" s="46" t="str">
        <f aca="false">IF(SUM(CE121:CI121)=0,IF(CD121&gt;=p_GradeA,"A",IF(CD121&gt;=p_GradeB,"B","C")),IF(AND(CI121=1,SUM(CE121:CH121)=0,CD121&gt;=p_GradeB),"B","C"))</f>
        <v>C</v>
      </c>
    </row>
    <row r="122" customFormat="false" ht="15" hidden="false" customHeight="false" outlineLevel="0" collapsed="false">
      <c r="A122" s="36" t="n">
        <v>45824</v>
      </c>
      <c r="B122" s="37" t="n">
        <v>20.11</v>
      </c>
      <c r="C122" s="37" t="n">
        <v>20.33</v>
      </c>
      <c r="D122" s="37" t="n">
        <v>19.27</v>
      </c>
      <c r="E122" s="37" t="n">
        <v>19.47</v>
      </c>
      <c r="F122" s="38" t="n">
        <v>5148900</v>
      </c>
      <c r="G122" s="39" t="n">
        <f aca="false">A122-WEEKDAY(A122,3)</f>
        <v>45824</v>
      </c>
      <c r="H122" s="40" t="n">
        <f aca="false">2/(p_EmaF+1)*E122+(1-2/(p_EmaF+1))*H121</f>
        <v>20.7731405225031</v>
      </c>
      <c r="I122" s="40" t="n">
        <f aca="false">2/(p_EmaS+1)*E122+(1-2/(p_EmaS+1))*I121</f>
        <v>21.4065216190578</v>
      </c>
      <c r="J122" s="41" t="n">
        <f aca="false">2/(p_MacdF+1)*E122+(1-2/(p_MacdF+1))*J121</f>
        <v>20.7258881970131</v>
      </c>
      <c r="K122" s="41" t="n">
        <f aca="false">2/(p_MacdS+1)*E122+(1-2/(p_MacdS+1))*K121</f>
        <v>21.4065216190578</v>
      </c>
      <c r="L122" s="41" t="n">
        <f aca="false">J122-K122</f>
        <v>-0.680633422044672</v>
      </c>
      <c r="M122" s="41" t="n">
        <f aca="false">2/(p_MacdSig+1)*L122+(1-2/(p_MacdSig+1))*M121</f>
        <v>-0.668074084268834</v>
      </c>
      <c r="N122" s="41" t="n">
        <f aca="false">L122-M122</f>
        <v>-0.0125593377758372</v>
      </c>
      <c r="O122" s="42" t="n">
        <f aca="false">IF(H122&gt;H121,1,0)</f>
        <v>0</v>
      </c>
      <c r="P122" s="42" t="n">
        <f aca="false">IF(H122&lt;H121,1,0)</f>
        <v>1</v>
      </c>
      <c r="Q122" s="42" t="n">
        <f aca="false">IF(N122&gt;N121,1,0)</f>
        <v>0</v>
      </c>
      <c r="R122" s="42" t="n">
        <f aca="false">IF(N122&lt;N121,1,0)</f>
        <v>1</v>
      </c>
      <c r="S122" s="42" t="n">
        <f aca="false">IF(AND(O122=1,Q122=1),1,IF(AND(P122=1,R122=1),-1,0))</f>
        <v>-1</v>
      </c>
      <c r="T122" s="43" t="str">
        <f aca="false">IF(S122=1,"绿",IF(S122=-1,"红","蓝"))</f>
        <v>红</v>
      </c>
      <c r="U122" s="44" t="n">
        <f aca="false">F122*(E122-E121)</f>
        <v>-3552741.00000001</v>
      </c>
      <c r="V122" s="44" t="n">
        <f aca="false">2/(p_FiS+1)*U122+(1-2/(p_FiS+1))*V121</f>
        <v>-2941756.11226109</v>
      </c>
      <c r="W122" s="44" t="n">
        <f aca="false">2/(p_FiL+1)*U122+(1-2/(p_FiL+1))*W121</f>
        <v>-1214530.79258464</v>
      </c>
      <c r="X122" s="41" t="n">
        <f aca="false">MAX(C122-D122,ABS(C122-E121),ABS(D122-E121))</f>
        <v>1.06</v>
      </c>
      <c r="Y122" s="41" t="n">
        <f aca="true">AVERAGE(OFFSET(X122,1-MIN(p_AtrN,ROW()-4),0,MIN(p_AtrN,ROW()-4),1))</f>
        <v>0.555384615384615</v>
      </c>
      <c r="Z122" s="41" t="n">
        <f aca="false">IF(AND(C122-C121&gt;D121-D122,C122-C121&gt;0),C122-C121,0)</f>
        <v>0</v>
      </c>
      <c r="AA122" s="41" t="n">
        <f aca="false">IF(AND(D121-D122&gt;C122-C121,D121-D122&gt;0),D121-D122,0)</f>
        <v>0.699999999999999</v>
      </c>
      <c r="AB122" s="41" t="n">
        <f aca="false">2/(p_AdxN+1)*X122+(1-2/(p_AdxN+1))*AB121</f>
        <v>0.611874358837372</v>
      </c>
      <c r="AC122" s="41" t="n">
        <f aca="false">2/(p_AdxN+1)*Z122+(1-2/(p_AdxN+1))*AC121</f>
        <v>0.0425442867872961</v>
      </c>
      <c r="AD122" s="41" t="n">
        <f aca="false">2/(p_AdxN+1)*AA122+(1-2/(p_AdxN+1))*AD121</f>
        <v>0.270505656757565</v>
      </c>
      <c r="AE122" s="45" t="n">
        <f aca="false">100*AC122/AB122</f>
        <v>6.95310829303827</v>
      </c>
      <c r="AF122" s="45" t="n">
        <f aca="false">100*AD122/AB122</f>
        <v>44.2093467148313</v>
      </c>
      <c r="AG122" s="45" t="n">
        <f aca="false">IFERROR(100*ABS(AE122-AF122)/(AE122+AF122),0)</f>
        <v>72.8194892447253</v>
      </c>
      <c r="AH122" s="45" t="n">
        <f aca="false">2/(p_AdxN+1)*AG122+(1-2/(p_AdxN+1))*AH121</f>
        <v>39.1214806543686</v>
      </c>
      <c r="AI122" s="40" t="n">
        <f aca="false">I122*(1+p_ChPct)</f>
        <v>22.6909129162013</v>
      </c>
      <c r="AJ122" s="40" t="n">
        <f aca="false">I122*(1-p_ChPct)</f>
        <v>20.1221303219143</v>
      </c>
      <c r="AK122" s="40" t="n">
        <f aca="false">I122+1*Y122</f>
        <v>21.9619062344424</v>
      </c>
      <c r="AL122" s="40" t="n">
        <f aca="false">I122+2*Y122</f>
        <v>22.517290849827</v>
      </c>
      <c r="AM122" s="40" t="n">
        <f aca="false">I122+3*Y122</f>
        <v>23.0726754652116</v>
      </c>
      <c r="AN122" s="40" t="n">
        <f aca="false">I122-1*Y122</f>
        <v>20.8511370036732</v>
      </c>
      <c r="AO122" s="40" t="n">
        <f aca="false">I122-2*Y122</f>
        <v>20.2957523882886</v>
      </c>
      <c r="AP122" s="40" t="n">
        <f aca="false">I122-3*Y122</f>
        <v>19.7403677729039</v>
      </c>
      <c r="AQ122" s="40" t="n">
        <f aca="true">MAX(OFFSET(C122,1-MIN(p_StochN,ROW()-4),0,MIN(p_StochN,ROW()-4),1))</f>
        <v>21.3</v>
      </c>
      <c r="AR122" s="40" t="n">
        <f aca="true">MIN(OFFSET(D122,1-MIN(p_StochN,ROW()-4),0,MIN(p_StochN,ROW()-4),1))</f>
        <v>19.27</v>
      </c>
      <c r="AS122" s="45" t="n">
        <f aca="false">IF(AQ122=AR122,50,100*(E122-AR122)/(AQ122-AR122))</f>
        <v>9.85221674876843</v>
      </c>
      <c r="AT122" s="45" t="n">
        <f aca="true">AVERAGE(OFFSET(AS122,1-MIN(p_StochSm,ROW()-4),0,MIN(p_StochSm,ROW()-4),1))</f>
        <v>11.56589795077</v>
      </c>
      <c r="AU122" s="45" t="n">
        <f aca="true">AVERAGE(OFFSET(AT122,1-MIN(p_StochSm,ROW()-4),0,MIN(p_StochSm,ROW()-4),1))</f>
        <v>18.2123783845637</v>
      </c>
      <c r="AV122" s="41" t="n">
        <f aca="false">MAX(0,H122-D122)</f>
        <v>1.50314052250305</v>
      </c>
      <c r="AW122" s="41" t="n">
        <f aca="true">IF(COUNTIF(OFFSET(AV122,1-MIN(p_PenLb,ROW()-4),0,MIN(p_PenLb,ROW()-4),1),"&gt;0")&gt;0,SUM(OFFSET(AV122,1-MIN(p_PenLb,ROW()-4),0,MIN(p_PenLb,ROW()-4),1))/COUNTIF(OFFSET(AV122,1-MIN(p_PenLb,ROW()-4),0,MIN(p_PenLb,ROW()-4),1),"&gt;0"),0.5*Y122)</f>
        <v>1.08170146907728</v>
      </c>
      <c r="AX122" s="41" t="n">
        <f aca="false">2*H122-H121</f>
        <v>20.5559504354192</v>
      </c>
      <c r="AY122" s="40" t="n">
        <f aca="false">ROUND(MAX(AX122-AW122,0.01),2)</f>
        <v>19.47</v>
      </c>
      <c r="AZ122" s="40" t="n">
        <f aca="true">IF(MIN(p_StopLb,ROW()-4)&lt;2,D122,SMALL(OFFSET(D122,1-MIN(p_StopLb,ROW()-4),0,MIN(p_StopLb,ROW()-4),1),2))</f>
        <v>19.97</v>
      </c>
      <c r="BA122" s="40" t="n">
        <f aca="false">IF(MOD(ROUND(ROUNDDOWN(MIN(AZ122-0.01,AY122-p_StopAtr*Y122),2)*100,0),50)=0,ROUNDDOWN(MIN(AZ122-0.01,AY122-p_StopAtr*Y122),2)-0.01,ROUNDDOWN(MIN(AZ122-0.01,AY122-p_StopAtr*Y122),2))</f>
        <v>18.91</v>
      </c>
      <c r="BB122" s="40" t="n">
        <f aca="false">ROUND(AI122,2)</f>
        <v>22.69</v>
      </c>
      <c r="BC122" s="40" t="n">
        <f aca="false">IF(AY122-BA122&gt;0,(BB122-AY122)/(AY122-BA122),0)</f>
        <v>5.75000000000002</v>
      </c>
      <c r="BD122" s="42" t="n">
        <f aca="false">IF(N122&lt;0,1,0)</f>
        <v>1</v>
      </c>
      <c r="BE122" s="41" t="n">
        <f aca="false">IF(AND(BD122=1,BD121=0),N122,IF(BD122=1,MIN(BE121,N122),BE121))</f>
        <v>-0.0125593377758372</v>
      </c>
      <c r="BF122" s="40" t="n">
        <f aca="false">IF(AND(BD122=1,BD121=0),D122,IF(BD122=1,MIN(BF121,D122),BF121))</f>
        <v>19.27</v>
      </c>
      <c r="BG122" s="42" t="n">
        <f aca="false">IF(AND(BD122=1,BD121=0),ROW(),IF(BD122=1,IF(N122&lt;BE121,ROW(),BG121),BG121))</f>
        <v>122</v>
      </c>
      <c r="BH122" s="41" t="n">
        <f aca="false">IF(AND(BD122=1,BD121=0),BE121,BH121)</f>
        <v>-0.392824838841331</v>
      </c>
      <c r="BI122" s="40" t="n">
        <f aca="false">IF(AND(BD122=1,BD121=0),BF121,BI121)</f>
        <v>20.27</v>
      </c>
      <c r="BJ122" s="42" t="n">
        <f aca="false">IF(AND(BD122=1,BD121=0),BG121,BJ121)</f>
        <v>98</v>
      </c>
      <c r="BK122" s="42" t="n">
        <f aca="false">IF(AND(ISNUMBER(BG122),ISNUMBER(BJ122)),BG122-BJ122,"")</f>
        <v>24</v>
      </c>
      <c r="BL122" s="42" t="n">
        <f aca="false">IF(AND(BD122=1,N122&gt;N121,ISNUMBER(BH122),ISNUMBER(BK122)),IF(AND(BE122&gt;BH122,BF122&lt;BI122,BK122&gt;=p_GapMin,BK122&lt;=p_GapMax),1,0),0)</f>
        <v>0</v>
      </c>
      <c r="BM122" s="42" t="n">
        <f aca="false">IF(AND(BL122=1,E122&gt;BI122),1,0)</f>
        <v>0</v>
      </c>
      <c r="BN122" s="42" t="n">
        <f aca="false">IF(BL122=1,IF(BE122&gt;=BH122*0.5,1,0),0)</f>
        <v>0</v>
      </c>
      <c r="BO122" s="42" t="n">
        <f aca="true">IF(V122&gt;MIN(OFFSET(V122,-MIN(p_FiLb-1,ROW()-5),0,MIN(p_FiLb-1,ROW()-5),1)),1,0)</f>
        <v>1</v>
      </c>
      <c r="BP122" s="44" t="n">
        <f aca="true">IF(COUNTIF(OFFSET(V122,1-MIN(100,ROW()-4),0,MIN(100,ROW()-4),1),"&lt;0")&gt;=5,AVERAGEIF(OFFSET(V122,1-MIN(100,ROW()-4),0,MIN(100,ROW()-4),1),"&lt;0"),"")</f>
        <v>-989367.915420981</v>
      </c>
      <c r="BQ122" s="42" t="n">
        <f aca="false">IF(ISNUMBER(BP122),IF(AND(V122&lt;5*BP122,V122&gt;V121,E122&lt;AJ122),1,0),0)</f>
        <v>0</v>
      </c>
      <c r="BR122" s="44" t="n">
        <f aca="true">AVERAGE(OFFSET(F122,1-MIN(5,ROW()-4),0,MIN(5,ROW()-4),1))</f>
        <v>4431100</v>
      </c>
      <c r="BS122" s="42" t="n">
        <f aca="false">IFERROR(IF(MATCH(G122,周线!$A$5:$A$84,0)&lt;=1,"",INDEX(周线!$R$5:$R$84,MATCH(G122,周线!$A$5:$A$84,0)-1)),"")</f>
        <v>0</v>
      </c>
      <c r="BT122" s="42" t="n">
        <f aca="false">IFERROR(IF(MATCH(G122,周线!$A$5:$A$84,0)&lt;=1,"",INDEX(周线!$S$5:$S$84,MATCH(G122,周线!$A$5:$A$84,0)-1)),"")</f>
        <v>0</v>
      </c>
      <c r="BU122" s="42" t="n">
        <f aca="false">IFERROR(IF(MATCH(G122,周线!$A$5:$A$84,0)&lt;=1,"",INDEX(周线!$U$5:$U$84,MATCH(G122,周线!$A$5:$A$84,0)-1)),"")</f>
        <v>-1</v>
      </c>
      <c r="BV122" s="42" t="n">
        <f aca="false">IF(AND(BS122=1,S122&lt;&gt;-1,V122&lt;0,BO122=1,E122&lt;=H122,E122&gt;=AJ122),1,0)</f>
        <v>0</v>
      </c>
      <c r="BW122" s="42" t="n">
        <f aca="false">BL122</f>
        <v>0</v>
      </c>
      <c r="BX122" s="42" t="n">
        <f aca="false">BQ122</f>
        <v>0</v>
      </c>
      <c r="BY122" s="42" t="n">
        <f aca="false">IF(BS122=1,10,0)+IF(BU122=1,5,IF(BU122=-1,0,3))+IF(BT122=1,5,0)+IF(AND(AE122&gt;AF122,AH122&gt;AH121),5,0)</f>
        <v>0</v>
      </c>
      <c r="BZ122" s="42" t="n">
        <f aca="false">IF(AND(E122&lt;=H122,E122&gt;=I122),10,IF(AND(E122&gt;=AJ122,E122&lt;I122),6,0))+IF(AND(V122&lt;0,BO122=1),8,0)+IF(AT122&lt;30,7,IF(AT122&lt;50,3,0))</f>
        <v>15</v>
      </c>
      <c r="CA122" s="42" t="n">
        <f aca="false">IF(AND(BV122=1,BW122=1),25,IF(BW122=1,22,IF(BV122=1,15,IF(BX122=1,12,0))))</f>
        <v>0</v>
      </c>
      <c r="CB122" s="42" t="n">
        <f aca="false">IF(W122&gt;0,6,0)+IF(F122&lt;BR122,4,0)</f>
        <v>0</v>
      </c>
      <c r="CC122" s="42" t="n">
        <f aca="false">IF(BC122&gt;=3,15,IF(BC122&gt;=p_RRmin,10,IF(BC122&gt;=1.5,4,0)))</f>
        <v>15</v>
      </c>
      <c r="CD122" s="42" t="n">
        <f aca="false">BY122+BZ122+CA122+CB122+CC122</f>
        <v>30</v>
      </c>
      <c r="CE122" s="42" t="n">
        <f aca="false">IF(AND(BS122&lt;&gt;1,BW122+BX122=0),1,0)</f>
        <v>1</v>
      </c>
      <c r="CF122" s="42" t="n">
        <f aca="false">IF(BU122=-1,1,0)</f>
        <v>1</v>
      </c>
      <c r="CG122" s="42" t="n">
        <f aca="false">IF(S122=-1,1,0)</f>
        <v>1</v>
      </c>
      <c r="CH122" s="42" t="n">
        <f aca="false">IF(BV122+BW122+BX122=0,1,0)</f>
        <v>1</v>
      </c>
      <c r="CI122" s="42" t="n">
        <f aca="false">IF(BC122&lt;p_RRmin,1,0)</f>
        <v>0</v>
      </c>
      <c r="CJ122" s="46" t="str">
        <f aca="false">IF(SUM(CE122:CI122)=0,IF(CD122&gt;=p_GradeA,"A",IF(CD122&gt;=p_GradeB,"B","C")),IF(AND(CI122=1,SUM(CE122:CH122)=0,CD122&gt;=p_GradeB),"B","C"))</f>
        <v>C</v>
      </c>
    </row>
    <row r="123" customFormat="false" ht="15" hidden="false" customHeight="false" outlineLevel="0" collapsed="false">
      <c r="A123" s="36" t="n">
        <v>45825</v>
      </c>
      <c r="B123" s="37" t="n">
        <v>19.49</v>
      </c>
      <c r="C123" s="37" t="n">
        <v>19.62</v>
      </c>
      <c r="D123" s="37" t="n">
        <v>19.33</v>
      </c>
      <c r="E123" s="37" t="n">
        <v>19.55</v>
      </c>
      <c r="F123" s="38" t="n">
        <v>4186700</v>
      </c>
      <c r="G123" s="39" t="n">
        <f aca="false">A123-WEEKDAY(A123,3)</f>
        <v>45824</v>
      </c>
      <c r="H123" s="40" t="n">
        <f aca="false">2/(p_EmaF+1)*E123+(1-2/(p_EmaF+1))*H122</f>
        <v>20.5984061621455</v>
      </c>
      <c r="I123" s="40" t="n">
        <f aca="false">2/(p_EmaS+1)*E123+(1-2/(p_EmaS+1))*I122</f>
        <v>21.2690014991276</v>
      </c>
      <c r="J123" s="41" t="n">
        <f aca="false">2/(p_MacdF+1)*E123+(1-2/(p_MacdF+1))*J122</f>
        <v>20.5449823205496</v>
      </c>
      <c r="K123" s="41" t="n">
        <f aca="false">2/(p_MacdS+1)*E123+(1-2/(p_MacdS+1))*K122</f>
        <v>21.2690014991276</v>
      </c>
      <c r="L123" s="41" t="n">
        <f aca="false">J123-K123</f>
        <v>-0.724019178578022</v>
      </c>
      <c r="M123" s="41" t="n">
        <f aca="false">2/(p_MacdSig+1)*L123+(1-2/(p_MacdSig+1))*M122</f>
        <v>-0.679263103130672</v>
      </c>
      <c r="N123" s="41" t="n">
        <f aca="false">L123-M123</f>
        <v>-0.0447560754473501</v>
      </c>
      <c r="O123" s="42" t="n">
        <f aca="false">IF(H123&gt;H122,1,0)</f>
        <v>0</v>
      </c>
      <c r="P123" s="42" t="n">
        <f aca="false">IF(H123&lt;H122,1,0)</f>
        <v>1</v>
      </c>
      <c r="Q123" s="42" t="n">
        <f aca="false">IF(N123&gt;N122,1,0)</f>
        <v>0</v>
      </c>
      <c r="R123" s="42" t="n">
        <f aca="false">IF(N123&lt;N122,1,0)</f>
        <v>1</v>
      </c>
      <c r="S123" s="42" t="n">
        <f aca="false">IF(AND(O123=1,Q123=1),1,IF(AND(P123=1,R123=1),-1,0))</f>
        <v>-1</v>
      </c>
      <c r="T123" s="43" t="str">
        <f aca="false">IF(S123=1,"绿",IF(S123=-1,"红","蓝"))</f>
        <v>红</v>
      </c>
      <c r="U123" s="44" t="n">
        <f aca="false">F123*(E123-E122)</f>
        <v>334936.000000008</v>
      </c>
      <c r="V123" s="44" t="n">
        <f aca="false">2/(p_FiS+1)*U123+(1-2/(p_FiS+1))*V122</f>
        <v>-757294.704087025</v>
      </c>
      <c r="W123" s="44" t="n">
        <f aca="false">2/(p_FiL+1)*U123+(1-2/(p_FiL+1))*W122</f>
        <v>-993178.393643977</v>
      </c>
      <c r="X123" s="41" t="n">
        <f aca="false">MAX(C123-D123,ABS(C123-E122),ABS(D123-E122))</f>
        <v>0.290000000000003</v>
      </c>
      <c r="Y123" s="41" t="n">
        <f aca="true">AVERAGE(OFFSET(X123,1-MIN(p_AtrN,ROW()-4),0,MIN(p_AtrN,ROW()-4),1))</f>
        <v>0.544615384615385</v>
      </c>
      <c r="Z123" s="41" t="n">
        <f aca="false">IF(AND(C123-C122&gt;D122-D123,C123-C122&gt;0),C123-C122,0)</f>
        <v>0</v>
      </c>
      <c r="AA123" s="41" t="n">
        <f aca="false">IF(AND(D122-D123&gt;C123-C122,D122-D123&gt;0),D122-D123,0)</f>
        <v>0</v>
      </c>
      <c r="AB123" s="41" t="n">
        <f aca="false">2/(p_AdxN+1)*X123+(1-2/(p_AdxN+1))*AB122</f>
        <v>0.565892307574891</v>
      </c>
      <c r="AC123" s="41" t="n">
        <f aca="false">2/(p_AdxN+1)*Z123+(1-2/(p_AdxN+1))*AC122</f>
        <v>0.036466531531968</v>
      </c>
      <c r="AD123" s="41" t="n">
        <f aca="false">2/(p_AdxN+1)*AA123+(1-2/(p_AdxN+1))*AD122</f>
        <v>0.231861991506484</v>
      </c>
      <c r="AE123" s="45" t="n">
        <f aca="false">100*AC123/AB123</f>
        <v>6.44407620387065</v>
      </c>
      <c r="AF123" s="45" t="n">
        <f aca="false">100*AD123/AB123</f>
        <v>40.9728120355831</v>
      </c>
      <c r="AG123" s="45" t="n">
        <f aca="false">IFERROR(100*ABS(AE123-AF123)/(AE123+AF123),0)</f>
        <v>72.8194892447254</v>
      </c>
      <c r="AH123" s="45" t="n">
        <f aca="false">2/(p_AdxN+1)*AG123+(1-2/(p_AdxN+1))*AH122</f>
        <v>43.9354818815624</v>
      </c>
      <c r="AI123" s="40" t="n">
        <f aca="false">I123*(1+p_ChPct)</f>
        <v>22.5451415890752</v>
      </c>
      <c r="AJ123" s="40" t="n">
        <f aca="false">I123*(1-p_ChPct)</f>
        <v>19.9928614091799</v>
      </c>
      <c r="AK123" s="40" t="n">
        <f aca="false">I123+1*Y123</f>
        <v>21.813616883743</v>
      </c>
      <c r="AL123" s="40" t="n">
        <f aca="false">I123+2*Y123</f>
        <v>22.3582322683584</v>
      </c>
      <c r="AM123" s="40" t="n">
        <f aca="false">I123+3*Y123</f>
        <v>22.9028476529737</v>
      </c>
      <c r="AN123" s="40" t="n">
        <f aca="false">I123-1*Y123</f>
        <v>20.7243861145122</v>
      </c>
      <c r="AO123" s="40" t="n">
        <f aca="false">I123-2*Y123</f>
        <v>20.1797707298968</v>
      </c>
      <c r="AP123" s="40" t="n">
        <f aca="false">I123-3*Y123</f>
        <v>19.6351553452814</v>
      </c>
      <c r="AQ123" s="40" t="n">
        <f aca="true">MAX(OFFSET(C123,1-MIN(p_StochN,ROW()-4),0,MIN(p_StochN,ROW()-4),1))</f>
        <v>21.24</v>
      </c>
      <c r="AR123" s="40" t="n">
        <f aca="true">MIN(OFFSET(D123,1-MIN(p_StochN,ROW()-4),0,MIN(p_StochN,ROW()-4),1))</f>
        <v>19.27</v>
      </c>
      <c r="AS123" s="45" t="n">
        <f aca="false">IF(AQ123=AR123,50,100*(E123-AR123)/(AQ123-AR123))</f>
        <v>14.2131979695432</v>
      </c>
      <c r="AT123" s="45" t="n">
        <f aca="true">AVERAGE(OFFSET(AS123,1-MIN(p_StochSm,ROW()-4),0,MIN(p_StochSm,ROW()-4),1))</f>
        <v>12.1078264114803</v>
      </c>
      <c r="AU123" s="45" t="n">
        <f aca="true">AVERAGE(OFFSET(AT123,1-MIN(p_StochSm,ROW()-4),0,MIN(p_StochSm,ROW()-4),1))</f>
        <v>13.2393690470188</v>
      </c>
      <c r="AV123" s="41" t="n">
        <f aca="false">MAX(0,H123-D123)</f>
        <v>1.26840616214547</v>
      </c>
      <c r="AW123" s="41" t="n">
        <f aca="true">IF(COUNTIF(OFFSET(AV123,1-MIN(p_PenLb,ROW()-4),0,MIN(p_PenLb,ROW()-4),1),"&gt;0")&gt;0,SUM(OFFSET(AV123,1-MIN(p_PenLb,ROW()-4),0,MIN(p_PenLb,ROW()-4),1))/COUNTIF(OFFSET(AV123,1-MIN(p_PenLb,ROW()-4),0,MIN(p_PenLb,ROW()-4),1),"&gt;0"),0.5*Y123)</f>
        <v>1.08560125920909</v>
      </c>
      <c r="AX123" s="41" t="n">
        <f aca="false">2*H123-H122</f>
        <v>20.4236718017879</v>
      </c>
      <c r="AY123" s="40" t="n">
        <f aca="false">ROUND(MAX(AX123-AW123,0.01),2)</f>
        <v>19.34</v>
      </c>
      <c r="AZ123" s="40" t="n">
        <f aca="true">IF(MIN(p_StopLb,ROW()-4)&lt;2,D123,SMALL(OFFSET(D123,1-MIN(p_StopLb,ROW()-4),0,MIN(p_StopLb,ROW()-4),1),2))</f>
        <v>19.33</v>
      </c>
      <c r="BA123" s="40" t="n">
        <f aca="false">IF(MOD(ROUND(ROUNDDOWN(MIN(AZ123-0.01,AY123-p_StopAtr*Y123),2)*100,0),50)=0,ROUNDDOWN(MIN(AZ123-0.01,AY123-p_StopAtr*Y123),2)-0.01,ROUNDDOWN(MIN(AZ123-0.01,AY123-p_StopAtr*Y123),2))</f>
        <v>18.79</v>
      </c>
      <c r="BB123" s="40" t="n">
        <f aca="false">ROUND(AI123,2)</f>
        <v>22.55</v>
      </c>
      <c r="BC123" s="40" t="n">
        <f aca="false">IF(AY123-BA123&gt;0,(BB123-AY123)/(AY123-BA123),0)</f>
        <v>5.83636363636363</v>
      </c>
      <c r="BD123" s="42" t="n">
        <f aca="false">IF(N123&lt;0,1,0)</f>
        <v>1</v>
      </c>
      <c r="BE123" s="41" t="n">
        <f aca="false">IF(AND(BD123=1,BD122=0),N123,IF(BD123=1,MIN(BE122,N123),BE122))</f>
        <v>-0.0447560754473501</v>
      </c>
      <c r="BF123" s="40" t="n">
        <f aca="false">IF(AND(BD123=1,BD122=0),D123,IF(BD123=1,MIN(BF122,D123),BF122))</f>
        <v>19.27</v>
      </c>
      <c r="BG123" s="42" t="n">
        <f aca="false">IF(AND(BD123=1,BD122=0),ROW(),IF(BD123=1,IF(N123&lt;BE122,ROW(),BG122),BG122))</f>
        <v>123</v>
      </c>
      <c r="BH123" s="41" t="n">
        <f aca="false">IF(AND(BD123=1,BD122=0),BE122,BH122)</f>
        <v>-0.392824838841331</v>
      </c>
      <c r="BI123" s="40" t="n">
        <f aca="false">IF(AND(BD123=1,BD122=0),BF122,BI122)</f>
        <v>20.27</v>
      </c>
      <c r="BJ123" s="42" t="n">
        <f aca="false">IF(AND(BD123=1,BD122=0),BG122,BJ122)</f>
        <v>98</v>
      </c>
      <c r="BK123" s="42" t="n">
        <f aca="false">IF(AND(ISNUMBER(BG123),ISNUMBER(BJ123)),BG123-BJ123,"")</f>
        <v>25</v>
      </c>
      <c r="BL123" s="42" t="n">
        <f aca="false">IF(AND(BD123=1,N123&gt;N122,ISNUMBER(BH123),ISNUMBER(BK123)),IF(AND(BE123&gt;BH123,BF123&lt;BI123,BK123&gt;=p_GapMin,BK123&lt;=p_GapMax),1,0),0)</f>
        <v>0</v>
      </c>
      <c r="BM123" s="42" t="n">
        <f aca="false">IF(AND(BL123=1,E123&gt;BI123),1,0)</f>
        <v>0</v>
      </c>
      <c r="BN123" s="42" t="n">
        <f aca="false">IF(BL123=1,IF(BE123&gt;=BH123*0.5,1,0),0)</f>
        <v>0</v>
      </c>
      <c r="BO123" s="42" t="n">
        <f aca="true">IF(V123&gt;MIN(OFFSET(V123,-MIN(p_FiLb-1,ROW()-5),0,MIN(p_FiLb-1,ROW()-5),1)),1,0)</f>
        <v>1</v>
      </c>
      <c r="BP123" s="44" t="n">
        <f aca="true">IF(COUNTIF(OFFSET(V123,1-MIN(100,ROW()-4),0,MIN(100,ROW()-4),1),"&lt;0")&gt;=5,AVERAGEIF(OFFSET(V123,1-MIN(100,ROW()-4),0,MIN(100,ROW()-4),1),"&lt;0"),"")</f>
        <v>-985148.402487636</v>
      </c>
      <c r="BQ123" s="42" t="n">
        <f aca="false">IF(ISNUMBER(BP123),IF(AND(V123&lt;5*BP123,V123&gt;V122,E123&lt;AJ123),1,0),0)</f>
        <v>0</v>
      </c>
      <c r="BR123" s="44" t="n">
        <f aca="true">AVERAGE(OFFSET(F123,1-MIN(5,ROW()-4),0,MIN(5,ROW()-4),1))</f>
        <v>4719720</v>
      </c>
      <c r="BS123" s="42" t="n">
        <f aca="false">IFERROR(IF(MATCH(G123,周线!$A$5:$A$84,0)&lt;=1,"",INDEX(周线!$R$5:$R$84,MATCH(G123,周线!$A$5:$A$84,0)-1)),"")</f>
        <v>0</v>
      </c>
      <c r="BT123" s="42" t="n">
        <f aca="false">IFERROR(IF(MATCH(G123,周线!$A$5:$A$84,0)&lt;=1,"",INDEX(周线!$S$5:$S$84,MATCH(G123,周线!$A$5:$A$84,0)-1)),"")</f>
        <v>0</v>
      </c>
      <c r="BU123" s="42" t="n">
        <f aca="false">IFERROR(IF(MATCH(G123,周线!$A$5:$A$84,0)&lt;=1,"",INDEX(周线!$U$5:$U$84,MATCH(G123,周线!$A$5:$A$84,0)-1)),"")</f>
        <v>-1</v>
      </c>
      <c r="BV123" s="42" t="n">
        <f aca="false">IF(AND(BS123=1,S123&lt;&gt;-1,V123&lt;0,BO123=1,E123&lt;=H123,E123&gt;=AJ123),1,0)</f>
        <v>0</v>
      </c>
      <c r="BW123" s="42" t="n">
        <f aca="false">BL123</f>
        <v>0</v>
      </c>
      <c r="BX123" s="42" t="n">
        <f aca="false">BQ123</f>
        <v>0</v>
      </c>
      <c r="BY123" s="42" t="n">
        <f aca="false">IF(BS123=1,10,0)+IF(BU123=1,5,IF(BU123=-1,0,3))+IF(BT123=1,5,0)+IF(AND(AE123&gt;AF123,AH123&gt;AH122),5,0)</f>
        <v>0</v>
      </c>
      <c r="BZ123" s="42" t="n">
        <f aca="false">IF(AND(E123&lt;=H123,E123&gt;=I123),10,IF(AND(E123&gt;=AJ123,E123&lt;I123),6,0))+IF(AND(V123&lt;0,BO123=1),8,0)+IF(AT123&lt;30,7,IF(AT123&lt;50,3,0))</f>
        <v>15</v>
      </c>
      <c r="CA123" s="42" t="n">
        <f aca="false">IF(AND(BV123=1,BW123=1),25,IF(BW123=1,22,IF(BV123=1,15,IF(BX123=1,12,0))))</f>
        <v>0</v>
      </c>
      <c r="CB123" s="42" t="n">
        <f aca="false">IF(W123&gt;0,6,0)+IF(F123&lt;BR123,4,0)</f>
        <v>4</v>
      </c>
      <c r="CC123" s="42" t="n">
        <f aca="false">IF(BC123&gt;=3,15,IF(BC123&gt;=p_RRmin,10,IF(BC123&gt;=1.5,4,0)))</f>
        <v>15</v>
      </c>
      <c r="CD123" s="42" t="n">
        <f aca="false">BY123+BZ123+CA123+CB123+CC123</f>
        <v>34</v>
      </c>
      <c r="CE123" s="42" t="n">
        <f aca="false">IF(AND(BS123&lt;&gt;1,BW123+BX123=0),1,0)</f>
        <v>1</v>
      </c>
      <c r="CF123" s="42" t="n">
        <f aca="false">IF(BU123=-1,1,0)</f>
        <v>1</v>
      </c>
      <c r="CG123" s="42" t="n">
        <f aca="false">IF(S123=-1,1,0)</f>
        <v>1</v>
      </c>
      <c r="CH123" s="42" t="n">
        <f aca="false">IF(BV123+BW123+BX123=0,1,0)</f>
        <v>1</v>
      </c>
      <c r="CI123" s="42" t="n">
        <f aca="false">IF(BC123&lt;p_RRmin,1,0)</f>
        <v>0</v>
      </c>
      <c r="CJ123" s="46" t="str">
        <f aca="false">IF(SUM(CE123:CI123)=0,IF(CD123&gt;=p_GradeA,"A",IF(CD123&gt;=p_GradeB,"B","C")),IF(AND(CI123=1,SUM(CE123:CH123)=0,CD123&gt;=p_GradeB),"B","C"))</f>
        <v>C</v>
      </c>
    </row>
    <row r="124" customFormat="false" ht="15" hidden="false" customHeight="false" outlineLevel="0" collapsed="false">
      <c r="A124" s="36" t="n">
        <v>45826</v>
      </c>
      <c r="B124" s="37" t="n">
        <v>19.5</v>
      </c>
      <c r="C124" s="37" t="n">
        <v>19.84</v>
      </c>
      <c r="D124" s="37" t="n">
        <v>19.35</v>
      </c>
      <c r="E124" s="37" t="n">
        <v>19.52</v>
      </c>
      <c r="F124" s="38" t="n">
        <v>2473900</v>
      </c>
      <c r="G124" s="39" t="n">
        <f aca="false">A124-WEEKDAY(A124,3)</f>
        <v>45824</v>
      </c>
      <c r="H124" s="40" t="n">
        <f aca="false">2/(p_EmaF+1)*E124+(1-2/(p_EmaF+1))*H123</f>
        <v>20.4443481389818</v>
      </c>
      <c r="I124" s="40" t="n">
        <f aca="false">2/(p_EmaS+1)*E124+(1-2/(p_EmaS+1))*I123</f>
        <v>21.1394458325255</v>
      </c>
      <c r="J124" s="41" t="n">
        <f aca="false">2/(p_MacdF+1)*E124+(1-2/(p_MacdF+1))*J123</f>
        <v>20.3872927327727</v>
      </c>
      <c r="K124" s="41" t="n">
        <f aca="false">2/(p_MacdS+1)*E124+(1-2/(p_MacdS+1))*K123</f>
        <v>21.1394458325255</v>
      </c>
      <c r="L124" s="41" t="n">
        <f aca="false">J124-K124</f>
        <v>-0.752153099752839</v>
      </c>
      <c r="M124" s="41" t="n">
        <f aca="false">2/(p_MacdSig+1)*L124+(1-2/(p_MacdSig+1))*M123</f>
        <v>-0.693841102455105</v>
      </c>
      <c r="N124" s="41" t="n">
        <f aca="false">L124-M124</f>
        <v>-0.0583119972977335</v>
      </c>
      <c r="O124" s="42" t="n">
        <f aca="false">IF(H124&gt;H123,1,0)</f>
        <v>0</v>
      </c>
      <c r="P124" s="42" t="n">
        <f aca="false">IF(H124&lt;H123,1,0)</f>
        <v>1</v>
      </c>
      <c r="Q124" s="42" t="n">
        <f aca="false">IF(N124&gt;N123,1,0)</f>
        <v>0</v>
      </c>
      <c r="R124" s="42" t="n">
        <f aca="false">IF(N124&lt;N123,1,0)</f>
        <v>1</v>
      </c>
      <c r="S124" s="42" t="n">
        <f aca="false">IF(AND(O124=1,Q124=1),1,IF(AND(P124=1,R124=1),-1,0))</f>
        <v>-1</v>
      </c>
      <c r="T124" s="43" t="str">
        <f aca="false">IF(S124=1,"绿",IF(S124=-1,"红","蓝"))</f>
        <v>红</v>
      </c>
      <c r="U124" s="44" t="n">
        <f aca="false">F124*(E124-E123)</f>
        <v>-74217.0000000028</v>
      </c>
      <c r="V124" s="44" t="n">
        <f aca="false">2/(p_FiS+1)*U124+(1-2/(p_FiS+1))*V123</f>
        <v>-301909.56802901</v>
      </c>
      <c r="W124" s="44" t="n">
        <f aca="false">2/(p_FiL+1)*U124+(1-2/(p_FiL+1))*W123</f>
        <v>-861898.194551981</v>
      </c>
      <c r="X124" s="41" t="n">
        <f aca="false">MAX(C124-D124,ABS(C124-E123),ABS(D124-E123))</f>
        <v>0.489999999999998</v>
      </c>
      <c r="Y124" s="41" t="n">
        <f aca="true">AVERAGE(OFFSET(X124,1-MIN(p_AtrN,ROW()-4),0,MIN(p_AtrN,ROW()-4),1))</f>
        <v>0.557692307692307</v>
      </c>
      <c r="Z124" s="41" t="n">
        <f aca="false">IF(AND(C124-C123&gt;D123-D124,C124-C123&gt;0),C124-C123,0)</f>
        <v>0.219999999999999</v>
      </c>
      <c r="AA124" s="41" t="n">
        <f aca="false">IF(AND(D123-D124&gt;C124-C123,D123-D124&gt;0),D123-D124,0)</f>
        <v>0</v>
      </c>
      <c r="AB124" s="41" t="n">
        <f aca="false">2/(p_AdxN+1)*X124+(1-2/(p_AdxN+1))*AB123</f>
        <v>0.555050549349906</v>
      </c>
      <c r="AC124" s="41" t="n">
        <f aca="false">2/(p_AdxN+1)*Z124+(1-2/(p_AdxN+1))*AC123</f>
        <v>0.0626855984559724</v>
      </c>
      <c r="AD124" s="41" t="n">
        <f aca="false">2/(p_AdxN+1)*AA124+(1-2/(p_AdxN+1))*AD123</f>
        <v>0.198738849862701</v>
      </c>
      <c r="AE124" s="45" t="n">
        <f aca="false">100*AC124/AB124</f>
        <v>11.2936737977094</v>
      </c>
      <c r="AF124" s="45" t="n">
        <f aca="false">100*AD124/AB124</f>
        <v>35.805540611656</v>
      </c>
      <c r="AG124" s="45" t="n">
        <f aca="false">IFERROR(100*ABS(AE124-AF124)/(AE124+AF124),0)</f>
        <v>52.0430481088292</v>
      </c>
      <c r="AH124" s="45" t="n">
        <f aca="false">2/(p_AdxN+1)*AG124+(1-2/(p_AdxN+1))*AH123</f>
        <v>45.0937056283148</v>
      </c>
      <c r="AI124" s="40" t="n">
        <f aca="false">I124*(1+p_ChPct)</f>
        <v>22.4078125824771</v>
      </c>
      <c r="AJ124" s="40" t="n">
        <f aca="false">I124*(1-p_ChPct)</f>
        <v>19.871079082574</v>
      </c>
      <c r="AK124" s="40" t="n">
        <f aca="false">I124+1*Y124</f>
        <v>21.6971381402179</v>
      </c>
      <c r="AL124" s="40" t="n">
        <f aca="false">I124+2*Y124</f>
        <v>22.2548304479102</v>
      </c>
      <c r="AM124" s="40" t="n">
        <f aca="false">I124+3*Y124</f>
        <v>22.8125227556025</v>
      </c>
      <c r="AN124" s="40" t="n">
        <f aca="false">I124-1*Y124</f>
        <v>20.5817535248332</v>
      </c>
      <c r="AO124" s="40" t="n">
        <f aca="false">I124-2*Y124</f>
        <v>20.0240612171409</v>
      </c>
      <c r="AP124" s="40" t="n">
        <f aca="false">I124-3*Y124</f>
        <v>19.4663689094486</v>
      </c>
      <c r="AQ124" s="40" t="n">
        <f aca="true">MAX(OFFSET(C124,1-MIN(p_StochN,ROW()-4),0,MIN(p_StochN,ROW()-4),1))</f>
        <v>21.24</v>
      </c>
      <c r="AR124" s="40" t="n">
        <f aca="true">MIN(OFFSET(D124,1-MIN(p_StochN,ROW()-4),0,MIN(p_StochN,ROW()-4),1))</f>
        <v>19.27</v>
      </c>
      <c r="AS124" s="45" t="n">
        <f aca="false">IF(AQ124=AR124,50,100*(E124-AR124)/(AQ124-AR124))</f>
        <v>12.6903553299492</v>
      </c>
      <c r="AT124" s="45" t="n">
        <f aca="true">AVERAGE(OFFSET(AS124,1-MIN(p_StochSm,ROW()-4),0,MIN(p_StochSm,ROW()-4),1))</f>
        <v>12.2519233494203</v>
      </c>
      <c r="AU124" s="45" t="n">
        <f aca="true">AVERAGE(OFFSET(AT124,1-MIN(p_StochSm,ROW()-4),0,MIN(p_StochSm,ROW()-4),1))</f>
        <v>11.9752159038902</v>
      </c>
      <c r="AV124" s="41" t="n">
        <f aca="false">MAX(0,H124-D124)</f>
        <v>1.09434813898184</v>
      </c>
      <c r="AW124" s="41" t="n">
        <f aca="true">IF(COUNTIF(OFFSET(AV124,1-MIN(p_PenLb,ROW()-4),0,MIN(p_PenLb,ROW()-4),1),"&gt;0")&gt;0,SUM(OFFSET(AV124,1-MIN(p_PenLb,ROW()-4),0,MIN(p_PenLb,ROW()-4),1))/COUNTIF(OFFSET(AV124,1-MIN(p_PenLb,ROW()-4),0,MIN(p_PenLb,ROW()-4),1),"&gt;0"),0.5*Y124)</f>
        <v>1.06161060313161</v>
      </c>
      <c r="AX124" s="41" t="n">
        <f aca="false">2*H124-H123</f>
        <v>20.2902901158182</v>
      </c>
      <c r="AY124" s="40" t="n">
        <f aca="false">ROUND(MAX(AX124-AW124,0.01),2)</f>
        <v>19.23</v>
      </c>
      <c r="AZ124" s="40" t="n">
        <f aca="true">IF(MIN(p_StopLb,ROW()-4)&lt;2,D124,SMALL(OFFSET(D124,1-MIN(p_StopLb,ROW()-4),0,MIN(p_StopLb,ROW()-4),1),2))</f>
        <v>19.33</v>
      </c>
      <c r="BA124" s="40" t="n">
        <f aca="false">IF(MOD(ROUND(ROUNDDOWN(MIN(AZ124-0.01,AY124-p_StopAtr*Y124),2)*100,0),50)=0,ROUNDDOWN(MIN(AZ124-0.01,AY124-p_StopAtr*Y124),2)-0.01,ROUNDDOWN(MIN(AZ124-0.01,AY124-p_StopAtr*Y124),2))</f>
        <v>18.67</v>
      </c>
      <c r="BB124" s="40" t="n">
        <f aca="false">ROUND(AI124,2)</f>
        <v>22.41</v>
      </c>
      <c r="BC124" s="40" t="n">
        <f aca="false">IF(AY124-BA124&gt;0,(BB124-AY124)/(AY124-BA124),0)</f>
        <v>5.67857142857144</v>
      </c>
      <c r="BD124" s="42" t="n">
        <f aca="false">IF(N124&lt;0,1,0)</f>
        <v>1</v>
      </c>
      <c r="BE124" s="41" t="n">
        <f aca="false">IF(AND(BD124=1,BD123=0),N124,IF(BD124=1,MIN(BE123,N124),BE123))</f>
        <v>-0.0583119972977335</v>
      </c>
      <c r="BF124" s="40" t="n">
        <f aca="false">IF(AND(BD124=1,BD123=0),D124,IF(BD124=1,MIN(BF123,D124),BF123))</f>
        <v>19.27</v>
      </c>
      <c r="BG124" s="42" t="n">
        <f aca="false">IF(AND(BD124=1,BD123=0),ROW(),IF(BD124=1,IF(N124&lt;BE123,ROW(),BG123),BG123))</f>
        <v>124</v>
      </c>
      <c r="BH124" s="41" t="n">
        <f aca="false">IF(AND(BD124=1,BD123=0),BE123,BH123)</f>
        <v>-0.392824838841331</v>
      </c>
      <c r="BI124" s="40" t="n">
        <f aca="false">IF(AND(BD124=1,BD123=0),BF123,BI123)</f>
        <v>20.27</v>
      </c>
      <c r="BJ124" s="42" t="n">
        <f aca="false">IF(AND(BD124=1,BD123=0),BG123,BJ123)</f>
        <v>98</v>
      </c>
      <c r="BK124" s="42" t="n">
        <f aca="false">IF(AND(ISNUMBER(BG124),ISNUMBER(BJ124)),BG124-BJ124,"")</f>
        <v>26</v>
      </c>
      <c r="BL124" s="42" t="n">
        <f aca="false">IF(AND(BD124=1,N124&gt;N123,ISNUMBER(BH124),ISNUMBER(BK124)),IF(AND(BE124&gt;BH124,BF124&lt;BI124,BK124&gt;=p_GapMin,BK124&lt;=p_GapMax),1,0),0)</f>
        <v>0</v>
      </c>
      <c r="BM124" s="42" t="n">
        <f aca="false">IF(AND(BL124=1,E124&gt;BI124),1,0)</f>
        <v>0</v>
      </c>
      <c r="BN124" s="42" t="n">
        <f aca="false">IF(BL124=1,IF(BE124&gt;=BH124*0.5,1,0),0)</f>
        <v>0</v>
      </c>
      <c r="BO124" s="42" t="n">
        <f aca="true">IF(V124&gt;MIN(OFFSET(V124,-MIN(p_FiLb-1,ROW()-5),0,MIN(p_FiLb-1,ROW()-5),1)),1,0)</f>
        <v>1</v>
      </c>
      <c r="BP124" s="44" t="n">
        <f aca="true">IF(COUNTIF(OFFSET(V124,1-MIN(100,ROW()-4),0,MIN(100,ROW()-4),1),"&lt;0")&gt;=5,AVERAGEIF(OFFSET(V124,1-MIN(100,ROW()-4),0,MIN(100,ROW()-4),1),"&lt;0"),"")</f>
        <v>-972947.709015161</v>
      </c>
      <c r="BQ124" s="42" t="n">
        <f aca="false">IF(ISNUMBER(BP124),IF(AND(V124&lt;5*BP124,V124&gt;V123,E124&lt;AJ124),1,0),0)</f>
        <v>0</v>
      </c>
      <c r="BR124" s="44" t="n">
        <f aca="true">AVERAGE(OFFSET(F124,1-MIN(5,ROW()-4),0,MIN(5,ROW()-4),1))</f>
        <v>4598160</v>
      </c>
      <c r="BS124" s="42" t="n">
        <f aca="false">IFERROR(IF(MATCH(G124,周线!$A$5:$A$84,0)&lt;=1,"",INDEX(周线!$R$5:$R$84,MATCH(G124,周线!$A$5:$A$84,0)-1)),"")</f>
        <v>0</v>
      </c>
      <c r="BT124" s="42" t="n">
        <f aca="false">IFERROR(IF(MATCH(G124,周线!$A$5:$A$84,0)&lt;=1,"",INDEX(周线!$S$5:$S$84,MATCH(G124,周线!$A$5:$A$84,0)-1)),"")</f>
        <v>0</v>
      </c>
      <c r="BU124" s="42" t="n">
        <f aca="false">IFERROR(IF(MATCH(G124,周线!$A$5:$A$84,0)&lt;=1,"",INDEX(周线!$U$5:$U$84,MATCH(G124,周线!$A$5:$A$84,0)-1)),"")</f>
        <v>-1</v>
      </c>
      <c r="BV124" s="42" t="n">
        <f aca="false">IF(AND(BS124=1,S124&lt;&gt;-1,V124&lt;0,BO124=1,E124&lt;=H124,E124&gt;=AJ124),1,0)</f>
        <v>0</v>
      </c>
      <c r="BW124" s="42" t="n">
        <f aca="false">BL124</f>
        <v>0</v>
      </c>
      <c r="BX124" s="42" t="n">
        <f aca="false">BQ124</f>
        <v>0</v>
      </c>
      <c r="BY124" s="42" t="n">
        <f aca="false">IF(BS124=1,10,0)+IF(BU124=1,5,IF(BU124=-1,0,3))+IF(BT124=1,5,0)+IF(AND(AE124&gt;AF124,AH124&gt;AH123),5,0)</f>
        <v>0</v>
      </c>
      <c r="BZ124" s="42" t="n">
        <f aca="false">IF(AND(E124&lt;=H124,E124&gt;=I124),10,IF(AND(E124&gt;=AJ124,E124&lt;I124),6,0))+IF(AND(V124&lt;0,BO124=1),8,0)+IF(AT124&lt;30,7,IF(AT124&lt;50,3,0))</f>
        <v>15</v>
      </c>
      <c r="CA124" s="42" t="n">
        <f aca="false">IF(AND(BV124=1,BW124=1),25,IF(BW124=1,22,IF(BV124=1,15,IF(BX124=1,12,0))))</f>
        <v>0</v>
      </c>
      <c r="CB124" s="42" t="n">
        <f aca="false">IF(W124&gt;0,6,0)+IF(F124&lt;BR124,4,0)</f>
        <v>4</v>
      </c>
      <c r="CC124" s="42" t="n">
        <f aca="false">IF(BC124&gt;=3,15,IF(BC124&gt;=p_RRmin,10,IF(BC124&gt;=1.5,4,0)))</f>
        <v>15</v>
      </c>
      <c r="CD124" s="42" t="n">
        <f aca="false">BY124+BZ124+CA124+CB124+CC124</f>
        <v>34</v>
      </c>
      <c r="CE124" s="42" t="n">
        <f aca="false">IF(AND(BS124&lt;&gt;1,BW124+BX124=0),1,0)</f>
        <v>1</v>
      </c>
      <c r="CF124" s="42" t="n">
        <f aca="false">IF(BU124=-1,1,0)</f>
        <v>1</v>
      </c>
      <c r="CG124" s="42" t="n">
        <f aca="false">IF(S124=-1,1,0)</f>
        <v>1</v>
      </c>
      <c r="CH124" s="42" t="n">
        <f aca="false">IF(BV124+BW124+BX124=0,1,0)</f>
        <v>1</v>
      </c>
      <c r="CI124" s="42" t="n">
        <f aca="false">IF(BC124&lt;p_RRmin,1,0)</f>
        <v>0</v>
      </c>
      <c r="CJ124" s="46" t="str">
        <f aca="false">IF(SUM(CE124:CI124)=0,IF(CD124&gt;=p_GradeA,"A",IF(CD124&gt;=p_GradeB,"B","C")),IF(AND(CI124=1,SUM(CE124:CH124)=0,CD124&gt;=p_GradeB),"B","C"))</f>
        <v>C</v>
      </c>
    </row>
    <row r="125" customFormat="false" ht="15" hidden="false" customHeight="false" outlineLevel="0" collapsed="false">
      <c r="A125" s="36" t="n">
        <v>45827</v>
      </c>
      <c r="B125" s="37" t="n">
        <v>19.49</v>
      </c>
      <c r="C125" s="37" t="n">
        <v>20.01</v>
      </c>
      <c r="D125" s="37" t="n">
        <v>19.43</v>
      </c>
      <c r="E125" s="37" t="n">
        <v>19.92</v>
      </c>
      <c r="F125" s="38" t="n">
        <v>4703000</v>
      </c>
      <c r="G125" s="39" t="n">
        <f aca="false">A125-WEEKDAY(A125,3)</f>
        <v>45824</v>
      </c>
      <c r="H125" s="40" t="n">
        <f aca="false">2/(p_EmaF+1)*E125+(1-2/(p_EmaF+1))*H124</f>
        <v>20.3694412619844</v>
      </c>
      <c r="I125" s="40" t="n">
        <f aca="false">2/(p_EmaS+1)*E125+(1-2/(p_EmaS+1))*I124</f>
        <v>21.0491165115977</v>
      </c>
      <c r="J125" s="41" t="n">
        <f aca="false">2/(p_MacdF+1)*E125+(1-2/(p_MacdF+1))*J124</f>
        <v>20.3154015431154</v>
      </c>
      <c r="K125" s="41" t="n">
        <f aca="false">2/(p_MacdS+1)*E125+(1-2/(p_MacdS+1))*K124</f>
        <v>21.0491165115977</v>
      </c>
      <c r="L125" s="41" t="n">
        <f aca="false">J125-K125</f>
        <v>-0.73371496848236</v>
      </c>
      <c r="M125" s="41" t="n">
        <f aca="false">2/(p_MacdSig+1)*L125+(1-2/(p_MacdSig+1))*M124</f>
        <v>-0.701815875660556</v>
      </c>
      <c r="N125" s="41" t="n">
        <f aca="false">L125-M125</f>
        <v>-0.0318990928218038</v>
      </c>
      <c r="O125" s="42" t="n">
        <f aca="false">IF(H125&gt;H124,1,0)</f>
        <v>0</v>
      </c>
      <c r="P125" s="42" t="n">
        <f aca="false">IF(H125&lt;H124,1,0)</f>
        <v>1</v>
      </c>
      <c r="Q125" s="42" t="n">
        <f aca="false">IF(N125&gt;N124,1,0)</f>
        <v>1</v>
      </c>
      <c r="R125" s="42" t="n">
        <f aca="false">IF(N125&lt;N124,1,0)</f>
        <v>0</v>
      </c>
      <c r="S125" s="42" t="n">
        <f aca="false">IF(AND(O125=1,Q125=1),1,IF(AND(P125=1,R125=1),-1,0))</f>
        <v>0</v>
      </c>
      <c r="T125" s="43" t="str">
        <f aca="false">IF(S125=1,"绿",IF(S125=-1,"红","蓝"))</f>
        <v>蓝</v>
      </c>
      <c r="U125" s="44" t="n">
        <f aca="false">F125*(E125-E124)</f>
        <v>1881200.00000001</v>
      </c>
      <c r="V125" s="44" t="n">
        <f aca="false">2/(p_FiS+1)*U125+(1-2/(p_FiS+1))*V124</f>
        <v>1153496.810657</v>
      </c>
      <c r="W125" s="44" t="n">
        <f aca="false">2/(p_FiL+1)*U125+(1-2/(p_FiL+1))*W124</f>
        <v>-470027.023901696</v>
      </c>
      <c r="X125" s="41" t="n">
        <f aca="false">MAX(C125-D125,ABS(C125-E124),ABS(D125-E124))</f>
        <v>0.580000000000002</v>
      </c>
      <c r="Y125" s="41" t="n">
        <f aca="true">AVERAGE(OFFSET(X125,1-MIN(p_AtrN,ROW()-4),0,MIN(p_AtrN,ROW()-4),1))</f>
        <v>0.534615384615385</v>
      </c>
      <c r="Z125" s="41" t="n">
        <f aca="false">IF(AND(C125-C124&gt;D124-D125,C125-C124&gt;0),C125-C124,0)</f>
        <v>0.170000000000002</v>
      </c>
      <c r="AA125" s="41" t="n">
        <f aca="false">IF(AND(D124-D125&gt;C125-C124,D124-D125&gt;0),D124-D125,0)</f>
        <v>0</v>
      </c>
      <c r="AB125" s="41" t="n">
        <f aca="false">2/(p_AdxN+1)*X125+(1-2/(p_AdxN+1))*AB124</f>
        <v>0.558614756585634</v>
      </c>
      <c r="AC125" s="41" t="n">
        <f aca="false">2/(p_AdxN+1)*Z125+(1-2/(p_AdxN+1))*AC124</f>
        <v>0.0780162272479766</v>
      </c>
      <c r="AD125" s="41" t="n">
        <f aca="false">2/(p_AdxN+1)*AA125+(1-2/(p_AdxN+1))*AD124</f>
        <v>0.170347585596601</v>
      </c>
      <c r="AE125" s="45" t="n">
        <f aca="false">100*AC125/AB125</f>
        <v>13.9660161727247</v>
      </c>
      <c r="AF125" s="45" t="n">
        <f aca="false">100*AD125/AB125</f>
        <v>30.4946447597982</v>
      </c>
      <c r="AG125" s="45" t="n">
        <f aca="false">IFERROR(100*ABS(AE125-AF125)/(AE125+AF125),0)</f>
        <v>37.1758499320526</v>
      </c>
      <c r="AH125" s="45" t="n">
        <f aca="false">2/(p_AdxN+1)*AG125+(1-2/(p_AdxN+1))*AH124</f>
        <v>43.9625833859916</v>
      </c>
      <c r="AI125" s="40" t="n">
        <f aca="false">I125*(1+p_ChPct)</f>
        <v>22.3120635022936</v>
      </c>
      <c r="AJ125" s="40" t="n">
        <f aca="false">I125*(1-p_ChPct)</f>
        <v>19.7861695209019</v>
      </c>
      <c r="AK125" s="40" t="n">
        <f aca="false">I125+1*Y125</f>
        <v>21.5837318962131</v>
      </c>
      <c r="AL125" s="40" t="n">
        <f aca="false">I125+2*Y125</f>
        <v>22.1183472808285</v>
      </c>
      <c r="AM125" s="40" t="n">
        <f aca="false">I125+3*Y125</f>
        <v>22.6529626654439</v>
      </c>
      <c r="AN125" s="40" t="n">
        <f aca="false">I125-1*Y125</f>
        <v>20.5145011269823</v>
      </c>
      <c r="AO125" s="40" t="n">
        <f aca="false">I125-2*Y125</f>
        <v>19.979885742367</v>
      </c>
      <c r="AP125" s="40" t="n">
        <f aca="false">I125-3*Y125</f>
        <v>19.4452703577516</v>
      </c>
      <c r="AQ125" s="40" t="n">
        <f aca="true">MAX(OFFSET(C125,1-MIN(p_StochN,ROW()-4),0,MIN(p_StochN,ROW()-4),1))</f>
        <v>20.65</v>
      </c>
      <c r="AR125" s="40" t="n">
        <f aca="true">MIN(OFFSET(D125,1-MIN(p_StochN,ROW()-4),0,MIN(p_StochN,ROW()-4),1))</f>
        <v>19.27</v>
      </c>
      <c r="AS125" s="45" t="n">
        <f aca="false">IF(AQ125=AR125,50,100*(E125-AR125)/(AQ125-AR125))</f>
        <v>47.1014492753625</v>
      </c>
      <c r="AT125" s="45" t="n">
        <f aca="true">AVERAGE(OFFSET(AS125,1-MIN(p_StochSm,ROW()-4),0,MIN(p_StochSm,ROW()-4),1))</f>
        <v>24.6683341916183</v>
      </c>
      <c r="AU125" s="45" t="n">
        <f aca="true">AVERAGE(OFFSET(AT125,1-MIN(p_StochSm,ROW()-4),0,MIN(p_StochSm,ROW()-4),1))</f>
        <v>16.3426946508396</v>
      </c>
      <c r="AV125" s="41" t="n">
        <f aca="false">MAX(0,H125-D125)</f>
        <v>0.939441261984435</v>
      </c>
      <c r="AW125" s="41" t="n">
        <f aca="true">IF(COUNTIF(OFFSET(AV125,1-MIN(p_PenLb,ROW()-4),0,MIN(p_PenLb,ROW()-4),1),"&gt;0")&gt;0,SUM(OFFSET(AV125,1-MIN(p_PenLb,ROW()-4),0,MIN(p_PenLb,ROW()-4),1))/COUNTIF(OFFSET(AV125,1-MIN(p_PenLb,ROW()-4),0,MIN(p_PenLb,ROW()-4),1),"&gt;0"),0.5*Y125)</f>
        <v>1.03690432649376</v>
      </c>
      <c r="AX125" s="41" t="n">
        <f aca="false">2*H125-H124</f>
        <v>20.294534384987</v>
      </c>
      <c r="AY125" s="40" t="n">
        <f aca="false">ROUND(MAX(AX125-AW125,0.01),2)</f>
        <v>19.26</v>
      </c>
      <c r="AZ125" s="40" t="n">
        <f aca="true">IF(MIN(p_StopLb,ROW()-4)&lt;2,D125,SMALL(OFFSET(D125,1-MIN(p_StopLb,ROW()-4),0,MIN(p_StopLb,ROW()-4),1),2))</f>
        <v>19.33</v>
      </c>
      <c r="BA125" s="40" t="n">
        <f aca="false">IF(MOD(ROUND(ROUNDDOWN(MIN(AZ125-0.01,AY125-p_StopAtr*Y125),2)*100,0),50)=0,ROUNDDOWN(MIN(AZ125-0.01,AY125-p_StopAtr*Y125),2)-0.01,ROUNDDOWN(MIN(AZ125-0.01,AY125-p_StopAtr*Y125),2))</f>
        <v>18.72</v>
      </c>
      <c r="BB125" s="40" t="n">
        <f aca="false">ROUND(AI125,2)</f>
        <v>22.31</v>
      </c>
      <c r="BC125" s="40" t="n">
        <f aca="false">IF(AY125-BA125&gt;0,(BB125-AY125)/(AY125-BA125),0)</f>
        <v>5.64814814814812</v>
      </c>
      <c r="BD125" s="42" t="n">
        <f aca="false">IF(N125&lt;0,1,0)</f>
        <v>1</v>
      </c>
      <c r="BE125" s="41" t="n">
        <f aca="false">IF(AND(BD125=1,BD124=0),N125,IF(BD125=1,MIN(BE124,N125),BE124))</f>
        <v>-0.0583119972977335</v>
      </c>
      <c r="BF125" s="40" t="n">
        <f aca="false">IF(AND(BD125=1,BD124=0),D125,IF(BD125=1,MIN(BF124,D125),BF124))</f>
        <v>19.27</v>
      </c>
      <c r="BG125" s="42" t="n">
        <f aca="false">IF(AND(BD125=1,BD124=0),ROW(),IF(BD125=1,IF(N125&lt;BE124,ROW(),BG124),BG124))</f>
        <v>124</v>
      </c>
      <c r="BH125" s="41" t="n">
        <f aca="false">IF(AND(BD125=1,BD124=0),BE124,BH124)</f>
        <v>-0.392824838841331</v>
      </c>
      <c r="BI125" s="40" t="n">
        <f aca="false">IF(AND(BD125=1,BD124=0),BF124,BI124)</f>
        <v>20.27</v>
      </c>
      <c r="BJ125" s="42" t="n">
        <f aca="false">IF(AND(BD125=1,BD124=0),BG124,BJ124)</f>
        <v>98</v>
      </c>
      <c r="BK125" s="42" t="n">
        <f aca="false">IF(AND(ISNUMBER(BG125),ISNUMBER(BJ125)),BG125-BJ125,"")</f>
        <v>26</v>
      </c>
      <c r="BL125" s="42" t="n">
        <f aca="false">IF(AND(BD125=1,N125&gt;N124,ISNUMBER(BH125),ISNUMBER(BK125)),IF(AND(BE125&gt;BH125,BF125&lt;BI125,BK125&gt;=p_GapMin,BK125&lt;=p_GapMax),1,0),0)</f>
        <v>1</v>
      </c>
      <c r="BM125" s="42" t="n">
        <f aca="false">IF(AND(BL125=1,E125&gt;BI125),1,0)</f>
        <v>0</v>
      </c>
      <c r="BN125" s="42" t="n">
        <f aca="false">IF(BL125=1,IF(BE125&gt;=BH125*0.5,1,0),0)</f>
        <v>1</v>
      </c>
      <c r="BO125" s="42" t="n">
        <f aca="true">IF(V125&gt;MIN(OFFSET(V125,-MIN(p_FiLb-1,ROW()-5),0,MIN(p_FiLb-1,ROW()-5),1)),1,0)</f>
        <v>1</v>
      </c>
      <c r="BP125" s="44" t="n">
        <f aca="true">IF(COUNTIF(OFFSET(V125,1-MIN(100,ROW()-4),0,MIN(100,ROW()-4),1),"&lt;0")&gt;=5,AVERAGEIF(OFFSET(V125,1-MIN(100,ROW()-4),0,MIN(100,ROW()-4),1),"&lt;0"),"")</f>
        <v>-972947.709015161</v>
      </c>
      <c r="BQ125" s="42" t="n">
        <f aca="false">IF(ISNUMBER(BP125),IF(AND(V125&lt;5*BP125,V125&gt;V124,E125&lt;AJ125),1,0),0)</f>
        <v>0</v>
      </c>
      <c r="BR125" s="44" t="n">
        <f aca="true">AVERAGE(OFFSET(F125,1-MIN(5,ROW()-4),0,MIN(5,ROW()-4),1))</f>
        <v>4205540</v>
      </c>
      <c r="BS125" s="42" t="n">
        <f aca="false">IFERROR(IF(MATCH(G125,周线!$A$5:$A$84,0)&lt;=1,"",INDEX(周线!$R$5:$R$84,MATCH(G125,周线!$A$5:$A$84,0)-1)),"")</f>
        <v>0</v>
      </c>
      <c r="BT125" s="42" t="n">
        <f aca="false">IFERROR(IF(MATCH(G125,周线!$A$5:$A$84,0)&lt;=1,"",INDEX(周线!$S$5:$S$84,MATCH(G125,周线!$A$5:$A$84,0)-1)),"")</f>
        <v>0</v>
      </c>
      <c r="BU125" s="42" t="n">
        <f aca="false">IFERROR(IF(MATCH(G125,周线!$A$5:$A$84,0)&lt;=1,"",INDEX(周线!$U$5:$U$84,MATCH(G125,周线!$A$5:$A$84,0)-1)),"")</f>
        <v>-1</v>
      </c>
      <c r="BV125" s="42" t="n">
        <f aca="false">IF(AND(BS125=1,S125&lt;&gt;-1,V125&lt;0,BO125=1,E125&lt;=H125,E125&gt;=AJ125),1,0)</f>
        <v>0</v>
      </c>
      <c r="BW125" s="42" t="n">
        <f aca="false">BL125</f>
        <v>1</v>
      </c>
      <c r="BX125" s="42" t="n">
        <f aca="false">BQ125</f>
        <v>0</v>
      </c>
      <c r="BY125" s="42" t="n">
        <f aca="false">IF(BS125=1,10,0)+IF(BU125=1,5,IF(BU125=-1,0,3))+IF(BT125=1,5,0)+IF(AND(AE125&gt;AF125,AH125&gt;AH124),5,0)</f>
        <v>0</v>
      </c>
      <c r="BZ125" s="42" t="n">
        <f aca="false">IF(AND(E125&lt;=H125,E125&gt;=I125),10,IF(AND(E125&gt;=AJ125,E125&lt;I125),6,0))+IF(AND(V125&lt;0,BO125=1),8,0)+IF(AT125&lt;30,7,IF(AT125&lt;50,3,0))</f>
        <v>13</v>
      </c>
      <c r="CA125" s="42" t="n">
        <f aca="false">IF(AND(BV125=1,BW125=1),25,IF(BW125=1,22,IF(BV125=1,15,IF(BX125=1,12,0))))</f>
        <v>22</v>
      </c>
      <c r="CB125" s="42" t="n">
        <f aca="false">IF(W125&gt;0,6,0)+IF(F125&lt;BR125,4,0)</f>
        <v>0</v>
      </c>
      <c r="CC125" s="42" t="n">
        <f aca="false">IF(BC125&gt;=3,15,IF(BC125&gt;=p_RRmin,10,IF(BC125&gt;=1.5,4,0)))</f>
        <v>15</v>
      </c>
      <c r="CD125" s="42" t="n">
        <f aca="false">BY125+BZ125+CA125+CB125+CC125</f>
        <v>50</v>
      </c>
      <c r="CE125" s="42" t="n">
        <f aca="false">IF(AND(BS125&lt;&gt;1,BW125+BX125=0),1,0)</f>
        <v>0</v>
      </c>
      <c r="CF125" s="42" t="n">
        <f aca="false">IF(BU125=-1,1,0)</f>
        <v>1</v>
      </c>
      <c r="CG125" s="42" t="n">
        <f aca="false">IF(S125=-1,1,0)</f>
        <v>0</v>
      </c>
      <c r="CH125" s="42" t="n">
        <f aca="false">IF(BV125+BW125+BX125=0,1,0)</f>
        <v>0</v>
      </c>
      <c r="CI125" s="42" t="n">
        <f aca="false">IF(BC125&lt;p_RRmin,1,0)</f>
        <v>0</v>
      </c>
      <c r="CJ125" s="46" t="str">
        <f aca="false">IF(SUM(CE125:CI125)=0,IF(CD125&gt;=p_GradeA,"A",IF(CD125&gt;=p_GradeB,"B","C")),IF(AND(CI125=1,SUM(CE125:CH125)=0,CD125&gt;=p_GradeB),"B","C"))</f>
        <v>C</v>
      </c>
    </row>
    <row r="126" customFormat="false" ht="15" hidden="false" customHeight="false" outlineLevel="0" collapsed="false">
      <c r="A126" s="36" t="n">
        <v>45828</v>
      </c>
      <c r="B126" s="37" t="n">
        <v>19.88</v>
      </c>
      <c r="C126" s="37" t="n">
        <v>20.06</v>
      </c>
      <c r="D126" s="37" t="n">
        <v>19.7</v>
      </c>
      <c r="E126" s="37" t="n">
        <v>19.79</v>
      </c>
      <c r="F126" s="38" t="n">
        <v>2592400</v>
      </c>
      <c r="G126" s="39" t="n">
        <f aca="false">A126-WEEKDAY(A126,3)</f>
        <v>45824</v>
      </c>
      <c r="H126" s="40" t="n">
        <f aca="false">2/(p_EmaF+1)*E126+(1-2/(p_EmaF+1))*H125</f>
        <v>20.2866639388438</v>
      </c>
      <c r="I126" s="40" t="n">
        <f aca="false">2/(p_EmaS+1)*E126+(1-2/(p_EmaS+1))*I125</f>
        <v>20.9558486218498</v>
      </c>
      <c r="J126" s="41" t="n">
        <f aca="false">2/(p_MacdF+1)*E126+(1-2/(p_MacdF+1))*J125</f>
        <v>20.2345705364822</v>
      </c>
      <c r="K126" s="41" t="n">
        <f aca="false">2/(p_MacdS+1)*E126+(1-2/(p_MacdS+1))*K125</f>
        <v>20.9558486218498</v>
      </c>
      <c r="L126" s="41" t="n">
        <f aca="false">J126-K126</f>
        <v>-0.721278085367519</v>
      </c>
      <c r="M126" s="41" t="n">
        <f aca="false">2/(p_MacdSig+1)*L126+(1-2/(p_MacdSig+1))*M125</f>
        <v>-0.705708317601949</v>
      </c>
      <c r="N126" s="41" t="n">
        <f aca="false">L126-M126</f>
        <v>-0.0155697677655703</v>
      </c>
      <c r="O126" s="42" t="n">
        <f aca="false">IF(H126&gt;H125,1,0)</f>
        <v>0</v>
      </c>
      <c r="P126" s="42" t="n">
        <f aca="false">IF(H126&lt;H125,1,0)</f>
        <v>1</v>
      </c>
      <c r="Q126" s="42" t="n">
        <f aca="false">IF(N126&gt;N125,1,0)</f>
        <v>1</v>
      </c>
      <c r="R126" s="42" t="n">
        <f aca="false">IF(N126&lt;N125,1,0)</f>
        <v>0</v>
      </c>
      <c r="S126" s="42" t="n">
        <f aca="false">IF(AND(O126=1,Q126=1),1,IF(AND(P126=1,R126=1),-1,0))</f>
        <v>0</v>
      </c>
      <c r="T126" s="43" t="str">
        <f aca="false">IF(S126=1,"绿",IF(S126=-1,"红","蓝"))</f>
        <v>蓝</v>
      </c>
      <c r="U126" s="44" t="n">
        <f aca="false">F126*(E126-E125)</f>
        <v>-337012.000000007</v>
      </c>
      <c r="V126" s="44" t="n">
        <f aca="false">2/(p_FiS+1)*U126+(1-2/(p_FiS+1))*V125</f>
        <v>159824.270218997</v>
      </c>
      <c r="W126" s="44" t="n">
        <f aca="false">2/(p_FiL+1)*U126+(1-2/(p_FiL+1))*W125</f>
        <v>-451024.877630027</v>
      </c>
      <c r="X126" s="41" t="n">
        <f aca="false">MAX(C126-D126,ABS(C126-E125),ABS(D126-E125))</f>
        <v>0.359999999999999</v>
      </c>
      <c r="Y126" s="41" t="n">
        <f aca="true">AVERAGE(OFFSET(X126,1-MIN(p_AtrN,ROW()-4),0,MIN(p_AtrN,ROW()-4),1))</f>
        <v>0.526153846153846</v>
      </c>
      <c r="Z126" s="41" t="n">
        <f aca="false">IF(AND(C126-C125&gt;D125-D126,C126-C125&gt;0),C126-C125,0)</f>
        <v>0.0499999999999972</v>
      </c>
      <c r="AA126" s="41" t="n">
        <f aca="false">IF(AND(D125-D126&gt;C126-C125,D125-D126&gt;0),D125-D126,0)</f>
        <v>0</v>
      </c>
      <c r="AB126" s="41" t="n">
        <f aca="false">2/(p_AdxN+1)*X126+(1-2/(p_AdxN+1))*AB125</f>
        <v>0.530241219930544</v>
      </c>
      <c r="AC126" s="41" t="n">
        <f aca="false">2/(p_AdxN+1)*Z126+(1-2/(p_AdxN+1))*AC125</f>
        <v>0.0740139090696939</v>
      </c>
      <c r="AD126" s="41" t="n">
        <f aca="false">2/(p_AdxN+1)*AA126+(1-2/(p_AdxN+1))*AD125</f>
        <v>0.146012216225658</v>
      </c>
      <c r="AE126" s="45" t="n">
        <f aca="false">100*AC126/AB126</f>
        <v>13.9585355282995</v>
      </c>
      <c r="AF126" s="45" t="n">
        <f aca="false">100*AD126/AB126</f>
        <v>27.5369418176851</v>
      </c>
      <c r="AG126" s="45" t="n">
        <f aca="false">IFERROR(100*ABS(AE126-AF126)/(AE126+AF126),0)</f>
        <v>32.7226173979645</v>
      </c>
      <c r="AH126" s="45" t="n">
        <f aca="false">2/(p_AdxN+1)*AG126+(1-2/(p_AdxN+1))*AH125</f>
        <v>42.3568739591306</v>
      </c>
      <c r="AI126" s="40" t="n">
        <f aca="false">I126*(1+p_ChPct)</f>
        <v>22.2131995391607</v>
      </c>
      <c r="AJ126" s="40" t="n">
        <f aca="false">I126*(1-p_ChPct)</f>
        <v>19.6984977045388</v>
      </c>
      <c r="AK126" s="40" t="n">
        <f aca="false">I126+1*Y126</f>
        <v>21.4820024680036</v>
      </c>
      <c r="AL126" s="40" t="n">
        <f aca="false">I126+2*Y126</f>
        <v>22.0081563141574</v>
      </c>
      <c r="AM126" s="40" t="n">
        <f aca="false">I126+3*Y126</f>
        <v>22.5343101603113</v>
      </c>
      <c r="AN126" s="40" t="n">
        <f aca="false">I126-1*Y126</f>
        <v>20.4296947756959</v>
      </c>
      <c r="AO126" s="40" t="n">
        <f aca="false">I126-2*Y126</f>
        <v>19.9035409295421</v>
      </c>
      <c r="AP126" s="40" t="n">
        <f aca="false">I126-3*Y126</f>
        <v>19.3773870833882</v>
      </c>
      <c r="AQ126" s="40" t="n">
        <f aca="true">MAX(OFFSET(C126,1-MIN(p_StochN,ROW()-4),0,MIN(p_StochN,ROW()-4),1))</f>
        <v>20.33</v>
      </c>
      <c r="AR126" s="40" t="n">
        <f aca="true">MIN(OFFSET(D126,1-MIN(p_StochN,ROW()-4),0,MIN(p_StochN,ROW()-4),1))</f>
        <v>19.27</v>
      </c>
      <c r="AS126" s="45" t="n">
        <f aca="false">IF(AQ126=AR126,50,100*(E126-AR126)/(AQ126-AR126))</f>
        <v>49.0566037735849</v>
      </c>
      <c r="AT126" s="45" t="n">
        <f aca="true">AVERAGE(OFFSET(AS126,1-MIN(p_StochSm,ROW()-4),0,MIN(p_StochSm,ROW()-4),1))</f>
        <v>36.2828027929656</v>
      </c>
      <c r="AU126" s="45" t="n">
        <f aca="true">AVERAGE(OFFSET(AT126,1-MIN(p_StochSm,ROW()-4),0,MIN(p_StochSm,ROW()-4),1))</f>
        <v>24.4010201113347</v>
      </c>
      <c r="AV126" s="41" t="n">
        <f aca="false">MAX(0,H126-D126)</f>
        <v>0.586663938843802</v>
      </c>
      <c r="AW126" s="41" t="n">
        <f aca="true">IF(COUNTIF(OFFSET(AV126,1-MIN(p_PenLb,ROW()-4),0,MIN(p_PenLb,ROW()-4),1),"&gt;0")&gt;0,SUM(OFFSET(AV126,1-MIN(p_PenLb,ROW()-4),0,MIN(p_PenLb,ROW()-4),1))/COUNTIF(OFFSET(AV126,1-MIN(p_PenLb,ROW()-4),0,MIN(p_PenLb,ROW()-4),1),"&gt;0"),0.5*Y126)</f>
        <v>0.996727517947033</v>
      </c>
      <c r="AX126" s="41" t="n">
        <f aca="false">2*H126-H125</f>
        <v>20.2038866157032</v>
      </c>
      <c r="AY126" s="40" t="n">
        <f aca="false">ROUND(MAX(AX126-AW126,0.01),2)</f>
        <v>19.21</v>
      </c>
      <c r="AZ126" s="40" t="n">
        <f aca="true">IF(MIN(p_StopLb,ROW()-4)&lt;2,D126,SMALL(OFFSET(D126,1-MIN(p_StopLb,ROW()-4),0,MIN(p_StopLb,ROW()-4),1),2))</f>
        <v>19.33</v>
      </c>
      <c r="BA126" s="40" t="n">
        <f aca="false">IF(MOD(ROUND(ROUNDDOWN(MIN(AZ126-0.01,AY126-p_StopAtr*Y126),2)*100,0),50)=0,ROUNDDOWN(MIN(AZ126-0.01,AY126-p_StopAtr*Y126),2)-0.01,ROUNDDOWN(MIN(AZ126-0.01,AY126-p_StopAtr*Y126),2))</f>
        <v>18.68</v>
      </c>
      <c r="BB126" s="40" t="n">
        <f aca="false">ROUND(AI126,2)</f>
        <v>22.21</v>
      </c>
      <c r="BC126" s="40" t="n">
        <f aca="false">IF(AY126-BA126&gt;0,(BB126-AY126)/(AY126-BA126),0)</f>
        <v>5.66037735849055</v>
      </c>
      <c r="BD126" s="42" t="n">
        <f aca="false">IF(N126&lt;0,1,0)</f>
        <v>1</v>
      </c>
      <c r="BE126" s="41" t="n">
        <f aca="false">IF(AND(BD126=1,BD125=0),N126,IF(BD126=1,MIN(BE125,N126),BE125))</f>
        <v>-0.0583119972977335</v>
      </c>
      <c r="BF126" s="40" t="n">
        <f aca="false">IF(AND(BD126=1,BD125=0),D126,IF(BD126=1,MIN(BF125,D126),BF125))</f>
        <v>19.27</v>
      </c>
      <c r="BG126" s="42" t="n">
        <f aca="false">IF(AND(BD126=1,BD125=0),ROW(),IF(BD126=1,IF(N126&lt;BE125,ROW(),BG125),BG125))</f>
        <v>124</v>
      </c>
      <c r="BH126" s="41" t="n">
        <f aca="false">IF(AND(BD126=1,BD125=0),BE125,BH125)</f>
        <v>-0.392824838841331</v>
      </c>
      <c r="BI126" s="40" t="n">
        <f aca="false">IF(AND(BD126=1,BD125=0),BF125,BI125)</f>
        <v>20.27</v>
      </c>
      <c r="BJ126" s="42" t="n">
        <f aca="false">IF(AND(BD126=1,BD125=0),BG125,BJ125)</f>
        <v>98</v>
      </c>
      <c r="BK126" s="42" t="n">
        <f aca="false">IF(AND(ISNUMBER(BG126),ISNUMBER(BJ126)),BG126-BJ126,"")</f>
        <v>26</v>
      </c>
      <c r="BL126" s="42" t="n">
        <f aca="false">IF(AND(BD126=1,N126&gt;N125,ISNUMBER(BH126),ISNUMBER(BK126)),IF(AND(BE126&gt;BH126,BF126&lt;BI126,BK126&gt;=p_GapMin,BK126&lt;=p_GapMax),1,0),0)</f>
        <v>1</v>
      </c>
      <c r="BM126" s="42" t="n">
        <f aca="false">IF(AND(BL126=1,E126&gt;BI126),1,0)</f>
        <v>0</v>
      </c>
      <c r="BN126" s="42" t="n">
        <f aca="false">IF(BL126=1,IF(BE126&gt;=BH126*0.5,1,0),0)</f>
        <v>1</v>
      </c>
      <c r="BO126" s="42" t="n">
        <f aca="true">IF(V126&gt;MIN(OFFSET(V126,-MIN(p_FiLb-1,ROW()-5),0,MIN(p_FiLb-1,ROW()-5),1)),1,0)</f>
        <v>1</v>
      </c>
      <c r="BP126" s="44" t="n">
        <f aca="true">IF(COUNTIF(OFFSET(V126,1-MIN(100,ROW()-4),0,MIN(100,ROW()-4),1),"&lt;0")&gt;=5,AVERAGEIF(OFFSET(V126,1-MIN(100,ROW()-4),0,MIN(100,ROW()-4),1),"&lt;0"),"")</f>
        <v>-986449.116719838</v>
      </c>
      <c r="BQ126" s="42" t="n">
        <f aca="false">IF(ISNUMBER(BP126),IF(AND(V126&lt;5*BP126,V126&gt;V125,E126&lt;AJ126),1,0),0)</f>
        <v>0</v>
      </c>
      <c r="BR126" s="44" t="n">
        <f aca="true">AVERAGE(OFFSET(F126,1-MIN(5,ROW()-4),0,MIN(5,ROW()-4),1))</f>
        <v>3820980</v>
      </c>
      <c r="BS126" s="42" t="n">
        <f aca="false">IFERROR(IF(MATCH(G126,周线!$A$5:$A$84,0)&lt;=1,"",INDEX(周线!$R$5:$R$84,MATCH(G126,周线!$A$5:$A$84,0)-1)),"")</f>
        <v>0</v>
      </c>
      <c r="BT126" s="42" t="n">
        <f aca="false">IFERROR(IF(MATCH(G126,周线!$A$5:$A$84,0)&lt;=1,"",INDEX(周线!$S$5:$S$84,MATCH(G126,周线!$A$5:$A$84,0)-1)),"")</f>
        <v>0</v>
      </c>
      <c r="BU126" s="42" t="n">
        <f aca="false">IFERROR(IF(MATCH(G126,周线!$A$5:$A$84,0)&lt;=1,"",INDEX(周线!$U$5:$U$84,MATCH(G126,周线!$A$5:$A$84,0)-1)),"")</f>
        <v>-1</v>
      </c>
      <c r="BV126" s="42" t="n">
        <f aca="false">IF(AND(BS126=1,S126&lt;&gt;-1,V126&lt;0,BO126=1,E126&lt;=H126,E126&gt;=AJ126),1,0)</f>
        <v>0</v>
      </c>
      <c r="BW126" s="42" t="n">
        <f aca="false">BL126</f>
        <v>1</v>
      </c>
      <c r="BX126" s="42" t="n">
        <f aca="false">BQ126</f>
        <v>0</v>
      </c>
      <c r="BY126" s="42" t="n">
        <f aca="false">IF(BS126=1,10,0)+IF(BU126=1,5,IF(BU126=-1,0,3))+IF(BT126=1,5,0)+IF(AND(AE126&gt;AF126,AH126&gt;AH125),5,0)</f>
        <v>0</v>
      </c>
      <c r="BZ126" s="42" t="n">
        <f aca="false">IF(AND(E126&lt;=H126,E126&gt;=I126),10,IF(AND(E126&gt;=AJ126,E126&lt;I126),6,0))+IF(AND(V126&lt;0,BO126=1),8,0)+IF(AT126&lt;30,7,IF(AT126&lt;50,3,0))</f>
        <v>9</v>
      </c>
      <c r="CA126" s="42" t="n">
        <f aca="false">IF(AND(BV126=1,BW126=1),25,IF(BW126=1,22,IF(BV126=1,15,IF(BX126=1,12,0))))</f>
        <v>22</v>
      </c>
      <c r="CB126" s="42" t="n">
        <f aca="false">IF(W126&gt;0,6,0)+IF(F126&lt;BR126,4,0)</f>
        <v>4</v>
      </c>
      <c r="CC126" s="42" t="n">
        <f aca="false">IF(BC126&gt;=3,15,IF(BC126&gt;=p_RRmin,10,IF(BC126&gt;=1.5,4,0)))</f>
        <v>15</v>
      </c>
      <c r="CD126" s="42" t="n">
        <f aca="false">BY126+BZ126+CA126+CB126+CC126</f>
        <v>50</v>
      </c>
      <c r="CE126" s="42" t="n">
        <f aca="false">IF(AND(BS126&lt;&gt;1,BW126+BX126=0),1,0)</f>
        <v>0</v>
      </c>
      <c r="CF126" s="42" t="n">
        <f aca="false">IF(BU126=-1,1,0)</f>
        <v>1</v>
      </c>
      <c r="CG126" s="42" t="n">
        <f aca="false">IF(S126=-1,1,0)</f>
        <v>0</v>
      </c>
      <c r="CH126" s="42" t="n">
        <f aca="false">IF(BV126+BW126+BX126=0,1,0)</f>
        <v>0</v>
      </c>
      <c r="CI126" s="42" t="n">
        <f aca="false">IF(BC126&lt;p_RRmin,1,0)</f>
        <v>0</v>
      </c>
      <c r="CJ126" s="46" t="str">
        <f aca="false">IF(SUM(CE126:CI126)=0,IF(CD126&gt;=p_GradeA,"A",IF(CD126&gt;=p_GradeB,"B","C")),IF(AND(CI126=1,SUM(CE126:CH126)=0,CD126&gt;=p_GradeB),"B","C"))</f>
        <v>C</v>
      </c>
    </row>
    <row r="127" customFormat="false" ht="15" hidden="false" customHeight="false" outlineLevel="0" collapsed="false">
      <c r="A127" s="36" t="n">
        <v>45831</v>
      </c>
      <c r="B127" s="37" t="n">
        <v>19.87</v>
      </c>
      <c r="C127" s="37" t="n">
        <v>19.99</v>
      </c>
      <c r="D127" s="37" t="n">
        <v>19.75</v>
      </c>
      <c r="E127" s="37" t="n">
        <v>19.82</v>
      </c>
      <c r="F127" s="38" t="n">
        <v>3309300</v>
      </c>
      <c r="G127" s="39" t="n">
        <f aca="false">A127-WEEKDAY(A127,3)</f>
        <v>45831</v>
      </c>
      <c r="H127" s="40" t="n">
        <f aca="false">2/(p_EmaF+1)*E127+(1-2/(p_EmaF+1))*H126</f>
        <v>20.2199976618661</v>
      </c>
      <c r="I127" s="40" t="n">
        <f aca="false">2/(p_EmaS+1)*E127+(1-2/(p_EmaS+1))*I126</f>
        <v>20.8717116868979</v>
      </c>
      <c r="J127" s="41" t="n">
        <f aca="false">2/(p_MacdF+1)*E127+(1-2/(p_MacdF+1))*J126</f>
        <v>20.1707904539465</v>
      </c>
      <c r="K127" s="41" t="n">
        <f aca="false">2/(p_MacdS+1)*E127+(1-2/(p_MacdS+1))*K126</f>
        <v>20.8717116868979</v>
      </c>
      <c r="L127" s="41" t="n">
        <f aca="false">J127-K127</f>
        <v>-0.700921232951416</v>
      </c>
      <c r="M127" s="41" t="n">
        <f aca="false">2/(p_MacdSig+1)*L127+(1-2/(p_MacdSig+1))*M126</f>
        <v>-0.704750900671842</v>
      </c>
      <c r="N127" s="41" t="n">
        <f aca="false">L127-M127</f>
        <v>0.0038296677204267</v>
      </c>
      <c r="O127" s="42" t="n">
        <f aca="false">IF(H127&gt;H126,1,0)</f>
        <v>0</v>
      </c>
      <c r="P127" s="42" t="n">
        <f aca="false">IF(H127&lt;H126,1,0)</f>
        <v>1</v>
      </c>
      <c r="Q127" s="42" t="n">
        <f aca="false">IF(N127&gt;N126,1,0)</f>
        <v>1</v>
      </c>
      <c r="R127" s="42" t="n">
        <f aca="false">IF(N127&lt;N126,1,0)</f>
        <v>0</v>
      </c>
      <c r="S127" s="42" t="n">
        <f aca="false">IF(AND(O127=1,Q127=1),1,IF(AND(P127=1,R127=1),-1,0))</f>
        <v>0</v>
      </c>
      <c r="T127" s="43" t="str">
        <f aca="false">IF(S127=1,"绿",IF(S127=-1,"红","蓝"))</f>
        <v>蓝</v>
      </c>
      <c r="U127" s="44" t="n">
        <f aca="false">F127*(E127-E126)</f>
        <v>99279.0000000038</v>
      </c>
      <c r="V127" s="44" t="n">
        <f aca="false">2/(p_FiS+1)*U127+(1-2/(p_FiS+1))*V126</f>
        <v>119460.756739668</v>
      </c>
      <c r="W127" s="44" t="n">
        <f aca="false">2/(p_FiL+1)*U127+(1-2/(p_FiL+1))*W126</f>
        <v>-372410.037968594</v>
      </c>
      <c r="X127" s="41" t="n">
        <f aca="false">MAX(C127-D127,ABS(C127-E126),ABS(D127-E126))</f>
        <v>0.239999999999998</v>
      </c>
      <c r="Y127" s="41" t="n">
        <f aca="true">AVERAGE(OFFSET(X127,1-MIN(p_AtrN,ROW()-4),0,MIN(p_AtrN,ROW()-4),1))</f>
        <v>0.509230769230769</v>
      </c>
      <c r="Z127" s="41" t="n">
        <f aca="false">IF(AND(C127-C126&gt;D126-D127,C127-C126&gt;0),C127-C126,0)</f>
        <v>0</v>
      </c>
      <c r="AA127" s="41" t="n">
        <f aca="false">IF(AND(D126-D127&gt;C127-C126,D126-D127&gt;0),D126-D127,0)</f>
        <v>0</v>
      </c>
      <c r="AB127" s="41" t="n">
        <f aca="false">2/(p_AdxN+1)*X127+(1-2/(p_AdxN+1))*AB126</f>
        <v>0.488778188511894</v>
      </c>
      <c r="AC127" s="41" t="n">
        <f aca="false">2/(p_AdxN+1)*Z127+(1-2/(p_AdxN+1))*AC126</f>
        <v>0.063440493488309</v>
      </c>
      <c r="AD127" s="41" t="n">
        <f aca="false">2/(p_AdxN+1)*AA127+(1-2/(p_AdxN+1))*AD126</f>
        <v>0.125153328193421</v>
      </c>
      <c r="AE127" s="45" t="n">
        <f aca="false">100*AC127/AB127</f>
        <v>12.9794035371047</v>
      </c>
      <c r="AF127" s="45" t="n">
        <f aca="false">100*AD127/AB127</f>
        <v>25.6053422871539</v>
      </c>
      <c r="AG127" s="45" t="n">
        <f aca="false">IFERROR(100*ABS(AE127-AF127)/(AE127+AF127),0)</f>
        <v>32.7226173979645</v>
      </c>
      <c r="AH127" s="45" t="n">
        <f aca="false">2/(p_AdxN+1)*AG127+(1-2/(p_AdxN+1))*AH126</f>
        <v>40.9805515932497</v>
      </c>
      <c r="AI127" s="40" t="n">
        <f aca="false">I127*(1+p_ChPct)</f>
        <v>22.1240143881118</v>
      </c>
      <c r="AJ127" s="40" t="n">
        <f aca="false">I127*(1-p_ChPct)</f>
        <v>19.619408985684</v>
      </c>
      <c r="AK127" s="40" t="n">
        <f aca="false">I127+1*Y127</f>
        <v>21.3809424561287</v>
      </c>
      <c r="AL127" s="40" t="n">
        <f aca="false">I127+2*Y127</f>
        <v>21.8901732253595</v>
      </c>
      <c r="AM127" s="40" t="n">
        <f aca="false">I127+3*Y127</f>
        <v>22.3994039945902</v>
      </c>
      <c r="AN127" s="40" t="n">
        <f aca="false">I127-1*Y127</f>
        <v>20.3624809176672</v>
      </c>
      <c r="AO127" s="40" t="n">
        <f aca="false">I127-2*Y127</f>
        <v>19.8532501484364</v>
      </c>
      <c r="AP127" s="40" t="n">
        <f aca="false">I127-3*Y127</f>
        <v>19.3440193792056</v>
      </c>
      <c r="AQ127" s="40" t="n">
        <f aca="true">MAX(OFFSET(C127,1-MIN(p_StochN,ROW()-4),0,MIN(p_StochN,ROW()-4),1))</f>
        <v>20.06</v>
      </c>
      <c r="AR127" s="40" t="n">
        <f aca="true">MIN(OFFSET(D127,1-MIN(p_StochN,ROW()-4),0,MIN(p_StochN,ROW()-4),1))</f>
        <v>19.33</v>
      </c>
      <c r="AS127" s="45" t="n">
        <f aca="false">IF(AQ127=AR127,50,100*(E127-AR127)/(AQ127-AR127))</f>
        <v>67.1232876712331</v>
      </c>
      <c r="AT127" s="45" t="n">
        <f aca="true">AVERAGE(OFFSET(AS127,1-MIN(p_StochSm,ROW()-4),0,MIN(p_StochSm,ROW()-4),1))</f>
        <v>54.4271135733935</v>
      </c>
      <c r="AU127" s="45" t="n">
        <f aca="true">AVERAGE(OFFSET(AT127,1-MIN(p_StochSm,ROW()-4),0,MIN(p_StochSm,ROW()-4),1))</f>
        <v>38.4594168526591</v>
      </c>
      <c r="AV127" s="41" t="n">
        <f aca="false">MAX(0,H127-D127)</f>
        <v>0.469997661866117</v>
      </c>
      <c r="AW127" s="41" t="n">
        <f aca="true">IF(COUNTIF(OFFSET(AV127,1-MIN(p_PenLb,ROW()-4),0,MIN(p_PenLb,ROW()-4),1),"&gt;0")&gt;0,SUM(OFFSET(AV127,1-MIN(p_PenLb,ROW()-4),0,MIN(p_PenLb,ROW()-4),1))/COUNTIF(OFFSET(AV127,1-MIN(p_PenLb,ROW()-4),0,MIN(p_PenLb,ROW()-4),1),"&gt;0"),0.5*Y127)</f>
        <v>0.950480729668887</v>
      </c>
      <c r="AX127" s="41" t="n">
        <f aca="false">2*H127-H126</f>
        <v>20.1533313848884</v>
      </c>
      <c r="AY127" s="40" t="n">
        <f aca="false">ROUND(MAX(AX127-AW127,0.01),2)</f>
        <v>19.2</v>
      </c>
      <c r="AZ127" s="40" t="n">
        <f aca="true">IF(MIN(p_StopLb,ROW()-4)&lt;2,D127,SMALL(OFFSET(D127,1-MIN(p_StopLb,ROW()-4),0,MIN(p_StopLb,ROW()-4),1),2))</f>
        <v>19.33</v>
      </c>
      <c r="BA127" s="40" t="n">
        <f aca="false">IF(MOD(ROUND(ROUNDDOWN(MIN(AZ127-0.01,AY127-p_StopAtr*Y127),2)*100,0),50)=0,ROUNDDOWN(MIN(AZ127-0.01,AY127-p_StopAtr*Y127),2)-0.01,ROUNDDOWN(MIN(AZ127-0.01,AY127-p_StopAtr*Y127),2))</f>
        <v>18.69</v>
      </c>
      <c r="BB127" s="40" t="n">
        <f aca="false">ROUND(AI127,2)</f>
        <v>22.12</v>
      </c>
      <c r="BC127" s="40" t="n">
        <f aca="false">IF(AY127-BA127&gt;0,(BB127-AY127)/(AY127-BA127),0)</f>
        <v>5.72549019607846</v>
      </c>
      <c r="BD127" s="42" t="n">
        <f aca="false">IF(N127&lt;0,1,0)</f>
        <v>0</v>
      </c>
      <c r="BE127" s="41" t="n">
        <f aca="false">IF(AND(BD127=1,BD126=0),N127,IF(BD127=1,MIN(BE126,N127),BE126))</f>
        <v>-0.0583119972977335</v>
      </c>
      <c r="BF127" s="40" t="n">
        <f aca="false">IF(AND(BD127=1,BD126=0),D127,IF(BD127=1,MIN(BF126,D127),BF126))</f>
        <v>19.27</v>
      </c>
      <c r="BG127" s="42" t="n">
        <f aca="false">IF(AND(BD127=1,BD126=0),ROW(),IF(BD127=1,IF(N127&lt;BE126,ROW(),BG126),BG126))</f>
        <v>124</v>
      </c>
      <c r="BH127" s="41" t="n">
        <f aca="false">IF(AND(BD127=1,BD126=0),BE126,BH126)</f>
        <v>-0.392824838841331</v>
      </c>
      <c r="BI127" s="40" t="n">
        <f aca="false">IF(AND(BD127=1,BD126=0),BF126,BI126)</f>
        <v>20.27</v>
      </c>
      <c r="BJ127" s="42" t="n">
        <f aca="false">IF(AND(BD127=1,BD126=0),BG126,BJ126)</f>
        <v>98</v>
      </c>
      <c r="BK127" s="42" t="n">
        <f aca="false">IF(AND(ISNUMBER(BG127),ISNUMBER(BJ127)),BG127-BJ127,"")</f>
        <v>26</v>
      </c>
      <c r="BL127" s="42" t="n">
        <f aca="false">IF(AND(BD127=1,N127&gt;N126,ISNUMBER(BH127),ISNUMBER(BK127)),IF(AND(BE127&gt;BH127,BF127&lt;BI127,BK127&gt;=p_GapMin,BK127&lt;=p_GapMax),1,0),0)</f>
        <v>0</v>
      </c>
      <c r="BM127" s="42" t="n">
        <f aca="false">IF(AND(BL127=1,E127&gt;BI127),1,0)</f>
        <v>0</v>
      </c>
      <c r="BN127" s="42" t="n">
        <f aca="false">IF(BL127=1,IF(BE127&gt;=BH127*0.5,1,0),0)</f>
        <v>0</v>
      </c>
      <c r="BO127" s="42" t="n">
        <f aca="true">IF(V127&gt;MIN(OFFSET(V127,-MIN(p_FiLb-1,ROW()-5),0,MIN(p_FiLb-1,ROW()-5),1)),1,0)</f>
        <v>1</v>
      </c>
      <c r="BP127" s="44" t="n">
        <f aca="true">IF(COUNTIF(OFFSET(V127,1-MIN(100,ROW()-4),0,MIN(100,ROW()-4),1),"&lt;0")&gt;=5,AVERAGEIF(OFFSET(V127,1-MIN(100,ROW()-4),0,MIN(100,ROW()-4),1),"&lt;0"),"")</f>
        <v>-1004157.17267602</v>
      </c>
      <c r="BQ127" s="42" t="n">
        <f aca="false">IF(ISNUMBER(BP127),IF(AND(V127&lt;5*BP127,V127&gt;V126,E127&lt;AJ127),1,0),0)</f>
        <v>0</v>
      </c>
      <c r="BR127" s="44" t="n">
        <f aca="true">AVERAGE(OFFSET(F127,1-MIN(5,ROW()-4),0,MIN(5,ROW()-4),1))</f>
        <v>3453060</v>
      </c>
      <c r="BS127" s="42" t="n">
        <f aca="false">IFERROR(IF(MATCH(G127,周线!$A$5:$A$84,0)&lt;=1,"",INDEX(周线!$R$5:$R$84,MATCH(G127,周线!$A$5:$A$84,0)-1)),"")</f>
        <v>0</v>
      </c>
      <c r="BT127" s="42" t="n">
        <f aca="false">IFERROR(IF(MATCH(G127,周线!$A$5:$A$84,0)&lt;=1,"",INDEX(周线!$S$5:$S$84,MATCH(G127,周线!$A$5:$A$84,0)-1)),"")</f>
        <v>0</v>
      </c>
      <c r="BU127" s="42" t="n">
        <f aca="false">IFERROR(IF(MATCH(G127,周线!$A$5:$A$84,0)&lt;=1,"",INDEX(周线!$U$5:$U$84,MATCH(G127,周线!$A$5:$A$84,0)-1)),"")</f>
        <v>-1</v>
      </c>
      <c r="BV127" s="42" t="n">
        <f aca="false">IF(AND(BS127=1,S127&lt;&gt;-1,V127&lt;0,BO127=1,E127&lt;=H127,E127&gt;=AJ127),1,0)</f>
        <v>0</v>
      </c>
      <c r="BW127" s="42" t="n">
        <f aca="false">BL127</f>
        <v>0</v>
      </c>
      <c r="BX127" s="42" t="n">
        <f aca="false">BQ127</f>
        <v>0</v>
      </c>
      <c r="BY127" s="42" t="n">
        <f aca="false">IF(BS127=1,10,0)+IF(BU127=1,5,IF(BU127=-1,0,3))+IF(BT127=1,5,0)+IF(AND(AE127&gt;AF127,AH127&gt;AH126),5,0)</f>
        <v>0</v>
      </c>
      <c r="BZ127" s="42" t="n">
        <f aca="false">IF(AND(E127&lt;=H127,E127&gt;=I127),10,IF(AND(E127&gt;=AJ127,E127&lt;I127),6,0))+IF(AND(V127&lt;0,BO127=1),8,0)+IF(AT127&lt;30,7,IF(AT127&lt;50,3,0))</f>
        <v>6</v>
      </c>
      <c r="CA127" s="42" t="n">
        <f aca="false">IF(AND(BV127=1,BW127=1),25,IF(BW127=1,22,IF(BV127=1,15,IF(BX127=1,12,0))))</f>
        <v>0</v>
      </c>
      <c r="CB127" s="42" t="n">
        <f aca="false">IF(W127&gt;0,6,0)+IF(F127&lt;BR127,4,0)</f>
        <v>4</v>
      </c>
      <c r="CC127" s="42" t="n">
        <f aca="false">IF(BC127&gt;=3,15,IF(BC127&gt;=p_RRmin,10,IF(BC127&gt;=1.5,4,0)))</f>
        <v>15</v>
      </c>
      <c r="CD127" s="42" t="n">
        <f aca="false">BY127+BZ127+CA127+CB127+CC127</f>
        <v>25</v>
      </c>
      <c r="CE127" s="42" t="n">
        <f aca="false">IF(AND(BS127&lt;&gt;1,BW127+BX127=0),1,0)</f>
        <v>1</v>
      </c>
      <c r="CF127" s="42" t="n">
        <f aca="false">IF(BU127=-1,1,0)</f>
        <v>1</v>
      </c>
      <c r="CG127" s="42" t="n">
        <f aca="false">IF(S127=-1,1,0)</f>
        <v>0</v>
      </c>
      <c r="CH127" s="42" t="n">
        <f aca="false">IF(BV127+BW127+BX127=0,1,0)</f>
        <v>1</v>
      </c>
      <c r="CI127" s="42" t="n">
        <f aca="false">IF(BC127&lt;p_RRmin,1,0)</f>
        <v>0</v>
      </c>
      <c r="CJ127" s="46" t="str">
        <f aca="false">IF(SUM(CE127:CI127)=0,IF(CD127&gt;=p_GradeA,"A",IF(CD127&gt;=p_GradeB,"B","C")),IF(AND(CI127=1,SUM(CE127:CH127)=0,CD127&gt;=p_GradeB),"B","C"))</f>
        <v>C</v>
      </c>
    </row>
    <row r="128" customFormat="false" ht="15" hidden="false" customHeight="false" outlineLevel="0" collapsed="false">
      <c r="A128" s="36" t="n">
        <v>45832</v>
      </c>
      <c r="B128" s="37" t="n">
        <v>19.81</v>
      </c>
      <c r="C128" s="37" t="n">
        <v>19.92</v>
      </c>
      <c r="D128" s="37" t="n">
        <v>19.59</v>
      </c>
      <c r="E128" s="37" t="n">
        <v>19.76</v>
      </c>
      <c r="F128" s="38" t="n">
        <v>2889400</v>
      </c>
      <c r="G128" s="39" t="n">
        <f aca="false">A128-WEEKDAY(A128,3)</f>
        <v>45831</v>
      </c>
      <c r="H128" s="40" t="n">
        <f aca="false">2/(p_EmaF+1)*E128+(1-2/(p_EmaF+1))*H127</f>
        <v>20.154283710171</v>
      </c>
      <c r="I128" s="40" t="n">
        <f aca="false">2/(p_EmaS+1)*E128+(1-2/(p_EmaS+1))*I127</f>
        <v>20.7893626730536</v>
      </c>
      <c r="J128" s="41" t="n">
        <f aca="false">2/(p_MacdF+1)*E128+(1-2/(p_MacdF+1))*J127</f>
        <v>20.1075919225701</v>
      </c>
      <c r="K128" s="41" t="n">
        <f aca="false">2/(p_MacdS+1)*E128+(1-2/(p_MacdS+1))*K127</f>
        <v>20.7893626730536</v>
      </c>
      <c r="L128" s="41" t="n">
        <f aca="false">J128-K128</f>
        <v>-0.681770750483512</v>
      </c>
      <c r="M128" s="41" t="n">
        <f aca="false">2/(p_MacdSig+1)*L128+(1-2/(p_MacdSig+1))*M127</f>
        <v>-0.700154870634176</v>
      </c>
      <c r="N128" s="41" t="n">
        <f aca="false">L128-M128</f>
        <v>0.0183841201506643</v>
      </c>
      <c r="O128" s="42" t="n">
        <f aca="false">IF(H128&gt;H127,1,0)</f>
        <v>0</v>
      </c>
      <c r="P128" s="42" t="n">
        <f aca="false">IF(H128&lt;H127,1,0)</f>
        <v>1</v>
      </c>
      <c r="Q128" s="42" t="n">
        <f aca="false">IF(N128&gt;N127,1,0)</f>
        <v>1</v>
      </c>
      <c r="R128" s="42" t="n">
        <f aca="false">IF(N128&lt;N127,1,0)</f>
        <v>0</v>
      </c>
      <c r="S128" s="42" t="n">
        <f aca="false">IF(AND(O128=1,Q128=1),1,IF(AND(P128=1,R128=1),-1,0))</f>
        <v>0</v>
      </c>
      <c r="T128" s="43" t="str">
        <f aca="false">IF(S128=1,"绿",IF(S128=-1,"红","蓝"))</f>
        <v>蓝</v>
      </c>
      <c r="U128" s="44" t="n">
        <f aca="false">F128*(E128-E127)</f>
        <v>-173363.999999996</v>
      </c>
      <c r="V128" s="44" t="n">
        <f aca="false">2/(p_FiS+1)*U128+(1-2/(p_FiS+1))*V127</f>
        <v>-75755.7477534415</v>
      </c>
      <c r="W128" s="44" t="n">
        <f aca="false">2/(p_FiL+1)*U128+(1-2/(p_FiL+1))*W127</f>
        <v>-343974.889687365</v>
      </c>
      <c r="X128" s="41" t="n">
        <f aca="false">MAX(C128-D128,ABS(C128-E127),ABS(D128-E127))</f>
        <v>0.330000000000002</v>
      </c>
      <c r="Y128" s="41" t="n">
        <f aca="true">AVERAGE(OFFSET(X128,1-MIN(p_AtrN,ROW()-4),0,MIN(p_AtrN,ROW()-4),1))</f>
        <v>0.515384615384615</v>
      </c>
      <c r="Z128" s="41" t="n">
        <f aca="false">IF(AND(C128-C127&gt;D127-D128,C128-C127&gt;0),C128-C127,0)</f>
        <v>0</v>
      </c>
      <c r="AA128" s="41" t="n">
        <f aca="false">IF(AND(D127-D128&gt;C128-C127,D127-D128&gt;0),D127-D128,0)</f>
        <v>0.16</v>
      </c>
      <c r="AB128" s="41" t="n">
        <f aca="false">2/(p_AdxN+1)*X128+(1-2/(p_AdxN+1))*AB127</f>
        <v>0.466095590153052</v>
      </c>
      <c r="AC128" s="41" t="n">
        <f aca="false">2/(p_AdxN+1)*Z128+(1-2/(p_AdxN+1))*AC127</f>
        <v>0.054377565847122</v>
      </c>
      <c r="AD128" s="41" t="n">
        <f aca="false">2/(p_AdxN+1)*AA128+(1-2/(p_AdxN+1))*AD127</f>
        <v>0.130131424165789</v>
      </c>
      <c r="AE128" s="45" t="n">
        <f aca="false">100*AC128/AB128</f>
        <v>11.6666123850831</v>
      </c>
      <c r="AF128" s="45" t="n">
        <f aca="false">100*AD128/AB128</f>
        <v>27.9194712232866</v>
      </c>
      <c r="AG128" s="45" t="n">
        <f aca="false">IFERROR(100*ABS(AE128-AF128)/(AE128+AF128),0)</f>
        <v>41.0570012406259</v>
      </c>
      <c r="AH128" s="45" t="n">
        <f aca="false">2/(p_AdxN+1)*AG128+(1-2/(p_AdxN+1))*AH127</f>
        <v>40.9914729714463</v>
      </c>
      <c r="AI128" s="40" t="n">
        <f aca="false">I128*(1+p_ChPct)</f>
        <v>22.0367244334368</v>
      </c>
      <c r="AJ128" s="40" t="n">
        <f aca="false">I128*(1-p_ChPct)</f>
        <v>19.5420009126704</v>
      </c>
      <c r="AK128" s="40" t="n">
        <f aca="false">I128+1*Y128</f>
        <v>21.3047472884382</v>
      </c>
      <c r="AL128" s="40" t="n">
        <f aca="false">I128+2*Y128</f>
        <v>21.8201319038229</v>
      </c>
      <c r="AM128" s="40" t="n">
        <f aca="false">I128+3*Y128</f>
        <v>22.3355165192075</v>
      </c>
      <c r="AN128" s="40" t="n">
        <f aca="false">I128-1*Y128</f>
        <v>20.273978057669</v>
      </c>
      <c r="AO128" s="40" t="n">
        <f aca="false">I128-2*Y128</f>
        <v>19.7585934422844</v>
      </c>
      <c r="AP128" s="40" t="n">
        <f aca="false">I128-3*Y128</f>
        <v>19.2432088268998</v>
      </c>
      <c r="AQ128" s="40" t="n">
        <f aca="true">MAX(OFFSET(C128,1-MIN(p_StochN,ROW()-4),0,MIN(p_StochN,ROW()-4),1))</f>
        <v>20.06</v>
      </c>
      <c r="AR128" s="40" t="n">
        <f aca="true">MIN(OFFSET(D128,1-MIN(p_StochN,ROW()-4),0,MIN(p_StochN,ROW()-4),1))</f>
        <v>19.35</v>
      </c>
      <c r="AS128" s="45" t="n">
        <f aca="false">IF(AQ128=AR128,50,100*(E128-AR128)/(AQ128-AR128))</f>
        <v>57.7464788732397</v>
      </c>
      <c r="AT128" s="45" t="n">
        <f aca="true">AVERAGE(OFFSET(AS128,1-MIN(p_StochSm,ROW()-4),0,MIN(p_StochSm,ROW()-4),1))</f>
        <v>57.9754567726859</v>
      </c>
      <c r="AU128" s="45" t="n">
        <f aca="true">AVERAGE(OFFSET(AT128,1-MIN(p_StochSm,ROW()-4),0,MIN(p_StochSm,ROW()-4),1))</f>
        <v>49.5617910463483</v>
      </c>
      <c r="AV128" s="41" t="n">
        <f aca="false">MAX(0,H128-D128)</f>
        <v>0.564283710170958</v>
      </c>
      <c r="AW128" s="41" t="n">
        <f aca="true">IF(COUNTIF(OFFSET(AV128,1-MIN(p_PenLb,ROW()-4),0,MIN(p_PenLb,ROW()-4),1),"&gt;0")&gt;0,SUM(OFFSET(AV128,1-MIN(p_PenLb,ROW()-4),0,MIN(p_PenLb,ROW()-4),1))/COUNTIF(OFFSET(AV128,1-MIN(p_PenLb,ROW()-4),0,MIN(p_PenLb,ROW()-4),1),"&gt;0"),0.5*Y128)</f>
        <v>0.902935863525714</v>
      </c>
      <c r="AX128" s="41" t="n">
        <f aca="false">2*H128-H127</f>
        <v>20.0885697584758</v>
      </c>
      <c r="AY128" s="40" t="n">
        <f aca="false">ROUND(MAX(AX128-AW128,0.01),2)</f>
        <v>19.19</v>
      </c>
      <c r="AZ128" s="40" t="n">
        <f aca="true">IF(MIN(p_StopLb,ROW()-4)&lt;2,D128,SMALL(OFFSET(D128,1-MIN(p_StopLb,ROW()-4),0,MIN(p_StopLb,ROW()-4),1),2))</f>
        <v>19.33</v>
      </c>
      <c r="BA128" s="40" t="n">
        <f aca="false">IF(MOD(ROUND(ROUNDDOWN(MIN(AZ128-0.01,AY128-p_StopAtr*Y128),2)*100,0),50)=0,ROUNDDOWN(MIN(AZ128-0.01,AY128-p_StopAtr*Y128),2)-0.01,ROUNDDOWN(MIN(AZ128-0.01,AY128-p_StopAtr*Y128),2))</f>
        <v>18.67</v>
      </c>
      <c r="BB128" s="40" t="n">
        <f aca="false">ROUND(AI128,2)</f>
        <v>22.04</v>
      </c>
      <c r="BC128" s="40" t="n">
        <f aca="false">IF(AY128-BA128&gt;0,(BB128-AY128)/(AY128-BA128),0)</f>
        <v>5.48076923076923</v>
      </c>
      <c r="BD128" s="42" t="n">
        <f aca="false">IF(N128&lt;0,1,0)</f>
        <v>0</v>
      </c>
      <c r="BE128" s="41" t="n">
        <f aca="false">IF(AND(BD128=1,BD127=0),N128,IF(BD128=1,MIN(BE127,N128),BE127))</f>
        <v>-0.0583119972977335</v>
      </c>
      <c r="BF128" s="40" t="n">
        <f aca="false">IF(AND(BD128=1,BD127=0),D128,IF(BD128=1,MIN(BF127,D128),BF127))</f>
        <v>19.27</v>
      </c>
      <c r="BG128" s="42" t="n">
        <f aca="false">IF(AND(BD128=1,BD127=0),ROW(),IF(BD128=1,IF(N128&lt;BE127,ROW(),BG127),BG127))</f>
        <v>124</v>
      </c>
      <c r="BH128" s="41" t="n">
        <f aca="false">IF(AND(BD128=1,BD127=0),BE127,BH127)</f>
        <v>-0.392824838841331</v>
      </c>
      <c r="BI128" s="40" t="n">
        <f aca="false">IF(AND(BD128=1,BD127=0),BF127,BI127)</f>
        <v>20.27</v>
      </c>
      <c r="BJ128" s="42" t="n">
        <f aca="false">IF(AND(BD128=1,BD127=0),BG127,BJ127)</f>
        <v>98</v>
      </c>
      <c r="BK128" s="42" t="n">
        <f aca="false">IF(AND(ISNUMBER(BG128),ISNUMBER(BJ128)),BG128-BJ128,"")</f>
        <v>26</v>
      </c>
      <c r="BL128" s="42" t="n">
        <f aca="false">IF(AND(BD128=1,N128&gt;N127,ISNUMBER(BH128),ISNUMBER(BK128)),IF(AND(BE128&gt;BH128,BF128&lt;BI128,BK128&gt;=p_GapMin,BK128&lt;=p_GapMax),1,0),0)</f>
        <v>0</v>
      </c>
      <c r="BM128" s="42" t="n">
        <f aca="false">IF(AND(BL128=1,E128&gt;BI128),1,0)</f>
        <v>0</v>
      </c>
      <c r="BN128" s="42" t="n">
        <f aca="false">IF(BL128=1,IF(BE128&gt;=BH128*0.5,1,0),0)</f>
        <v>0</v>
      </c>
      <c r="BO128" s="42" t="n">
        <f aca="true">IF(V128&gt;MIN(OFFSET(V128,-MIN(p_FiLb-1,ROW()-5),0,MIN(p_FiLb-1,ROW()-5),1)),1,0)</f>
        <v>1</v>
      </c>
      <c r="BP128" s="44" t="n">
        <f aca="true">IF(COUNTIF(OFFSET(V128,1-MIN(100,ROW()-4),0,MIN(100,ROW()-4),1),"&lt;0")&gt;=5,AVERAGEIF(OFFSET(V128,1-MIN(100,ROW()-4),0,MIN(100,ROW()-4),1),"&lt;0"),"")</f>
        <v>-987277.146768338</v>
      </c>
      <c r="BQ128" s="42" t="n">
        <f aca="false">IF(ISNUMBER(BP128),IF(AND(V128&lt;5*BP128,V128&gt;V127,E128&lt;AJ128),1,0),0)</f>
        <v>0</v>
      </c>
      <c r="BR128" s="44" t="n">
        <f aca="true">AVERAGE(OFFSET(F128,1-MIN(5,ROW()-4),0,MIN(5,ROW()-4),1))</f>
        <v>3193600</v>
      </c>
      <c r="BS128" s="42" t="n">
        <f aca="false">IFERROR(IF(MATCH(G128,周线!$A$5:$A$84,0)&lt;=1,"",INDEX(周线!$R$5:$R$84,MATCH(G128,周线!$A$5:$A$84,0)-1)),"")</f>
        <v>0</v>
      </c>
      <c r="BT128" s="42" t="n">
        <f aca="false">IFERROR(IF(MATCH(G128,周线!$A$5:$A$84,0)&lt;=1,"",INDEX(周线!$S$5:$S$84,MATCH(G128,周线!$A$5:$A$84,0)-1)),"")</f>
        <v>0</v>
      </c>
      <c r="BU128" s="42" t="n">
        <f aca="false">IFERROR(IF(MATCH(G128,周线!$A$5:$A$84,0)&lt;=1,"",INDEX(周线!$U$5:$U$84,MATCH(G128,周线!$A$5:$A$84,0)-1)),"")</f>
        <v>-1</v>
      </c>
      <c r="BV128" s="42" t="n">
        <f aca="false">IF(AND(BS128=1,S128&lt;&gt;-1,V128&lt;0,BO128=1,E128&lt;=H128,E128&gt;=AJ128),1,0)</f>
        <v>0</v>
      </c>
      <c r="BW128" s="42" t="n">
        <f aca="false">BL128</f>
        <v>0</v>
      </c>
      <c r="BX128" s="42" t="n">
        <f aca="false">BQ128</f>
        <v>0</v>
      </c>
      <c r="BY128" s="42" t="n">
        <f aca="false">IF(BS128=1,10,0)+IF(BU128=1,5,IF(BU128=-1,0,3))+IF(BT128=1,5,0)+IF(AND(AE128&gt;AF128,AH128&gt;AH127),5,0)</f>
        <v>0</v>
      </c>
      <c r="BZ128" s="42" t="n">
        <f aca="false">IF(AND(E128&lt;=H128,E128&gt;=I128),10,IF(AND(E128&gt;=AJ128,E128&lt;I128),6,0))+IF(AND(V128&lt;0,BO128=1),8,0)+IF(AT128&lt;30,7,IF(AT128&lt;50,3,0))</f>
        <v>14</v>
      </c>
      <c r="CA128" s="42" t="n">
        <f aca="false">IF(AND(BV128=1,BW128=1),25,IF(BW128=1,22,IF(BV128=1,15,IF(BX128=1,12,0))))</f>
        <v>0</v>
      </c>
      <c r="CB128" s="42" t="n">
        <f aca="false">IF(W128&gt;0,6,0)+IF(F128&lt;BR128,4,0)</f>
        <v>4</v>
      </c>
      <c r="CC128" s="42" t="n">
        <f aca="false">IF(BC128&gt;=3,15,IF(BC128&gt;=p_RRmin,10,IF(BC128&gt;=1.5,4,0)))</f>
        <v>15</v>
      </c>
      <c r="CD128" s="42" t="n">
        <f aca="false">BY128+BZ128+CA128+CB128+CC128</f>
        <v>33</v>
      </c>
      <c r="CE128" s="42" t="n">
        <f aca="false">IF(AND(BS128&lt;&gt;1,BW128+BX128=0),1,0)</f>
        <v>1</v>
      </c>
      <c r="CF128" s="42" t="n">
        <f aca="false">IF(BU128=-1,1,0)</f>
        <v>1</v>
      </c>
      <c r="CG128" s="42" t="n">
        <f aca="false">IF(S128=-1,1,0)</f>
        <v>0</v>
      </c>
      <c r="CH128" s="42" t="n">
        <f aca="false">IF(BV128+BW128+BX128=0,1,0)</f>
        <v>1</v>
      </c>
      <c r="CI128" s="42" t="n">
        <f aca="false">IF(BC128&lt;p_RRmin,1,0)</f>
        <v>0</v>
      </c>
      <c r="CJ128" s="46" t="str">
        <f aca="false">IF(SUM(CE128:CI128)=0,IF(CD128&gt;=p_GradeA,"A",IF(CD128&gt;=p_GradeB,"B","C")),IF(AND(CI128=1,SUM(CE128:CH128)=0,CD128&gt;=p_GradeB),"B","C"))</f>
        <v>C</v>
      </c>
    </row>
    <row r="129" customFormat="false" ht="15" hidden="false" customHeight="false" outlineLevel="0" collapsed="false">
      <c r="A129" s="36" t="n">
        <v>45833</v>
      </c>
      <c r="B129" s="37" t="n">
        <v>19.76</v>
      </c>
      <c r="C129" s="37" t="n">
        <v>20.07</v>
      </c>
      <c r="D129" s="37" t="n">
        <v>19.63</v>
      </c>
      <c r="E129" s="37" t="n">
        <v>20</v>
      </c>
      <c r="F129" s="38" t="n">
        <v>4888300</v>
      </c>
      <c r="G129" s="39" t="n">
        <f aca="false">A129-WEEKDAY(A129,3)</f>
        <v>45831</v>
      </c>
      <c r="H129" s="40" t="n">
        <f aca="false">2/(p_EmaF+1)*E129+(1-2/(p_EmaF+1))*H128</f>
        <v>20.1322431801465</v>
      </c>
      <c r="I129" s="40" t="n">
        <f aca="false">2/(p_EmaS+1)*E129+(1-2/(p_EmaS+1))*I128</f>
        <v>20.7308913639385</v>
      </c>
      <c r="J129" s="41" t="n">
        <f aca="false">2/(p_MacdF+1)*E129+(1-2/(p_MacdF+1))*J128</f>
        <v>20.0910393190978</v>
      </c>
      <c r="K129" s="41" t="n">
        <f aca="false">2/(p_MacdS+1)*E129+(1-2/(p_MacdS+1))*K128</f>
        <v>20.7308913639385</v>
      </c>
      <c r="L129" s="41" t="n">
        <f aca="false">J129-K129</f>
        <v>-0.639852044840755</v>
      </c>
      <c r="M129" s="41" t="n">
        <f aca="false">2/(p_MacdSig+1)*L129+(1-2/(p_MacdSig+1))*M128</f>
        <v>-0.688094305475492</v>
      </c>
      <c r="N129" s="41" t="n">
        <f aca="false">L129-M129</f>
        <v>0.0482422606347375</v>
      </c>
      <c r="O129" s="42" t="n">
        <f aca="false">IF(H129&gt;H128,1,0)</f>
        <v>0</v>
      </c>
      <c r="P129" s="42" t="n">
        <f aca="false">IF(H129&lt;H128,1,0)</f>
        <v>1</v>
      </c>
      <c r="Q129" s="42" t="n">
        <f aca="false">IF(N129&gt;N128,1,0)</f>
        <v>1</v>
      </c>
      <c r="R129" s="42" t="n">
        <f aca="false">IF(N129&lt;N128,1,0)</f>
        <v>0</v>
      </c>
      <c r="S129" s="42" t="n">
        <f aca="false">IF(AND(O129=1,Q129=1),1,IF(AND(P129=1,R129=1),-1,0))</f>
        <v>0</v>
      </c>
      <c r="T129" s="43" t="str">
        <f aca="false">IF(S129=1,"绿",IF(S129=-1,"红","蓝"))</f>
        <v>蓝</v>
      </c>
      <c r="U129" s="44" t="n">
        <f aca="false">F129*(E129-E128)</f>
        <v>1173191.99999999</v>
      </c>
      <c r="V129" s="44" t="n">
        <f aca="false">2/(p_FiS+1)*U129+(1-2/(p_FiS+1))*V128</f>
        <v>756876.084082181</v>
      </c>
      <c r="W129" s="44" t="n">
        <f aca="false">2/(p_FiL+1)*U129+(1-2/(p_FiL+1))*W128</f>
        <v>-127236.762589172</v>
      </c>
      <c r="X129" s="41" t="n">
        <f aca="false">MAX(C129-D129,ABS(C129-E128),ABS(D129-E128))</f>
        <v>0.440000000000001</v>
      </c>
      <c r="Y129" s="41" t="n">
        <f aca="true">AVERAGE(OFFSET(X129,1-MIN(p_AtrN,ROW()-4),0,MIN(p_AtrN,ROW()-4),1))</f>
        <v>0.513076923076923</v>
      </c>
      <c r="Z129" s="41" t="n">
        <f aca="false">IF(AND(C129-C128&gt;D128-D129,C129-C128&gt;0),C129-C128,0)</f>
        <v>0.149999999999999</v>
      </c>
      <c r="AA129" s="41" t="n">
        <f aca="false">IF(AND(D128-D129&gt;C129-C128,D128-D129&gt;0),D128-D129,0)</f>
        <v>0</v>
      </c>
      <c r="AB129" s="41" t="n">
        <f aca="false">2/(p_AdxN+1)*X129+(1-2/(p_AdxN+1))*AB128</f>
        <v>0.462367648702617</v>
      </c>
      <c r="AC129" s="41" t="n">
        <f aca="false">2/(p_AdxN+1)*Z129+(1-2/(p_AdxN+1))*AC128</f>
        <v>0.0680379135832473</v>
      </c>
      <c r="AD129" s="41" t="n">
        <f aca="false">2/(p_AdxN+1)*AA129+(1-2/(p_AdxN+1))*AD128</f>
        <v>0.111541220713534</v>
      </c>
      <c r="AE129" s="45" t="n">
        <f aca="false">100*AC129/AB129</f>
        <v>14.7151111835265</v>
      </c>
      <c r="AF129" s="45" t="n">
        <f aca="false">100*AD129/AB129</f>
        <v>24.1239241167745</v>
      </c>
      <c r="AG129" s="45" t="n">
        <f aca="false">IFERROR(100*ABS(AE129-AF129)/(AE129+AF129),0)</f>
        <v>24.2251458114231</v>
      </c>
      <c r="AH129" s="45" t="n">
        <f aca="false">2/(p_AdxN+1)*AG129+(1-2/(p_AdxN+1))*AH128</f>
        <v>38.5962833771573</v>
      </c>
      <c r="AI129" s="40" t="n">
        <f aca="false">I129*(1+p_ChPct)</f>
        <v>21.9747448457749</v>
      </c>
      <c r="AJ129" s="40" t="n">
        <f aca="false">I129*(1-p_ChPct)</f>
        <v>19.4870378821022</v>
      </c>
      <c r="AK129" s="40" t="n">
        <f aca="false">I129+1*Y129</f>
        <v>21.2439682870155</v>
      </c>
      <c r="AL129" s="40" t="n">
        <f aca="false">I129+2*Y129</f>
        <v>21.7570452100924</v>
      </c>
      <c r="AM129" s="40" t="n">
        <f aca="false">I129+3*Y129</f>
        <v>22.2701221331693</v>
      </c>
      <c r="AN129" s="40" t="n">
        <f aca="false">I129-1*Y129</f>
        <v>20.2178144408616</v>
      </c>
      <c r="AO129" s="40" t="n">
        <f aca="false">I129-2*Y129</f>
        <v>19.7047375177847</v>
      </c>
      <c r="AP129" s="40" t="n">
        <f aca="false">I129-3*Y129</f>
        <v>19.1916605947078</v>
      </c>
      <c r="AQ129" s="40" t="n">
        <f aca="true">MAX(OFFSET(C129,1-MIN(p_StochN,ROW()-4),0,MIN(p_StochN,ROW()-4),1))</f>
        <v>20.07</v>
      </c>
      <c r="AR129" s="40" t="n">
        <f aca="true">MIN(OFFSET(D129,1-MIN(p_StochN,ROW()-4),0,MIN(p_StochN,ROW()-4),1))</f>
        <v>19.43</v>
      </c>
      <c r="AS129" s="45" t="n">
        <f aca="false">IF(AQ129=AR129,50,100*(E129-AR129)/(AQ129-AR129))</f>
        <v>89.0625</v>
      </c>
      <c r="AT129" s="45" t="n">
        <f aca="true">AVERAGE(OFFSET(AS129,1-MIN(p_StochSm,ROW()-4),0,MIN(p_StochSm,ROW()-4),1))</f>
        <v>71.3107555148243</v>
      </c>
      <c r="AU129" s="45" t="n">
        <f aca="true">AVERAGE(OFFSET(AT129,1-MIN(p_StochSm,ROW()-4),0,MIN(p_StochSm,ROW()-4),1))</f>
        <v>61.2377752869679</v>
      </c>
      <c r="AV129" s="41" t="n">
        <f aca="false">MAX(0,H129-D129)</f>
        <v>0.50224318014654</v>
      </c>
      <c r="AW129" s="41" t="n">
        <f aca="true">IF(COUNTIF(OFFSET(AV129,1-MIN(p_PenLb,ROW()-4),0,MIN(p_PenLb,ROW()-4),1),"&gt;0")&gt;0,SUM(OFFSET(AV129,1-MIN(p_PenLb,ROW()-4),0,MIN(p_PenLb,ROW()-4),1))/COUNTIF(OFFSET(AV129,1-MIN(p_PenLb,ROW()-4),0,MIN(p_PenLb,ROW()-4),1),"&gt;0"),0.5*Y129)</f>
        <v>0.862945025879185</v>
      </c>
      <c r="AX129" s="41" t="n">
        <f aca="false">2*H129-H128</f>
        <v>20.1102026501221</v>
      </c>
      <c r="AY129" s="40" t="n">
        <f aca="false">ROUND(MAX(AX129-AW129,0.01),2)</f>
        <v>19.25</v>
      </c>
      <c r="AZ129" s="40" t="n">
        <f aca="true">IF(MIN(p_StopLb,ROW()-4)&lt;2,D129,SMALL(OFFSET(D129,1-MIN(p_StopLb,ROW()-4),0,MIN(p_StopLb,ROW()-4),1),2))</f>
        <v>19.33</v>
      </c>
      <c r="BA129" s="40" t="n">
        <f aca="false">IF(MOD(ROUND(ROUNDDOWN(MIN(AZ129-0.01,AY129-p_StopAtr*Y129),2)*100,0),50)=0,ROUNDDOWN(MIN(AZ129-0.01,AY129-p_StopAtr*Y129),2)-0.01,ROUNDDOWN(MIN(AZ129-0.01,AY129-p_StopAtr*Y129),2))</f>
        <v>18.73</v>
      </c>
      <c r="BB129" s="40" t="n">
        <f aca="false">ROUND(AI129,2)</f>
        <v>21.97</v>
      </c>
      <c r="BC129" s="40" t="n">
        <f aca="false">IF(AY129-BA129&gt;0,(BB129-AY129)/(AY129-BA129),0)</f>
        <v>5.23076923076923</v>
      </c>
      <c r="BD129" s="42" t="n">
        <f aca="false">IF(N129&lt;0,1,0)</f>
        <v>0</v>
      </c>
      <c r="BE129" s="41" t="n">
        <f aca="false">IF(AND(BD129=1,BD128=0),N129,IF(BD129=1,MIN(BE128,N129),BE128))</f>
        <v>-0.0583119972977335</v>
      </c>
      <c r="BF129" s="40" t="n">
        <f aca="false">IF(AND(BD129=1,BD128=0),D129,IF(BD129=1,MIN(BF128,D129),BF128))</f>
        <v>19.27</v>
      </c>
      <c r="BG129" s="42" t="n">
        <f aca="false">IF(AND(BD129=1,BD128=0),ROW(),IF(BD129=1,IF(N129&lt;BE128,ROW(),BG128),BG128))</f>
        <v>124</v>
      </c>
      <c r="BH129" s="41" t="n">
        <f aca="false">IF(AND(BD129=1,BD128=0),BE128,BH128)</f>
        <v>-0.392824838841331</v>
      </c>
      <c r="BI129" s="40" t="n">
        <f aca="false">IF(AND(BD129=1,BD128=0),BF128,BI128)</f>
        <v>20.27</v>
      </c>
      <c r="BJ129" s="42" t="n">
        <f aca="false">IF(AND(BD129=1,BD128=0),BG128,BJ128)</f>
        <v>98</v>
      </c>
      <c r="BK129" s="42" t="n">
        <f aca="false">IF(AND(ISNUMBER(BG129),ISNUMBER(BJ129)),BG129-BJ129,"")</f>
        <v>26</v>
      </c>
      <c r="BL129" s="42" t="n">
        <f aca="false">IF(AND(BD129=1,N129&gt;N128,ISNUMBER(BH129),ISNUMBER(BK129)),IF(AND(BE129&gt;BH129,BF129&lt;BI129,BK129&gt;=p_GapMin,BK129&lt;=p_GapMax),1,0),0)</f>
        <v>0</v>
      </c>
      <c r="BM129" s="42" t="n">
        <f aca="false">IF(AND(BL129=1,E129&gt;BI129),1,0)</f>
        <v>0</v>
      </c>
      <c r="BN129" s="42" t="n">
        <f aca="false">IF(BL129=1,IF(BE129&gt;=BH129*0.5,1,0),0)</f>
        <v>0</v>
      </c>
      <c r="BO129" s="42" t="n">
        <f aca="true">IF(V129&gt;MIN(OFFSET(V129,-MIN(p_FiLb-1,ROW()-5),0,MIN(p_FiLb-1,ROW()-5),1)),1,0)</f>
        <v>1</v>
      </c>
      <c r="BP129" s="44" t="n">
        <f aca="true">IF(COUNTIF(OFFSET(V129,1-MIN(100,ROW()-4),0,MIN(100,ROW()-4),1),"&lt;0")&gt;=5,AVERAGEIF(OFFSET(V129,1-MIN(100,ROW()-4),0,MIN(100,ROW()-4),1),"&lt;0"),"")</f>
        <v>-987277.146768338</v>
      </c>
      <c r="BQ129" s="42" t="n">
        <f aca="false">IF(ISNUMBER(BP129),IF(AND(V129&lt;5*BP129,V129&gt;V128,E129&lt;AJ129),1,0),0)</f>
        <v>0</v>
      </c>
      <c r="BR129" s="44" t="n">
        <f aca="true">AVERAGE(OFFSET(F129,1-MIN(5,ROW()-4),0,MIN(5,ROW()-4),1))</f>
        <v>3676480</v>
      </c>
      <c r="BS129" s="42" t="n">
        <f aca="false">IFERROR(IF(MATCH(G129,周线!$A$5:$A$84,0)&lt;=1,"",INDEX(周线!$R$5:$R$84,MATCH(G129,周线!$A$5:$A$84,0)-1)),"")</f>
        <v>0</v>
      </c>
      <c r="BT129" s="42" t="n">
        <f aca="false">IFERROR(IF(MATCH(G129,周线!$A$5:$A$84,0)&lt;=1,"",INDEX(周线!$S$5:$S$84,MATCH(G129,周线!$A$5:$A$84,0)-1)),"")</f>
        <v>0</v>
      </c>
      <c r="BU129" s="42" t="n">
        <f aca="false">IFERROR(IF(MATCH(G129,周线!$A$5:$A$84,0)&lt;=1,"",INDEX(周线!$U$5:$U$84,MATCH(G129,周线!$A$5:$A$84,0)-1)),"")</f>
        <v>-1</v>
      </c>
      <c r="BV129" s="42" t="n">
        <f aca="false">IF(AND(BS129=1,S129&lt;&gt;-1,V129&lt;0,BO129=1,E129&lt;=H129,E129&gt;=AJ129),1,0)</f>
        <v>0</v>
      </c>
      <c r="BW129" s="42" t="n">
        <f aca="false">BL129</f>
        <v>0</v>
      </c>
      <c r="BX129" s="42" t="n">
        <f aca="false">BQ129</f>
        <v>0</v>
      </c>
      <c r="BY129" s="42" t="n">
        <f aca="false">IF(BS129=1,10,0)+IF(BU129=1,5,IF(BU129=-1,0,3))+IF(BT129=1,5,0)+IF(AND(AE129&gt;AF129,AH129&gt;AH128),5,0)</f>
        <v>0</v>
      </c>
      <c r="BZ129" s="42" t="n">
        <f aca="false">IF(AND(E129&lt;=H129,E129&gt;=I129),10,IF(AND(E129&gt;=AJ129,E129&lt;I129),6,0))+IF(AND(V129&lt;0,BO129=1),8,0)+IF(AT129&lt;30,7,IF(AT129&lt;50,3,0))</f>
        <v>6</v>
      </c>
      <c r="CA129" s="42" t="n">
        <f aca="false">IF(AND(BV129=1,BW129=1),25,IF(BW129=1,22,IF(BV129=1,15,IF(BX129=1,12,0))))</f>
        <v>0</v>
      </c>
      <c r="CB129" s="42" t="n">
        <f aca="false">IF(W129&gt;0,6,0)+IF(F129&lt;BR129,4,0)</f>
        <v>0</v>
      </c>
      <c r="CC129" s="42" t="n">
        <f aca="false">IF(BC129&gt;=3,15,IF(BC129&gt;=p_RRmin,10,IF(BC129&gt;=1.5,4,0)))</f>
        <v>15</v>
      </c>
      <c r="CD129" s="42" t="n">
        <f aca="false">BY129+BZ129+CA129+CB129+CC129</f>
        <v>21</v>
      </c>
      <c r="CE129" s="42" t="n">
        <f aca="false">IF(AND(BS129&lt;&gt;1,BW129+BX129=0),1,0)</f>
        <v>1</v>
      </c>
      <c r="CF129" s="42" t="n">
        <f aca="false">IF(BU129=-1,1,0)</f>
        <v>1</v>
      </c>
      <c r="CG129" s="42" t="n">
        <f aca="false">IF(S129=-1,1,0)</f>
        <v>0</v>
      </c>
      <c r="CH129" s="42" t="n">
        <f aca="false">IF(BV129+BW129+BX129=0,1,0)</f>
        <v>1</v>
      </c>
      <c r="CI129" s="42" t="n">
        <f aca="false">IF(BC129&lt;p_RRmin,1,0)</f>
        <v>0</v>
      </c>
      <c r="CJ129" s="46" t="str">
        <f aca="false">IF(SUM(CE129:CI129)=0,IF(CD129&gt;=p_GradeA,"A",IF(CD129&gt;=p_GradeB,"B","C")),IF(AND(CI129=1,SUM(CE129:CH129)=0,CD129&gt;=p_GradeB),"B","C"))</f>
        <v>C</v>
      </c>
    </row>
    <row r="130" customFormat="false" ht="15" hidden="false" customHeight="false" outlineLevel="0" collapsed="false">
      <c r="A130" s="36" t="n">
        <v>45834</v>
      </c>
      <c r="B130" s="37" t="n">
        <v>19.95</v>
      </c>
      <c r="C130" s="37" t="n">
        <v>20.62</v>
      </c>
      <c r="D130" s="37" t="n">
        <v>19.81</v>
      </c>
      <c r="E130" s="37" t="n">
        <v>20.42</v>
      </c>
      <c r="F130" s="38" t="n">
        <v>3700500</v>
      </c>
      <c r="G130" s="39" t="n">
        <f aca="false">A130-WEEKDAY(A130,3)</f>
        <v>45831</v>
      </c>
      <c r="H130" s="40" t="n">
        <f aca="false">2/(p_EmaF+1)*E130+(1-2/(p_EmaF+1))*H129</f>
        <v>20.1733512972685</v>
      </c>
      <c r="I130" s="40" t="n">
        <f aca="false">2/(p_EmaS+1)*E130+(1-2/(p_EmaS+1))*I129</f>
        <v>20.7078623740172</v>
      </c>
      <c r="J130" s="41" t="n">
        <f aca="false">2/(p_MacdF+1)*E130+(1-2/(p_MacdF+1))*J129</f>
        <v>20.1416486546212</v>
      </c>
      <c r="K130" s="41" t="n">
        <f aca="false">2/(p_MacdS+1)*E130+(1-2/(p_MacdS+1))*K129</f>
        <v>20.7078623740172</v>
      </c>
      <c r="L130" s="41" t="n">
        <f aca="false">J130-K130</f>
        <v>-0.566213719395964</v>
      </c>
      <c r="M130" s="41" t="n">
        <f aca="false">2/(p_MacdSig+1)*L130+(1-2/(p_MacdSig+1))*M129</f>
        <v>-0.663718188259587</v>
      </c>
      <c r="N130" s="41" t="n">
        <f aca="false">L130-M130</f>
        <v>0.0975044688636221</v>
      </c>
      <c r="O130" s="42" t="n">
        <f aca="false">IF(H130&gt;H129,1,0)</f>
        <v>1</v>
      </c>
      <c r="P130" s="42" t="n">
        <f aca="false">IF(H130&lt;H129,1,0)</f>
        <v>0</v>
      </c>
      <c r="Q130" s="42" t="n">
        <f aca="false">IF(N130&gt;N129,1,0)</f>
        <v>1</v>
      </c>
      <c r="R130" s="42" t="n">
        <f aca="false">IF(N130&lt;N129,1,0)</f>
        <v>0</v>
      </c>
      <c r="S130" s="42" t="n">
        <f aca="false">IF(AND(O130=1,Q130=1),1,IF(AND(P130=1,R130=1),-1,0))</f>
        <v>1</v>
      </c>
      <c r="T130" s="43" t="str">
        <f aca="false">IF(S130=1,"绿",IF(S130=-1,"红","蓝"))</f>
        <v>绿</v>
      </c>
      <c r="U130" s="44" t="n">
        <f aca="false">F130*(E130-E129)</f>
        <v>1554210.00000001</v>
      </c>
      <c r="V130" s="44" t="n">
        <f aca="false">2/(p_FiS+1)*U130+(1-2/(p_FiS+1))*V129</f>
        <v>1288432.0280274</v>
      </c>
      <c r="W130" s="44" t="n">
        <f aca="false">2/(p_FiL+1)*U130+(1-2/(p_FiL+1))*W129</f>
        <v>112969.917780711</v>
      </c>
      <c r="X130" s="41" t="n">
        <f aca="false">MAX(C130-D130,ABS(C130-E129),ABS(D130-E129))</f>
        <v>0.810000000000002</v>
      </c>
      <c r="Y130" s="41" t="n">
        <f aca="true">AVERAGE(OFFSET(X130,1-MIN(p_AtrN,ROW()-4),0,MIN(p_AtrN,ROW()-4),1))</f>
        <v>0.527692307692308</v>
      </c>
      <c r="Z130" s="41" t="n">
        <f aca="false">IF(AND(C130-C129&gt;D129-D130,C130-C129&gt;0),C130-C129,0)</f>
        <v>0.550000000000001</v>
      </c>
      <c r="AA130" s="41" t="n">
        <f aca="false">IF(AND(D129-D130&gt;C130-C129,D129-D130&gt;0),D129-D130,0)</f>
        <v>0</v>
      </c>
      <c r="AB130" s="41" t="n">
        <f aca="false">2/(p_AdxN+1)*X130+(1-2/(p_AdxN+1))*AB129</f>
        <v>0.512029413173672</v>
      </c>
      <c r="AC130" s="41" t="n">
        <f aca="false">2/(p_AdxN+1)*Z130+(1-2/(p_AdxN+1))*AC129</f>
        <v>0.136889640214212</v>
      </c>
      <c r="AD130" s="41" t="n">
        <f aca="false">2/(p_AdxN+1)*AA130+(1-2/(p_AdxN+1))*AD129</f>
        <v>0.0956067606116003</v>
      </c>
      <c r="AE130" s="45" t="n">
        <f aca="false">100*AC130/AB130</f>
        <v>26.7347220085932</v>
      </c>
      <c r="AF130" s="45" t="n">
        <f aca="false">100*AD130/AB130</f>
        <v>18.6721227632234</v>
      </c>
      <c r="AG130" s="45" t="n">
        <f aca="false">IFERROR(100*ABS(AE130-AF130)/(AE130+AF130),0)</f>
        <v>17.7563521224318</v>
      </c>
      <c r="AH130" s="45" t="n">
        <f aca="false">2/(p_AdxN+1)*AG130+(1-2/(p_AdxN+1))*AH129</f>
        <v>35.619150340768</v>
      </c>
      <c r="AI130" s="40" t="n">
        <f aca="false">I130*(1+p_ChPct)</f>
        <v>21.9503341164582</v>
      </c>
      <c r="AJ130" s="40" t="n">
        <f aca="false">I130*(1-p_ChPct)</f>
        <v>19.4653906315761</v>
      </c>
      <c r="AK130" s="40" t="n">
        <f aca="false">I130+1*Y130</f>
        <v>21.2355546817095</v>
      </c>
      <c r="AL130" s="40" t="n">
        <f aca="false">I130+2*Y130</f>
        <v>21.7632469894018</v>
      </c>
      <c r="AM130" s="40" t="n">
        <f aca="false">I130+3*Y130</f>
        <v>22.2909392970941</v>
      </c>
      <c r="AN130" s="40" t="n">
        <f aca="false">I130-1*Y130</f>
        <v>20.1801700663249</v>
      </c>
      <c r="AO130" s="40" t="n">
        <f aca="false">I130-2*Y130</f>
        <v>19.6524777586326</v>
      </c>
      <c r="AP130" s="40" t="n">
        <f aca="false">I130-3*Y130</f>
        <v>19.1247854509402</v>
      </c>
      <c r="AQ130" s="40" t="n">
        <f aca="true">MAX(OFFSET(C130,1-MIN(p_StochN,ROW()-4),0,MIN(p_StochN,ROW()-4),1))</f>
        <v>20.62</v>
      </c>
      <c r="AR130" s="40" t="n">
        <f aca="true">MIN(OFFSET(D130,1-MIN(p_StochN,ROW()-4),0,MIN(p_StochN,ROW()-4),1))</f>
        <v>19.59</v>
      </c>
      <c r="AS130" s="45" t="n">
        <f aca="false">IF(AQ130=AR130,50,100*(E130-AR130)/(AQ130-AR130))</f>
        <v>80.5825242718448</v>
      </c>
      <c r="AT130" s="45" t="n">
        <f aca="true">AVERAGE(OFFSET(AS130,1-MIN(p_StochSm,ROW()-4),0,MIN(p_StochSm,ROW()-4),1))</f>
        <v>75.7971677150281</v>
      </c>
      <c r="AU130" s="45" t="n">
        <f aca="true">AVERAGE(OFFSET(AT130,1-MIN(p_StochSm,ROW()-4),0,MIN(p_StochSm,ROW()-4),1))</f>
        <v>68.3611266675128</v>
      </c>
      <c r="AV130" s="41" t="n">
        <f aca="false">MAX(0,H130-D130)</f>
        <v>0.363351297268462</v>
      </c>
      <c r="AW130" s="41" t="n">
        <f aca="true">IF(COUNTIF(OFFSET(AV130,1-MIN(p_PenLb,ROW()-4),0,MIN(p_PenLb,ROW()-4),1),"&gt;0")&gt;0,SUM(OFFSET(AV130,1-MIN(p_PenLb,ROW()-4),0,MIN(p_PenLb,ROW()-4),1))/COUNTIF(OFFSET(AV130,1-MIN(p_PenLb,ROW()-4),0,MIN(p_PenLb,ROW()-4),1),"&gt;0"),0.5*Y130)</f>
        <v>0.826190974563112</v>
      </c>
      <c r="AX130" s="41" t="n">
        <f aca="false">2*H130-H129</f>
        <v>20.2144594143904</v>
      </c>
      <c r="AY130" s="40" t="n">
        <f aca="false">ROUND(MAX(AX130-AW130,0.01),2)</f>
        <v>19.39</v>
      </c>
      <c r="AZ130" s="40" t="n">
        <f aca="true">IF(MIN(p_StopLb,ROW()-4)&lt;2,D130,SMALL(OFFSET(D130,1-MIN(p_StopLb,ROW()-4),0,MIN(p_StopLb,ROW()-4),1),2))</f>
        <v>19.33</v>
      </c>
      <c r="BA130" s="40" t="n">
        <f aca="false">IF(MOD(ROUND(ROUNDDOWN(MIN(AZ130-0.01,AY130-p_StopAtr*Y130),2)*100,0),50)=0,ROUNDDOWN(MIN(AZ130-0.01,AY130-p_StopAtr*Y130),2)-0.01,ROUNDDOWN(MIN(AZ130-0.01,AY130-p_StopAtr*Y130),2))</f>
        <v>18.86</v>
      </c>
      <c r="BB130" s="40" t="n">
        <f aca="false">ROUND(AI130,2)</f>
        <v>21.95</v>
      </c>
      <c r="BC130" s="40" t="n">
        <f aca="false">IF(AY130-BA130&gt;0,(BB130-AY130)/(AY130-BA130),0)</f>
        <v>4.83018867924527</v>
      </c>
      <c r="BD130" s="42" t="n">
        <f aca="false">IF(N130&lt;0,1,0)</f>
        <v>0</v>
      </c>
      <c r="BE130" s="41" t="n">
        <f aca="false">IF(AND(BD130=1,BD129=0),N130,IF(BD130=1,MIN(BE129,N130),BE129))</f>
        <v>-0.0583119972977335</v>
      </c>
      <c r="BF130" s="40" t="n">
        <f aca="false">IF(AND(BD130=1,BD129=0),D130,IF(BD130=1,MIN(BF129,D130),BF129))</f>
        <v>19.27</v>
      </c>
      <c r="BG130" s="42" t="n">
        <f aca="false">IF(AND(BD130=1,BD129=0),ROW(),IF(BD130=1,IF(N130&lt;BE129,ROW(),BG129),BG129))</f>
        <v>124</v>
      </c>
      <c r="BH130" s="41" t="n">
        <f aca="false">IF(AND(BD130=1,BD129=0),BE129,BH129)</f>
        <v>-0.392824838841331</v>
      </c>
      <c r="BI130" s="40" t="n">
        <f aca="false">IF(AND(BD130=1,BD129=0),BF129,BI129)</f>
        <v>20.27</v>
      </c>
      <c r="BJ130" s="42" t="n">
        <f aca="false">IF(AND(BD130=1,BD129=0),BG129,BJ129)</f>
        <v>98</v>
      </c>
      <c r="BK130" s="42" t="n">
        <f aca="false">IF(AND(ISNUMBER(BG130),ISNUMBER(BJ130)),BG130-BJ130,"")</f>
        <v>26</v>
      </c>
      <c r="BL130" s="42" t="n">
        <f aca="false">IF(AND(BD130=1,N130&gt;N129,ISNUMBER(BH130),ISNUMBER(BK130)),IF(AND(BE130&gt;BH130,BF130&lt;BI130,BK130&gt;=p_GapMin,BK130&lt;=p_GapMax),1,0),0)</f>
        <v>0</v>
      </c>
      <c r="BM130" s="42" t="n">
        <f aca="false">IF(AND(BL130=1,E130&gt;BI130),1,0)</f>
        <v>0</v>
      </c>
      <c r="BN130" s="42" t="n">
        <f aca="false">IF(BL130=1,IF(BE130&gt;=BH130*0.5,1,0),0)</f>
        <v>0</v>
      </c>
      <c r="BO130" s="42" t="n">
        <f aca="true">IF(V130&gt;MIN(OFFSET(V130,-MIN(p_FiLb-1,ROW()-5),0,MIN(p_FiLb-1,ROW()-5),1)),1,0)</f>
        <v>1</v>
      </c>
      <c r="BP130" s="44" t="n">
        <f aca="true">IF(COUNTIF(OFFSET(V130,1-MIN(100,ROW()-4),0,MIN(100,ROW()-4),1),"&lt;0")&gt;=5,AVERAGEIF(OFFSET(V130,1-MIN(100,ROW()-4),0,MIN(100,ROW()-4),1),"&lt;0"),"")</f>
        <v>-987277.146768338</v>
      </c>
      <c r="BQ130" s="42" t="n">
        <f aca="false">IF(ISNUMBER(BP130),IF(AND(V130&lt;5*BP130,V130&gt;V129,E130&lt;AJ130),1,0),0)</f>
        <v>0</v>
      </c>
      <c r="BR130" s="44" t="n">
        <f aca="true">AVERAGE(OFFSET(F130,1-MIN(5,ROW()-4),0,MIN(5,ROW()-4),1))</f>
        <v>3475980</v>
      </c>
      <c r="BS130" s="42" t="n">
        <f aca="false">IFERROR(IF(MATCH(G130,周线!$A$5:$A$84,0)&lt;=1,"",INDEX(周线!$R$5:$R$84,MATCH(G130,周线!$A$5:$A$84,0)-1)),"")</f>
        <v>0</v>
      </c>
      <c r="BT130" s="42" t="n">
        <f aca="false">IFERROR(IF(MATCH(G130,周线!$A$5:$A$84,0)&lt;=1,"",INDEX(周线!$S$5:$S$84,MATCH(G130,周线!$A$5:$A$84,0)-1)),"")</f>
        <v>0</v>
      </c>
      <c r="BU130" s="42" t="n">
        <f aca="false">IFERROR(IF(MATCH(G130,周线!$A$5:$A$84,0)&lt;=1,"",INDEX(周线!$U$5:$U$84,MATCH(G130,周线!$A$5:$A$84,0)-1)),"")</f>
        <v>-1</v>
      </c>
      <c r="BV130" s="42" t="n">
        <f aca="false">IF(AND(BS130=1,S130&lt;&gt;-1,V130&lt;0,BO130=1,E130&lt;=H130,E130&gt;=AJ130),1,0)</f>
        <v>0</v>
      </c>
      <c r="BW130" s="42" t="n">
        <f aca="false">BL130</f>
        <v>0</v>
      </c>
      <c r="BX130" s="42" t="n">
        <f aca="false">BQ130</f>
        <v>0</v>
      </c>
      <c r="BY130" s="42" t="n">
        <f aca="false">IF(BS130=1,10,0)+IF(BU130=1,5,IF(BU130=-1,0,3))+IF(BT130=1,5,0)+IF(AND(AE130&gt;AF130,AH130&gt;AH129),5,0)</f>
        <v>0</v>
      </c>
      <c r="BZ130" s="42" t="n">
        <f aca="false">IF(AND(E130&lt;=H130,E130&gt;=I130),10,IF(AND(E130&gt;=AJ130,E130&lt;I130),6,0))+IF(AND(V130&lt;0,BO130=1),8,0)+IF(AT130&lt;30,7,IF(AT130&lt;50,3,0))</f>
        <v>6</v>
      </c>
      <c r="CA130" s="42" t="n">
        <f aca="false">IF(AND(BV130=1,BW130=1),25,IF(BW130=1,22,IF(BV130=1,15,IF(BX130=1,12,0))))</f>
        <v>0</v>
      </c>
      <c r="CB130" s="42" t="n">
        <f aca="false">IF(W130&gt;0,6,0)+IF(F130&lt;BR130,4,0)</f>
        <v>6</v>
      </c>
      <c r="CC130" s="42" t="n">
        <f aca="false">IF(BC130&gt;=3,15,IF(BC130&gt;=p_RRmin,10,IF(BC130&gt;=1.5,4,0)))</f>
        <v>15</v>
      </c>
      <c r="CD130" s="42" t="n">
        <f aca="false">BY130+BZ130+CA130+CB130+CC130</f>
        <v>27</v>
      </c>
      <c r="CE130" s="42" t="n">
        <f aca="false">IF(AND(BS130&lt;&gt;1,BW130+BX130=0),1,0)</f>
        <v>1</v>
      </c>
      <c r="CF130" s="42" t="n">
        <f aca="false">IF(BU130=-1,1,0)</f>
        <v>1</v>
      </c>
      <c r="CG130" s="42" t="n">
        <f aca="false">IF(S130=-1,1,0)</f>
        <v>0</v>
      </c>
      <c r="CH130" s="42" t="n">
        <f aca="false">IF(BV130+BW130+BX130=0,1,0)</f>
        <v>1</v>
      </c>
      <c r="CI130" s="42" t="n">
        <f aca="false">IF(BC130&lt;p_RRmin,1,0)</f>
        <v>0</v>
      </c>
      <c r="CJ130" s="46" t="str">
        <f aca="false">IF(SUM(CE130:CI130)=0,IF(CD130&gt;=p_GradeA,"A",IF(CD130&gt;=p_GradeB,"B","C")),IF(AND(CI130=1,SUM(CE130:CH130)=0,CD130&gt;=p_GradeB),"B","C"))</f>
        <v>C</v>
      </c>
    </row>
    <row r="131" customFormat="false" ht="15" hidden="false" customHeight="false" outlineLevel="0" collapsed="false">
      <c r="A131" s="36" t="n">
        <v>45835</v>
      </c>
      <c r="B131" s="37" t="n">
        <v>20.27</v>
      </c>
      <c r="C131" s="37" t="n">
        <v>20.6</v>
      </c>
      <c r="D131" s="37" t="n">
        <v>20.14</v>
      </c>
      <c r="E131" s="37" t="n">
        <v>20.44</v>
      </c>
      <c r="F131" s="38" t="n">
        <v>2957100</v>
      </c>
      <c r="G131" s="39" t="n">
        <f aca="false">A131-WEEKDAY(A131,3)</f>
        <v>45831</v>
      </c>
      <c r="H131" s="40" t="n">
        <f aca="false">2/(p_EmaF+1)*E131+(1-2/(p_EmaF+1))*H130</f>
        <v>20.2114439690873</v>
      </c>
      <c r="I131" s="40" t="n">
        <f aca="false">2/(p_EmaS+1)*E131+(1-2/(p_EmaS+1))*I130</f>
        <v>20.6880207166826</v>
      </c>
      <c r="J131" s="41" t="n">
        <f aca="false">2/(p_MacdF+1)*E131+(1-2/(p_MacdF+1))*J130</f>
        <v>20.1875488616026</v>
      </c>
      <c r="K131" s="41" t="n">
        <f aca="false">2/(p_MacdS+1)*E131+(1-2/(p_MacdS+1))*K130</f>
        <v>20.6880207166826</v>
      </c>
      <c r="L131" s="41" t="n">
        <f aca="false">J131-K131</f>
        <v>-0.500471855080004</v>
      </c>
      <c r="M131" s="41" t="n">
        <f aca="false">2/(p_MacdSig+1)*L131+(1-2/(p_MacdSig+1))*M130</f>
        <v>-0.63106892162367</v>
      </c>
      <c r="N131" s="41" t="n">
        <f aca="false">L131-M131</f>
        <v>0.130597066543666</v>
      </c>
      <c r="O131" s="42" t="n">
        <f aca="false">IF(H131&gt;H130,1,0)</f>
        <v>1</v>
      </c>
      <c r="P131" s="42" t="n">
        <f aca="false">IF(H131&lt;H130,1,0)</f>
        <v>0</v>
      </c>
      <c r="Q131" s="42" t="n">
        <f aca="false">IF(N131&gt;N130,1,0)</f>
        <v>1</v>
      </c>
      <c r="R131" s="42" t="n">
        <f aca="false">IF(N131&lt;N130,1,0)</f>
        <v>0</v>
      </c>
      <c r="S131" s="42" t="n">
        <f aca="false">IF(AND(O131=1,Q131=1),1,IF(AND(P131=1,R131=1),-1,0))</f>
        <v>1</v>
      </c>
      <c r="T131" s="43" t="str">
        <f aca="false">IF(S131=1,"绿",IF(S131=-1,"红","蓝"))</f>
        <v>绿</v>
      </c>
      <c r="U131" s="44" t="n">
        <f aca="false">F131*(E131-E130)</f>
        <v>59141.9999999987</v>
      </c>
      <c r="V131" s="44" t="n">
        <f aca="false">2/(p_FiS+1)*U131+(1-2/(p_FiS+1))*V130</f>
        <v>468905.342675799</v>
      </c>
      <c r="W131" s="44" t="n">
        <f aca="false">2/(p_FiL+1)*U131+(1-2/(p_FiL+1))*W130</f>
        <v>105280.215240609</v>
      </c>
      <c r="X131" s="41" t="n">
        <f aca="false">MAX(C131-D131,ABS(C131-E130),ABS(D131-E130))</f>
        <v>0.460000000000001</v>
      </c>
      <c r="Y131" s="41" t="n">
        <f aca="true">AVERAGE(OFFSET(X131,1-MIN(p_AtrN,ROW()-4),0,MIN(p_AtrN,ROW()-4),1))</f>
        <v>0.541538461538462</v>
      </c>
      <c r="Z131" s="41" t="n">
        <f aca="false">IF(AND(C131-C130&gt;D130-D131,C131-C130&gt;0),C131-C130,0)</f>
        <v>0</v>
      </c>
      <c r="AA131" s="41" t="n">
        <f aca="false">IF(AND(D130-D131&gt;C131-C130,D130-D131&gt;0),D130-D131,0)</f>
        <v>0</v>
      </c>
      <c r="AB131" s="41" t="n">
        <f aca="false">2/(p_AdxN+1)*X131+(1-2/(p_AdxN+1))*AB130</f>
        <v>0.504596639863147</v>
      </c>
      <c r="AC131" s="41" t="n">
        <f aca="false">2/(p_AdxN+1)*Z131+(1-2/(p_AdxN+1))*AC130</f>
        <v>0.117333977326467</v>
      </c>
      <c r="AD131" s="41" t="n">
        <f aca="false">2/(p_AdxN+1)*AA131+(1-2/(p_AdxN+1))*AD130</f>
        <v>0.0819486519528003</v>
      </c>
      <c r="AE131" s="45" t="n">
        <f aca="false">100*AC131/AB131</f>
        <v>23.2530239119884</v>
      </c>
      <c r="AF131" s="45" t="n">
        <f aca="false">100*AD131/AB131</f>
        <v>16.2404275967881</v>
      </c>
      <c r="AG131" s="45" t="n">
        <f aca="false">IFERROR(100*ABS(AE131-AF131)/(AE131+AF131),0)</f>
        <v>17.7563521224318</v>
      </c>
      <c r="AH131" s="45" t="n">
        <f aca="false">2/(p_AdxN+1)*AG131+(1-2/(p_AdxN+1))*AH130</f>
        <v>33.0673220238628</v>
      </c>
      <c r="AI131" s="40" t="n">
        <f aca="false">I131*(1+p_ChPct)</f>
        <v>21.9293019596835</v>
      </c>
      <c r="AJ131" s="40" t="n">
        <f aca="false">I131*(1-p_ChPct)</f>
        <v>19.4467394736816</v>
      </c>
      <c r="AK131" s="40" t="n">
        <f aca="false">I131+1*Y131</f>
        <v>21.229559178221</v>
      </c>
      <c r="AL131" s="40" t="n">
        <f aca="false">I131+2*Y131</f>
        <v>21.7710976397595</v>
      </c>
      <c r="AM131" s="40" t="n">
        <f aca="false">I131+3*Y131</f>
        <v>22.312636101298</v>
      </c>
      <c r="AN131" s="40" t="n">
        <f aca="false">I131-1*Y131</f>
        <v>20.1464822551441</v>
      </c>
      <c r="AO131" s="40" t="n">
        <f aca="false">I131-2*Y131</f>
        <v>19.6049437936056</v>
      </c>
      <c r="AP131" s="40" t="n">
        <f aca="false">I131-3*Y131</f>
        <v>19.0634053320672</v>
      </c>
      <c r="AQ131" s="40" t="n">
        <f aca="true">MAX(OFFSET(C131,1-MIN(p_StochN,ROW()-4),0,MIN(p_StochN,ROW()-4),1))</f>
        <v>20.62</v>
      </c>
      <c r="AR131" s="40" t="n">
        <f aca="true">MIN(OFFSET(D131,1-MIN(p_StochN,ROW()-4),0,MIN(p_StochN,ROW()-4),1))</f>
        <v>19.59</v>
      </c>
      <c r="AS131" s="45" t="n">
        <f aca="false">IF(AQ131=AR131,50,100*(E131-AR131)/(AQ131-AR131))</f>
        <v>82.5242718446603</v>
      </c>
      <c r="AT131" s="45" t="n">
        <f aca="true">AVERAGE(OFFSET(AS131,1-MIN(p_StochSm,ROW()-4),0,MIN(p_StochSm,ROW()-4),1))</f>
        <v>84.056432038835</v>
      </c>
      <c r="AU131" s="45" t="n">
        <f aca="true">AVERAGE(OFFSET(AT131,1-MIN(p_StochSm,ROW()-4),0,MIN(p_StochSm,ROW()-4),1))</f>
        <v>77.0547850895625</v>
      </c>
      <c r="AV131" s="41" t="n">
        <f aca="false">MAX(0,H131-D131)</f>
        <v>0.0714439690872553</v>
      </c>
      <c r="AW131" s="41" t="n">
        <f aca="true">IF(COUNTIF(OFFSET(AV131,1-MIN(p_PenLb,ROW()-4),0,MIN(p_PenLb,ROW()-4),1),"&gt;0")&gt;0,SUM(OFFSET(AV131,1-MIN(p_PenLb,ROW()-4),0,MIN(p_PenLb,ROW()-4),1))/COUNTIF(OFFSET(AV131,1-MIN(p_PenLb,ROW()-4),0,MIN(p_PenLb,ROW()-4),1),"&gt;0"),0.5*Y131)</f>
        <v>0.785401787720764</v>
      </c>
      <c r="AX131" s="41" t="n">
        <f aca="false">2*H131-H130</f>
        <v>20.2495366409061</v>
      </c>
      <c r="AY131" s="40" t="n">
        <f aca="false">ROUND(MAX(AX131-AW131,0.01),2)</f>
        <v>19.46</v>
      </c>
      <c r="AZ131" s="40" t="n">
        <f aca="true">IF(MIN(p_StopLb,ROW()-4)&lt;2,D131,SMALL(OFFSET(D131,1-MIN(p_StopLb,ROW()-4),0,MIN(p_StopLb,ROW()-4),1),2))</f>
        <v>19.33</v>
      </c>
      <c r="BA131" s="40" t="n">
        <f aca="false">IF(MOD(ROUND(ROUNDDOWN(MIN(AZ131-0.01,AY131-p_StopAtr*Y131),2)*100,0),50)=0,ROUNDDOWN(MIN(AZ131-0.01,AY131-p_StopAtr*Y131),2)-0.01,ROUNDDOWN(MIN(AZ131-0.01,AY131-p_StopAtr*Y131),2))</f>
        <v>18.91</v>
      </c>
      <c r="BB131" s="40" t="n">
        <f aca="false">ROUND(AI131,2)</f>
        <v>21.93</v>
      </c>
      <c r="BC131" s="40" t="n">
        <f aca="false">IF(AY131-BA131&gt;0,(BB131-AY131)/(AY131-BA131),0)</f>
        <v>4.49090909090908</v>
      </c>
      <c r="BD131" s="42" t="n">
        <f aca="false">IF(N131&lt;0,1,0)</f>
        <v>0</v>
      </c>
      <c r="BE131" s="41" t="n">
        <f aca="false">IF(AND(BD131=1,BD130=0),N131,IF(BD131=1,MIN(BE130,N131),BE130))</f>
        <v>-0.0583119972977335</v>
      </c>
      <c r="BF131" s="40" t="n">
        <f aca="false">IF(AND(BD131=1,BD130=0),D131,IF(BD131=1,MIN(BF130,D131),BF130))</f>
        <v>19.27</v>
      </c>
      <c r="BG131" s="42" t="n">
        <f aca="false">IF(AND(BD131=1,BD130=0),ROW(),IF(BD131=1,IF(N131&lt;BE130,ROW(),BG130),BG130))</f>
        <v>124</v>
      </c>
      <c r="BH131" s="41" t="n">
        <f aca="false">IF(AND(BD131=1,BD130=0),BE130,BH130)</f>
        <v>-0.392824838841331</v>
      </c>
      <c r="BI131" s="40" t="n">
        <f aca="false">IF(AND(BD131=1,BD130=0),BF130,BI130)</f>
        <v>20.27</v>
      </c>
      <c r="BJ131" s="42" t="n">
        <f aca="false">IF(AND(BD131=1,BD130=0),BG130,BJ130)</f>
        <v>98</v>
      </c>
      <c r="BK131" s="42" t="n">
        <f aca="false">IF(AND(ISNUMBER(BG131),ISNUMBER(BJ131)),BG131-BJ131,"")</f>
        <v>26</v>
      </c>
      <c r="BL131" s="42" t="n">
        <f aca="false">IF(AND(BD131=1,N131&gt;N130,ISNUMBER(BH131),ISNUMBER(BK131)),IF(AND(BE131&gt;BH131,BF131&lt;BI131,BK131&gt;=p_GapMin,BK131&lt;=p_GapMax),1,0),0)</f>
        <v>0</v>
      </c>
      <c r="BM131" s="42" t="n">
        <f aca="false">IF(AND(BL131=1,E131&gt;BI131),1,0)</f>
        <v>0</v>
      </c>
      <c r="BN131" s="42" t="n">
        <f aca="false">IF(BL131=1,IF(BE131&gt;=BH131*0.5,1,0),0)</f>
        <v>0</v>
      </c>
      <c r="BO131" s="42" t="n">
        <f aca="true">IF(V131&gt;MIN(OFFSET(V131,-MIN(p_FiLb-1,ROW()-5),0,MIN(p_FiLb-1,ROW()-5),1)),1,0)</f>
        <v>1</v>
      </c>
      <c r="BP131" s="44" t="n">
        <f aca="true">IF(COUNTIF(OFFSET(V131,1-MIN(100,ROW()-4),0,MIN(100,ROW()-4),1),"&lt;0")&gt;=5,AVERAGEIF(OFFSET(V131,1-MIN(100,ROW()-4),0,MIN(100,ROW()-4),1),"&lt;0"),"")</f>
        <v>-987277.146768338</v>
      </c>
      <c r="BQ131" s="42" t="n">
        <f aca="false">IF(ISNUMBER(BP131),IF(AND(V131&lt;5*BP131,V131&gt;V130,E131&lt;AJ131),1,0),0)</f>
        <v>0</v>
      </c>
      <c r="BR131" s="44" t="n">
        <f aca="true">AVERAGE(OFFSET(F131,1-MIN(5,ROW()-4),0,MIN(5,ROW()-4),1))</f>
        <v>3548920</v>
      </c>
      <c r="BS131" s="42" t="n">
        <f aca="false">IFERROR(IF(MATCH(G131,周线!$A$5:$A$84,0)&lt;=1,"",INDEX(周线!$R$5:$R$84,MATCH(G131,周线!$A$5:$A$84,0)-1)),"")</f>
        <v>0</v>
      </c>
      <c r="BT131" s="42" t="n">
        <f aca="false">IFERROR(IF(MATCH(G131,周线!$A$5:$A$84,0)&lt;=1,"",INDEX(周线!$S$5:$S$84,MATCH(G131,周线!$A$5:$A$84,0)-1)),"")</f>
        <v>0</v>
      </c>
      <c r="BU131" s="42" t="n">
        <f aca="false">IFERROR(IF(MATCH(G131,周线!$A$5:$A$84,0)&lt;=1,"",INDEX(周线!$U$5:$U$84,MATCH(G131,周线!$A$5:$A$84,0)-1)),"")</f>
        <v>-1</v>
      </c>
      <c r="BV131" s="42" t="n">
        <f aca="false">IF(AND(BS131=1,S131&lt;&gt;-1,V131&lt;0,BO131=1,E131&lt;=H131,E131&gt;=AJ131),1,0)</f>
        <v>0</v>
      </c>
      <c r="BW131" s="42" t="n">
        <f aca="false">BL131</f>
        <v>0</v>
      </c>
      <c r="BX131" s="42" t="n">
        <f aca="false">BQ131</f>
        <v>0</v>
      </c>
      <c r="BY131" s="42" t="n">
        <f aca="false">IF(BS131=1,10,0)+IF(BU131=1,5,IF(BU131=-1,0,3))+IF(BT131=1,5,0)+IF(AND(AE131&gt;AF131,AH131&gt;AH130),5,0)</f>
        <v>0</v>
      </c>
      <c r="BZ131" s="42" t="n">
        <f aca="false">IF(AND(E131&lt;=H131,E131&gt;=I131),10,IF(AND(E131&gt;=AJ131,E131&lt;I131),6,0))+IF(AND(V131&lt;0,BO131=1),8,0)+IF(AT131&lt;30,7,IF(AT131&lt;50,3,0))</f>
        <v>6</v>
      </c>
      <c r="CA131" s="42" t="n">
        <f aca="false">IF(AND(BV131=1,BW131=1),25,IF(BW131=1,22,IF(BV131=1,15,IF(BX131=1,12,0))))</f>
        <v>0</v>
      </c>
      <c r="CB131" s="42" t="n">
        <f aca="false">IF(W131&gt;0,6,0)+IF(F131&lt;BR131,4,0)</f>
        <v>10</v>
      </c>
      <c r="CC131" s="42" t="n">
        <f aca="false">IF(BC131&gt;=3,15,IF(BC131&gt;=p_RRmin,10,IF(BC131&gt;=1.5,4,0)))</f>
        <v>15</v>
      </c>
      <c r="CD131" s="42" t="n">
        <f aca="false">BY131+BZ131+CA131+CB131+CC131</f>
        <v>31</v>
      </c>
      <c r="CE131" s="42" t="n">
        <f aca="false">IF(AND(BS131&lt;&gt;1,BW131+BX131=0),1,0)</f>
        <v>1</v>
      </c>
      <c r="CF131" s="42" t="n">
        <f aca="false">IF(BU131=-1,1,0)</f>
        <v>1</v>
      </c>
      <c r="CG131" s="42" t="n">
        <f aca="false">IF(S131=-1,1,0)</f>
        <v>0</v>
      </c>
      <c r="CH131" s="42" t="n">
        <f aca="false">IF(BV131+BW131+BX131=0,1,0)</f>
        <v>1</v>
      </c>
      <c r="CI131" s="42" t="n">
        <f aca="false">IF(BC131&lt;p_RRmin,1,0)</f>
        <v>0</v>
      </c>
      <c r="CJ131" s="46" t="str">
        <f aca="false">IF(SUM(CE131:CI131)=0,IF(CD131&gt;=p_GradeA,"A",IF(CD131&gt;=p_GradeB,"B","C")),IF(AND(CI131=1,SUM(CE131:CH131)=0,CD131&gt;=p_GradeB),"B","C"))</f>
        <v>C</v>
      </c>
    </row>
    <row r="132" customFormat="false" ht="15" hidden="false" customHeight="false" outlineLevel="0" collapsed="false">
      <c r="A132" s="36" t="n">
        <v>45838</v>
      </c>
      <c r="B132" s="37" t="n">
        <v>20.29</v>
      </c>
      <c r="C132" s="37" t="n">
        <v>20.61</v>
      </c>
      <c r="D132" s="37" t="n">
        <v>20.21</v>
      </c>
      <c r="E132" s="37" t="n">
        <v>20.47</v>
      </c>
      <c r="F132" s="38" t="n">
        <v>3695300</v>
      </c>
      <c r="G132" s="39" t="n">
        <f aca="false">A132-WEEKDAY(A132,3)</f>
        <v>45838</v>
      </c>
      <c r="H132" s="40" t="n">
        <f aca="false">2/(p_EmaF+1)*E132+(1-2/(p_EmaF+1))*H131</f>
        <v>20.2483805449319</v>
      </c>
      <c r="I132" s="40" t="n">
        <f aca="false">2/(p_EmaS+1)*E132+(1-2/(p_EmaS+1))*I131</f>
        <v>20.6718710339653</v>
      </c>
      <c r="J132" s="41" t="n">
        <f aca="false">2/(p_MacdF+1)*E132+(1-2/(p_MacdF+1))*J131</f>
        <v>20.2310028828945</v>
      </c>
      <c r="K132" s="41" t="n">
        <f aca="false">2/(p_MacdS+1)*E132+(1-2/(p_MacdS+1))*K131</f>
        <v>20.6718710339653</v>
      </c>
      <c r="L132" s="41" t="n">
        <f aca="false">J132-K132</f>
        <v>-0.440868151070863</v>
      </c>
      <c r="M132" s="41" t="n">
        <f aca="false">2/(p_MacdSig+1)*L132+(1-2/(p_MacdSig+1))*M131</f>
        <v>-0.593028767513109</v>
      </c>
      <c r="N132" s="41" t="n">
        <f aca="false">L132-M132</f>
        <v>0.152160616442246</v>
      </c>
      <c r="O132" s="42" t="n">
        <f aca="false">IF(H132&gt;H131,1,0)</f>
        <v>1</v>
      </c>
      <c r="P132" s="42" t="n">
        <f aca="false">IF(H132&lt;H131,1,0)</f>
        <v>0</v>
      </c>
      <c r="Q132" s="42" t="n">
        <f aca="false">IF(N132&gt;N131,1,0)</f>
        <v>1</v>
      </c>
      <c r="R132" s="42" t="n">
        <f aca="false">IF(N132&lt;N131,1,0)</f>
        <v>0</v>
      </c>
      <c r="S132" s="42" t="n">
        <f aca="false">IF(AND(O132=1,Q132=1),1,IF(AND(P132=1,R132=1),-1,0))</f>
        <v>1</v>
      </c>
      <c r="T132" s="43" t="str">
        <f aca="false">IF(S132=1,"绿",IF(S132=-1,"红","蓝"))</f>
        <v>绿</v>
      </c>
      <c r="U132" s="44" t="n">
        <f aca="false">F132*(E132-E131)</f>
        <v>110858.999999991</v>
      </c>
      <c r="V132" s="44" t="n">
        <f aca="false">2/(p_FiS+1)*U132+(1-2/(p_FiS+1))*V131</f>
        <v>230207.780891927</v>
      </c>
      <c r="W132" s="44" t="n">
        <f aca="false">2/(p_FiL+1)*U132+(1-2/(p_FiL+1))*W131</f>
        <v>106077.18449195</v>
      </c>
      <c r="X132" s="41" t="n">
        <f aca="false">MAX(C132-D132,ABS(C132-E131),ABS(D132-E131))</f>
        <v>0.399999999999999</v>
      </c>
      <c r="Y132" s="41" t="n">
        <f aca="true">AVERAGE(OFFSET(X132,1-MIN(p_AtrN,ROW()-4),0,MIN(p_AtrN,ROW()-4),1))</f>
        <v>0.552307692307693</v>
      </c>
      <c r="Z132" s="41" t="n">
        <f aca="false">IF(AND(C132-C131&gt;D131-D132,C132-C131&gt;0),C132-C131,0)</f>
        <v>0.00999999999999801</v>
      </c>
      <c r="AA132" s="41" t="n">
        <f aca="false">IF(AND(D131-D132&gt;C132-C131,D131-D132&gt;0),D131-D132,0)</f>
        <v>0</v>
      </c>
      <c r="AB132" s="41" t="n">
        <f aca="false">2/(p_AdxN+1)*X132+(1-2/(p_AdxN+1))*AB131</f>
        <v>0.489654262739841</v>
      </c>
      <c r="AC132" s="41" t="n">
        <f aca="false">2/(p_AdxN+1)*Z132+(1-2/(p_AdxN+1))*AC131</f>
        <v>0.102000551994115</v>
      </c>
      <c r="AD132" s="41" t="n">
        <f aca="false">2/(p_AdxN+1)*AA132+(1-2/(p_AdxN+1))*AD131</f>
        <v>0.0702417016738288</v>
      </c>
      <c r="AE132" s="45" t="n">
        <f aca="false">100*AC132/AB132</f>
        <v>20.8311373464564</v>
      </c>
      <c r="AF132" s="45" t="n">
        <f aca="false">100*AD132/AB132</f>
        <v>14.3451629075573</v>
      </c>
      <c r="AG132" s="45" t="n">
        <f aca="false">IFERROR(100*ABS(AE132-AF132)/(AE132+AF132),0)</f>
        <v>18.438478157347</v>
      </c>
      <c r="AH132" s="45" t="n">
        <f aca="false">2/(p_AdxN+1)*AG132+(1-2/(p_AdxN+1))*AH131</f>
        <v>30.9774871857891</v>
      </c>
      <c r="AI132" s="40" t="n">
        <f aca="false">I132*(1+p_ChPct)</f>
        <v>21.9121832960033</v>
      </c>
      <c r="AJ132" s="40" t="n">
        <f aca="false">I132*(1-p_ChPct)</f>
        <v>19.4315587719274</v>
      </c>
      <c r="AK132" s="40" t="n">
        <f aca="false">I132+1*Y132</f>
        <v>21.224178726273</v>
      </c>
      <c r="AL132" s="40" t="n">
        <f aca="false">I132+2*Y132</f>
        <v>21.7764864185807</v>
      </c>
      <c r="AM132" s="40" t="n">
        <f aca="false">I132+3*Y132</f>
        <v>22.3287941108884</v>
      </c>
      <c r="AN132" s="40" t="n">
        <f aca="false">I132-1*Y132</f>
        <v>20.1195633416576</v>
      </c>
      <c r="AO132" s="40" t="n">
        <f aca="false">I132-2*Y132</f>
        <v>19.56725564935</v>
      </c>
      <c r="AP132" s="40" t="n">
        <f aca="false">I132-3*Y132</f>
        <v>19.0149479570423</v>
      </c>
      <c r="AQ132" s="40" t="n">
        <f aca="true">MAX(OFFSET(C132,1-MIN(p_StochN,ROW()-4),0,MIN(p_StochN,ROW()-4),1))</f>
        <v>20.62</v>
      </c>
      <c r="AR132" s="40" t="n">
        <f aca="true">MIN(OFFSET(D132,1-MIN(p_StochN,ROW()-4),0,MIN(p_StochN,ROW()-4),1))</f>
        <v>19.59</v>
      </c>
      <c r="AS132" s="45" t="n">
        <f aca="false">IF(AQ132=AR132,50,100*(E132-AR132)/(AQ132-AR132))</f>
        <v>85.4368932038833</v>
      </c>
      <c r="AT132" s="45" t="n">
        <f aca="true">AVERAGE(OFFSET(AS132,1-MIN(p_StochSm,ROW()-4),0,MIN(p_StochSm,ROW()-4),1))</f>
        <v>82.8478964401294</v>
      </c>
      <c r="AU132" s="45" t="n">
        <f aca="true">AVERAGE(OFFSET(AT132,1-MIN(p_StochSm,ROW()-4),0,MIN(p_StochSm,ROW()-4),1))</f>
        <v>80.9004987313308</v>
      </c>
      <c r="AV132" s="41" t="n">
        <f aca="false">MAX(0,H132-D132)</f>
        <v>0.0383805449319326</v>
      </c>
      <c r="AW132" s="41" t="n">
        <f aca="true">IF(COUNTIF(OFFSET(AV132,1-MIN(p_PenLb,ROW()-4),0,MIN(p_PenLb,ROW()-4),1),"&gt;0")&gt;0,SUM(OFFSET(AV132,1-MIN(p_PenLb,ROW()-4),0,MIN(p_PenLb,ROW()-4),1))/COUNTIF(OFFSET(AV132,1-MIN(p_PenLb,ROW()-4),0,MIN(p_PenLb,ROW()-4),1),"&gt;0"),0.5*Y132)</f>
        <v>0.736915818046371</v>
      </c>
      <c r="AX132" s="41" t="n">
        <f aca="false">2*H132-H131</f>
        <v>20.2853171207766</v>
      </c>
      <c r="AY132" s="40" t="n">
        <f aca="false">ROUND(MAX(AX132-AW132,0.01),2)</f>
        <v>19.55</v>
      </c>
      <c r="AZ132" s="40" t="n">
        <f aca="true">IF(MIN(p_StopLb,ROW()-4)&lt;2,D132,SMALL(OFFSET(D132,1-MIN(p_StopLb,ROW()-4),0,MIN(p_StopLb,ROW()-4),1),2))</f>
        <v>19.35</v>
      </c>
      <c r="BA132" s="40" t="n">
        <f aca="false">IF(MOD(ROUND(ROUNDDOWN(MIN(AZ132-0.01,AY132-p_StopAtr*Y132),2)*100,0),50)=0,ROUNDDOWN(MIN(AZ132-0.01,AY132-p_StopAtr*Y132),2)-0.01,ROUNDDOWN(MIN(AZ132-0.01,AY132-p_StopAtr*Y132),2))</f>
        <v>18.99</v>
      </c>
      <c r="BB132" s="40" t="n">
        <f aca="false">ROUND(AI132,2)</f>
        <v>21.91</v>
      </c>
      <c r="BC132" s="40" t="n">
        <f aca="false">IF(AY132-BA132&gt;0,(BB132-AY132)/(AY132-BA132),0)</f>
        <v>4.2142857142857</v>
      </c>
      <c r="BD132" s="42" t="n">
        <f aca="false">IF(N132&lt;0,1,0)</f>
        <v>0</v>
      </c>
      <c r="BE132" s="41" t="n">
        <f aca="false">IF(AND(BD132=1,BD131=0),N132,IF(BD132=1,MIN(BE131,N132),BE131))</f>
        <v>-0.0583119972977335</v>
      </c>
      <c r="BF132" s="40" t="n">
        <f aca="false">IF(AND(BD132=1,BD131=0),D132,IF(BD132=1,MIN(BF131,D132),BF131))</f>
        <v>19.27</v>
      </c>
      <c r="BG132" s="42" t="n">
        <f aca="false">IF(AND(BD132=1,BD131=0),ROW(),IF(BD132=1,IF(N132&lt;BE131,ROW(),BG131),BG131))</f>
        <v>124</v>
      </c>
      <c r="BH132" s="41" t="n">
        <f aca="false">IF(AND(BD132=1,BD131=0),BE131,BH131)</f>
        <v>-0.392824838841331</v>
      </c>
      <c r="BI132" s="40" t="n">
        <f aca="false">IF(AND(BD132=1,BD131=0),BF131,BI131)</f>
        <v>20.27</v>
      </c>
      <c r="BJ132" s="42" t="n">
        <f aca="false">IF(AND(BD132=1,BD131=0),BG131,BJ131)</f>
        <v>98</v>
      </c>
      <c r="BK132" s="42" t="n">
        <f aca="false">IF(AND(ISNUMBER(BG132),ISNUMBER(BJ132)),BG132-BJ132,"")</f>
        <v>26</v>
      </c>
      <c r="BL132" s="42" t="n">
        <f aca="false">IF(AND(BD132=1,N132&gt;N131,ISNUMBER(BH132),ISNUMBER(BK132)),IF(AND(BE132&gt;BH132,BF132&lt;BI132,BK132&gt;=p_GapMin,BK132&lt;=p_GapMax),1,0),0)</f>
        <v>0</v>
      </c>
      <c r="BM132" s="42" t="n">
        <f aca="false">IF(AND(BL132=1,E132&gt;BI132),1,0)</f>
        <v>0</v>
      </c>
      <c r="BN132" s="42" t="n">
        <f aca="false">IF(BL132=1,IF(BE132&gt;=BH132*0.5,1,0),0)</f>
        <v>0</v>
      </c>
      <c r="BO132" s="42" t="n">
        <f aca="true">IF(V132&gt;MIN(OFFSET(V132,-MIN(p_FiLb-1,ROW()-5),0,MIN(p_FiLb-1,ROW()-5),1)),1,0)</f>
        <v>1</v>
      </c>
      <c r="BP132" s="44" t="n">
        <f aca="true">IF(COUNTIF(OFFSET(V132,1-MIN(100,ROW()-4),0,MIN(100,ROW()-4),1),"&lt;0")&gt;=5,AVERAGEIF(OFFSET(V132,1-MIN(100,ROW()-4),0,MIN(100,ROW()-4),1),"&lt;0"),"")</f>
        <v>-987277.146768338</v>
      </c>
      <c r="BQ132" s="42" t="n">
        <f aca="false">IF(ISNUMBER(BP132),IF(AND(V132&lt;5*BP132,V132&gt;V131,E132&lt;AJ132),1,0),0)</f>
        <v>0</v>
      </c>
      <c r="BR132" s="44" t="n">
        <f aca="true">AVERAGE(OFFSET(F132,1-MIN(5,ROW()-4),0,MIN(5,ROW()-4),1))</f>
        <v>3626120</v>
      </c>
      <c r="BS132" s="42" t="n">
        <f aca="false">IFERROR(IF(MATCH(G132,周线!$A$5:$A$84,0)&lt;=1,"",INDEX(周线!$R$5:$R$84,MATCH(G132,周线!$A$5:$A$84,0)-1)),"")</f>
        <v>0</v>
      </c>
      <c r="BT132" s="42" t="n">
        <f aca="false">IFERROR(IF(MATCH(G132,周线!$A$5:$A$84,0)&lt;=1,"",INDEX(周线!$S$5:$S$84,MATCH(G132,周线!$A$5:$A$84,0)-1)),"")</f>
        <v>1</v>
      </c>
      <c r="BU132" s="42" t="n">
        <f aca="false">IFERROR(IF(MATCH(G132,周线!$A$5:$A$84,0)&lt;=1,"",INDEX(周线!$U$5:$U$84,MATCH(G132,周线!$A$5:$A$84,0)-1)),"")</f>
        <v>0</v>
      </c>
      <c r="BV132" s="42" t="n">
        <f aca="false">IF(AND(BS132=1,S132&lt;&gt;-1,V132&lt;0,BO132=1,E132&lt;=H132,E132&gt;=AJ132),1,0)</f>
        <v>0</v>
      </c>
      <c r="BW132" s="42" t="n">
        <f aca="false">BL132</f>
        <v>0</v>
      </c>
      <c r="BX132" s="42" t="n">
        <f aca="false">BQ132</f>
        <v>0</v>
      </c>
      <c r="BY132" s="42" t="n">
        <f aca="false">IF(BS132=1,10,0)+IF(BU132=1,5,IF(BU132=-1,0,3))+IF(BT132=1,5,0)+IF(AND(AE132&gt;AF132,AH132&gt;AH131),5,0)</f>
        <v>8</v>
      </c>
      <c r="BZ132" s="42" t="n">
        <f aca="false">IF(AND(E132&lt;=H132,E132&gt;=I132),10,IF(AND(E132&gt;=AJ132,E132&lt;I132),6,0))+IF(AND(V132&lt;0,BO132=1),8,0)+IF(AT132&lt;30,7,IF(AT132&lt;50,3,0))</f>
        <v>6</v>
      </c>
      <c r="CA132" s="42" t="n">
        <f aca="false">IF(AND(BV132=1,BW132=1),25,IF(BW132=1,22,IF(BV132=1,15,IF(BX132=1,12,0))))</f>
        <v>0</v>
      </c>
      <c r="CB132" s="42" t="n">
        <f aca="false">IF(W132&gt;0,6,0)+IF(F132&lt;BR132,4,0)</f>
        <v>6</v>
      </c>
      <c r="CC132" s="42" t="n">
        <f aca="false">IF(BC132&gt;=3,15,IF(BC132&gt;=p_RRmin,10,IF(BC132&gt;=1.5,4,0)))</f>
        <v>15</v>
      </c>
      <c r="CD132" s="42" t="n">
        <f aca="false">BY132+BZ132+CA132+CB132+CC132</f>
        <v>35</v>
      </c>
      <c r="CE132" s="42" t="n">
        <f aca="false">IF(AND(BS132&lt;&gt;1,BW132+BX132=0),1,0)</f>
        <v>1</v>
      </c>
      <c r="CF132" s="42" t="n">
        <f aca="false">IF(BU132=-1,1,0)</f>
        <v>0</v>
      </c>
      <c r="CG132" s="42" t="n">
        <f aca="false">IF(S132=-1,1,0)</f>
        <v>0</v>
      </c>
      <c r="CH132" s="42" t="n">
        <f aca="false">IF(BV132+BW132+BX132=0,1,0)</f>
        <v>1</v>
      </c>
      <c r="CI132" s="42" t="n">
        <f aca="false">IF(BC132&lt;p_RRmin,1,0)</f>
        <v>0</v>
      </c>
      <c r="CJ132" s="46" t="str">
        <f aca="false">IF(SUM(CE132:CI132)=0,IF(CD132&gt;=p_GradeA,"A",IF(CD132&gt;=p_GradeB,"B","C")),IF(AND(CI132=1,SUM(CE132:CH132)=0,CD132&gt;=p_GradeB),"B","C"))</f>
        <v>C</v>
      </c>
    </row>
    <row r="133" customFormat="false" ht="15" hidden="false" customHeight="false" outlineLevel="0" collapsed="false">
      <c r="A133" s="36" t="n">
        <v>45839</v>
      </c>
      <c r="B133" s="37" t="n">
        <v>20.59</v>
      </c>
      <c r="C133" s="37" t="n">
        <v>21.08</v>
      </c>
      <c r="D133" s="37" t="n">
        <v>20.51</v>
      </c>
      <c r="E133" s="37" t="n">
        <v>20.89</v>
      </c>
      <c r="F133" s="38" t="n">
        <v>3695800</v>
      </c>
      <c r="G133" s="39" t="n">
        <f aca="false">A133-WEEKDAY(A133,3)</f>
        <v>45838</v>
      </c>
      <c r="H133" s="40" t="n">
        <f aca="false">2/(p_EmaF+1)*E133+(1-2/(p_EmaF+1))*H132</f>
        <v>20.3400404670845</v>
      </c>
      <c r="I133" s="40" t="n">
        <f aca="false">2/(p_EmaS+1)*E133+(1-2/(p_EmaS+1))*I132</f>
        <v>20.6880287351531</v>
      </c>
      <c r="J133" s="41" t="n">
        <f aca="false">2/(p_MacdF+1)*E133+(1-2/(p_MacdF+1))*J132</f>
        <v>20.3323870547569</v>
      </c>
      <c r="K133" s="41" t="n">
        <f aca="false">2/(p_MacdS+1)*E133+(1-2/(p_MacdS+1))*K132</f>
        <v>20.6880287351531</v>
      </c>
      <c r="L133" s="41" t="n">
        <f aca="false">J133-K133</f>
        <v>-0.355641680396229</v>
      </c>
      <c r="M133" s="41" t="n">
        <f aca="false">2/(p_MacdSig+1)*L133+(1-2/(p_MacdSig+1))*M132</f>
        <v>-0.545551350089733</v>
      </c>
      <c r="N133" s="41" t="n">
        <f aca="false">L133-M133</f>
        <v>0.189909669693504</v>
      </c>
      <c r="O133" s="42" t="n">
        <f aca="false">IF(H133&gt;H132,1,0)</f>
        <v>1</v>
      </c>
      <c r="P133" s="42" t="n">
        <f aca="false">IF(H133&lt;H132,1,0)</f>
        <v>0</v>
      </c>
      <c r="Q133" s="42" t="n">
        <f aca="false">IF(N133&gt;N132,1,0)</f>
        <v>1</v>
      </c>
      <c r="R133" s="42" t="n">
        <f aca="false">IF(N133&lt;N132,1,0)</f>
        <v>0</v>
      </c>
      <c r="S133" s="42" t="n">
        <f aca="false">IF(AND(O133=1,Q133=1),1,IF(AND(P133=1,R133=1),-1,0))</f>
        <v>1</v>
      </c>
      <c r="T133" s="43" t="str">
        <f aca="false">IF(S133=1,"绿",IF(S133=-1,"红","蓝"))</f>
        <v>绿</v>
      </c>
      <c r="U133" s="44" t="n">
        <f aca="false">F133*(E133-E132)</f>
        <v>1552236.00000001</v>
      </c>
      <c r="V133" s="44" t="n">
        <f aca="false">2/(p_FiS+1)*U133+(1-2/(p_FiS+1))*V132</f>
        <v>1111559.92696398</v>
      </c>
      <c r="W133" s="44" t="n">
        <f aca="false">2/(p_FiL+1)*U133+(1-2/(p_FiL+1))*W132</f>
        <v>312671.3009931</v>
      </c>
      <c r="X133" s="41" t="n">
        <f aca="false">MAX(C133-D133,ABS(C133-E132),ABS(D133-E132))</f>
        <v>0.609999999999999</v>
      </c>
      <c r="Y133" s="41" t="n">
        <f aca="true">AVERAGE(OFFSET(X133,1-MIN(p_AtrN,ROW()-4),0,MIN(p_AtrN,ROW()-4),1))</f>
        <v>0.51923076923077</v>
      </c>
      <c r="Z133" s="41" t="n">
        <f aca="false">IF(AND(C133-C132&gt;D132-D133,C133-C132&gt;0),C133-C132,0)</f>
        <v>0.469999999999999</v>
      </c>
      <c r="AA133" s="41" t="n">
        <f aca="false">IF(AND(D132-D133&gt;C133-C132,D132-D133&gt;0),D132-D133,0)</f>
        <v>0</v>
      </c>
      <c r="AB133" s="41" t="n">
        <f aca="false">2/(p_AdxN+1)*X133+(1-2/(p_AdxN+1))*AB132</f>
        <v>0.506846510919863</v>
      </c>
      <c r="AC133" s="41" t="n">
        <f aca="false">2/(p_AdxN+1)*Z133+(1-2/(p_AdxN+1))*AC132</f>
        <v>0.154571901709241</v>
      </c>
      <c r="AD133" s="41" t="n">
        <f aca="false">2/(p_AdxN+1)*AA133+(1-2/(p_AdxN+1))*AD132</f>
        <v>0.0602071728632818</v>
      </c>
      <c r="AE133" s="45" t="n">
        <f aca="false">100*AC133/AB133</f>
        <v>30.4967871691002</v>
      </c>
      <c r="AF133" s="45" t="n">
        <f aca="false">100*AD133/AB133</f>
        <v>11.8787782032895</v>
      </c>
      <c r="AG133" s="45" t="n">
        <f aca="false">IFERROR(100*ABS(AE133-AF133)/(AE133+AF133),0)</f>
        <v>43.9357181484157</v>
      </c>
      <c r="AH133" s="45" t="n">
        <f aca="false">2/(p_AdxN+1)*AG133+(1-2/(p_AdxN+1))*AH132</f>
        <v>32.8286630375929</v>
      </c>
      <c r="AI133" s="40" t="n">
        <f aca="false">I133*(1+p_ChPct)</f>
        <v>21.9293104592623</v>
      </c>
      <c r="AJ133" s="40" t="n">
        <f aca="false">I133*(1-p_ChPct)</f>
        <v>19.4467470110439</v>
      </c>
      <c r="AK133" s="40" t="n">
        <f aca="false">I133+1*Y133</f>
        <v>21.2072595043839</v>
      </c>
      <c r="AL133" s="40" t="n">
        <f aca="false">I133+2*Y133</f>
        <v>21.7264902736146</v>
      </c>
      <c r="AM133" s="40" t="n">
        <f aca="false">I133+3*Y133</f>
        <v>22.2457210428454</v>
      </c>
      <c r="AN133" s="40" t="n">
        <f aca="false">I133-1*Y133</f>
        <v>20.1687979659223</v>
      </c>
      <c r="AO133" s="40" t="n">
        <f aca="false">I133-2*Y133</f>
        <v>19.6495671966916</v>
      </c>
      <c r="AP133" s="40" t="n">
        <f aca="false">I133-3*Y133</f>
        <v>19.1303364274608</v>
      </c>
      <c r="AQ133" s="40" t="n">
        <f aca="true">MAX(OFFSET(C133,1-MIN(p_StochN,ROW()-4),0,MIN(p_StochN,ROW()-4),1))</f>
        <v>21.08</v>
      </c>
      <c r="AR133" s="40" t="n">
        <f aca="true">MIN(OFFSET(D133,1-MIN(p_StochN,ROW()-4),0,MIN(p_StochN,ROW()-4),1))</f>
        <v>19.63</v>
      </c>
      <c r="AS133" s="45" t="n">
        <f aca="false">IF(AQ133=AR133,50,100*(E133-AR133)/(AQ133-AR133))</f>
        <v>86.8965517241381</v>
      </c>
      <c r="AT133" s="45" t="n">
        <f aca="true">AVERAGE(OFFSET(AS133,1-MIN(p_StochSm,ROW()-4),0,MIN(p_StochSm,ROW()-4),1))</f>
        <v>84.9525722575605</v>
      </c>
      <c r="AU133" s="45" t="n">
        <f aca="true">AVERAGE(OFFSET(AT133,1-MIN(p_StochSm,ROW()-4),0,MIN(p_StochSm,ROW()-4),1))</f>
        <v>83.9523002455083</v>
      </c>
      <c r="AV133" s="41" t="n">
        <f aca="false">MAX(0,H133-D133)</f>
        <v>0</v>
      </c>
      <c r="AW133" s="41" t="n">
        <f aca="true">IF(COUNTIF(OFFSET(AV133,1-MIN(p_PenLb,ROW()-4),0,MIN(p_PenLb,ROW()-4),1),"&gt;0")&gt;0,SUM(OFFSET(AV133,1-MIN(p_PenLb,ROW()-4),0,MIN(p_PenLb,ROW()-4),1))/COUNTIF(OFFSET(AV133,1-MIN(p_PenLb,ROW()-4),0,MIN(p_PenLb,ROW()-4),1),"&gt;0"),0.5*Y133)</f>
        <v>0.717165339796825</v>
      </c>
      <c r="AX133" s="41" t="n">
        <f aca="false">2*H133-H132</f>
        <v>20.4317003892371</v>
      </c>
      <c r="AY133" s="40" t="n">
        <f aca="false">ROUND(MAX(AX133-AW133,0.01),2)</f>
        <v>19.71</v>
      </c>
      <c r="AZ133" s="40" t="n">
        <f aca="true">IF(MIN(p_StopLb,ROW()-4)&lt;2,D133,SMALL(OFFSET(D133,1-MIN(p_StopLb,ROW()-4),0,MIN(p_StopLb,ROW()-4),1),2))</f>
        <v>19.43</v>
      </c>
      <c r="BA133" s="40" t="n">
        <f aca="false">IF(MOD(ROUND(ROUNDDOWN(MIN(AZ133-0.01,AY133-p_StopAtr*Y133),2)*100,0),50)=0,ROUNDDOWN(MIN(AZ133-0.01,AY133-p_StopAtr*Y133),2)-0.01,ROUNDDOWN(MIN(AZ133-0.01,AY133-p_StopAtr*Y133),2))</f>
        <v>19.19</v>
      </c>
      <c r="BB133" s="40" t="n">
        <f aca="false">ROUND(AI133,2)</f>
        <v>21.93</v>
      </c>
      <c r="BC133" s="40" t="n">
        <f aca="false">IF(AY133-BA133&gt;0,(BB133-AY133)/(AY133-BA133),0)</f>
        <v>4.26923076923077</v>
      </c>
      <c r="BD133" s="42" t="n">
        <f aca="false">IF(N133&lt;0,1,0)</f>
        <v>0</v>
      </c>
      <c r="BE133" s="41" t="n">
        <f aca="false">IF(AND(BD133=1,BD132=0),N133,IF(BD133=1,MIN(BE132,N133),BE132))</f>
        <v>-0.0583119972977335</v>
      </c>
      <c r="BF133" s="40" t="n">
        <f aca="false">IF(AND(BD133=1,BD132=0),D133,IF(BD133=1,MIN(BF132,D133),BF132))</f>
        <v>19.27</v>
      </c>
      <c r="BG133" s="42" t="n">
        <f aca="false">IF(AND(BD133=1,BD132=0),ROW(),IF(BD133=1,IF(N133&lt;BE132,ROW(),BG132),BG132))</f>
        <v>124</v>
      </c>
      <c r="BH133" s="41" t="n">
        <f aca="false">IF(AND(BD133=1,BD132=0),BE132,BH132)</f>
        <v>-0.392824838841331</v>
      </c>
      <c r="BI133" s="40" t="n">
        <f aca="false">IF(AND(BD133=1,BD132=0),BF132,BI132)</f>
        <v>20.27</v>
      </c>
      <c r="BJ133" s="42" t="n">
        <f aca="false">IF(AND(BD133=1,BD132=0),BG132,BJ132)</f>
        <v>98</v>
      </c>
      <c r="BK133" s="42" t="n">
        <f aca="false">IF(AND(ISNUMBER(BG133),ISNUMBER(BJ133)),BG133-BJ133,"")</f>
        <v>26</v>
      </c>
      <c r="BL133" s="42" t="n">
        <f aca="false">IF(AND(BD133=1,N133&gt;N132,ISNUMBER(BH133),ISNUMBER(BK133)),IF(AND(BE133&gt;BH133,BF133&lt;BI133,BK133&gt;=p_GapMin,BK133&lt;=p_GapMax),1,0),0)</f>
        <v>0</v>
      </c>
      <c r="BM133" s="42" t="n">
        <f aca="false">IF(AND(BL133=1,E133&gt;BI133),1,0)</f>
        <v>0</v>
      </c>
      <c r="BN133" s="42" t="n">
        <f aca="false">IF(BL133=1,IF(BE133&gt;=BH133*0.5,1,0),0)</f>
        <v>0</v>
      </c>
      <c r="BO133" s="42" t="n">
        <f aca="true">IF(V133&gt;MIN(OFFSET(V133,-MIN(p_FiLb-1,ROW()-5),0,MIN(p_FiLb-1,ROW()-5),1)),1,0)</f>
        <v>1</v>
      </c>
      <c r="BP133" s="44" t="n">
        <f aca="true">IF(COUNTIF(OFFSET(V133,1-MIN(100,ROW()-4),0,MIN(100,ROW()-4),1),"&lt;0")&gt;=5,AVERAGEIF(OFFSET(V133,1-MIN(100,ROW()-4),0,MIN(100,ROW()-4),1),"&lt;0"),"")</f>
        <v>-997749.735954413</v>
      </c>
      <c r="BQ133" s="42" t="n">
        <f aca="false">IF(ISNUMBER(BP133),IF(AND(V133&lt;5*BP133,V133&gt;V132,E133&lt;AJ133),1,0),0)</f>
        <v>0</v>
      </c>
      <c r="BR133" s="44" t="n">
        <f aca="true">AVERAGE(OFFSET(F133,1-MIN(5,ROW()-4),0,MIN(5,ROW()-4),1))</f>
        <v>3787400</v>
      </c>
      <c r="BS133" s="42" t="n">
        <f aca="false">IFERROR(IF(MATCH(G133,周线!$A$5:$A$84,0)&lt;=1,"",INDEX(周线!$R$5:$R$84,MATCH(G133,周线!$A$5:$A$84,0)-1)),"")</f>
        <v>0</v>
      </c>
      <c r="BT133" s="42" t="n">
        <f aca="false">IFERROR(IF(MATCH(G133,周线!$A$5:$A$84,0)&lt;=1,"",INDEX(周线!$S$5:$S$84,MATCH(G133,周线!$A$5:$A$84,0)-1)),"")</f>
        <v>1</v>
      </c>
      <c r="BU133" s="42" t="n">
        <f aca="false">IFERROR(IF(MATCH(G133,周线!$A$5:$A$84,0)&lt;=1,"",INDEX(周线!$U$5:$U$84,MATCH(G133,周线!$A$5:$A$84,0)-1)),"")</f>
        <v>0</v>
      </c>
      <c r="BV133" s="42" t="n">
        <f aca="false">IF(AND(BS133=1,S133&lt;&gt;-1,V133&lt;0,BO133=1,E133&lt;=H133,E133&gt;=AJ133),1,0)</f>
        <v>0</v>
      </c>
      <c r="BW133" s="42" t="n">
        <f aca="false">BL133</f>
        <v>0</v>
      </c>
      <c r="BX133" s="42" t="n">
        <f aca="false">BQ133</f>
        <v>0</v>
      </c>
      <c r="BY133" s="42" t="n">
        <f aca="false">IF(BS133=1,10,0)+IF(BU133=1,5,IF(BU133=-1,0,3))+IF(BT133=1,5,0)+IF(AND(AE133&gt;AF133,AH133&gt;AH132),5,0)</f>
        <v>13</v>
      </c>
      <c r="BZ133" s="42" t="n">
        <f aca="false">IF(AND(E133&lt;=H133,E133&gt;=I133),10,IF(AND(E133&gt;=AJ133,E133&lt;I133),6,0))+IF(AND(V133&lt;0,BO133=1),8,0)+IF(AT133&lt;30,7,IF(AT133&lt;50,3,0))</f>
        <v>0</v>
      </c>
      <c r="CA133" s="42" t="n">
        <f aca="false">IF(AND(BV133=1,BW133=1),25,IF(BW133=1,22,IF(BV133=1,15,IF(BX133=1,12,0))))</f>
        <v>0</v>
      </c>
      <c r="CB133" s="42" t="n">
        <f aca="false">IF(W133&gt;0,6,0)+IF(F133&lt;BR133,4,0)</f>
        <v>10</v>
      </c>
      <c r="CC133" s="42" t="n">
        <f aca="false">IF(BC133&gt;=3,15,IF(BC133&gt;=p_RRmin,10,IF(BC133&gt;=1.5,4,0)))</f>
        <v>15</v>
      </c>
      <c r="CD133" s="42" t="n">
        <f aca="false">BY133+BZ133+CA133+CB133+CC133</f>
        <v>38</v>
      </c>
      <c r="CE133" s="42" t="n">
        <f aca="false">IF(AND(BS133&lt;&gt;1,BW133+BX133=0),1,0)</f>
        <v>1</v>
      </c>
      <c r="CF133" s="42" t="n">
        <f aca="false">IF(BU133=-1,1,0)</f>
        <v>0</v>
      </c>
      <c r="CG133" s="42" t="n">
        <f aca="false">IF(S133=-1,1,0)</f>
        <v>0</v>
      </c>
      <c r="CH133" s="42" t="n">
        <f aca="false">IF(BV133+BW133+BX133=0,1,0)</f>
        <v>1</v>
      </c>
      <c r="CI133" s="42" t="n">
        <f aca="false">IF(BC133&lt;p_RRmin,1,0)</f>
        <v>0</v>
      </c>
      <c r="CJ133" s="46" t="str">
        <f aca="false">IF(SUM(CE133:CI133)=0,IF(CD133&gt;=p_GradeA,"A",IF(CD133&gt;=p_GradeB,"B","C")),IF(AND(CI133=1,SUM(CE133:CH133)=0,CD133&gt;=p_GradeB),"B","C"))</f>
        <v>C</v>
      </c>
    </row>
    <row r="134" customFormat="false" ht="15" hidden="false" customHeight="false" outlineLevel="0" collapsed="false">
      <c r="A134" s="36" t="n">
        <v>45840</v>
      </c>
      <c r="B134" s="37" t="n">
        <v>20.87</v>
      </c>
      <c r="C134" s="37" t="n">
        <v>21.05</v>
      </c>
      <c r="D134" s="37" t="n">
        <v>20.79</v>
      </c>
      <c r="E134" s="37" t="n">
        <v>21</v>
      </c>
      <c r="F134" s="38" t="n">
        <v>3330700</v>
      </c>
      <c r="G134" s="39" t="n">
        <f aca="false">A134-WEEKDAY(A134,3)</f>
        <v>45838</v>
      </c>
      <c r="H134" s="40" t="n">
        <f aca="false">2/(p_EmaF+1)*E134+(1-2/(p_EmaF+1))*H133</f>
        <v>20.4343204003582</v>
      </c>
      <c r="I134" s="40" t="n">
        <f aca="false">2/(p_EmaS+1)*E134+(1-2/(p_EmaS+1))*I133</f>
        <v>20.7111377177343</v>
      </c>
      <c r="J134" s="41" t="n">
        <f aca="false">2/(p_MacdF+1)*E134+(1-2/(p_MacdF+1))*J133</f>
        <v>20.4350967386404</v>
      </c>
      <c r="K134" s="41" t="n">
        <f aca="false">2/(p_MacdS+1)*E134+(1-2/(p_MacdS+1))*K133</f>
        <v>20.7111377177343</v>
      </c>
      <c r="L134" s="41" t="n">
        <f aca="false">J134-K134</f>
        <v>-0.276040979093924</v>
      </c>
      <c r="M134" s="41" t="n">
        <f aca="false">2/(p_MacdSig+1)*L134+(1-2/(p_MacdSig+1))*M133</f>
        <v>-0.491649275890571</v>
      </c>
      <c r="N134" s="41" t="n">
        <f aca="false">L134-M134</f>
        <v>0.215608296796647</v>
      </c>
      <c r="O134" s="42" t="n">
        <f aca="false">IF(H134&gt;H133,1,0)</f>
        <v>1</v>
      </c>
      <c r="P134" s="42" t="n">
        <f aca="false">IF(H134&lt;H133,1,0)</f>
        <v>0</v>
      </c>
      <c r="Q134" s="42" t="n">
        <f aca="false">IF(N134&gt;N133,1,0)</f>
        <v>1</v>
      </c>
      <c r="R134" s="42" t="n">
        <f aca="false">IF(N134&lt;N133,1,0)</f>
        <v>0</v>
      </c>
      <c r="S134" s="42" t="n">
        <f aca="false">IF(AND(O134=1,Q134=1),1,IF(AND(P134=1,R134=1),-1,0))</f>
        <v>1</v>
      </c>
      <c r="T134" s="43" t="str">
        <f aca="false">IF(S134=1,"绿",IF(S134=-1,"红","蓝"))</f>
        <v>绿</v>
      </c>
      <c r="U134" s="44" t="n">
        <f aca="false">F134*(E134-E133)</f>
        <v>366376.999999998</v>
      </c>
      <c r="V134" s="44" t="n">
        <f aca="false">2/(p_FiS+1)*U134+(1-2/(p_FiS+1))*V133</f>
        <v>614771.308987992</v>
      </c>
      <c r="W134" s="44" t="n">
        <f aca="false">2/(p_FiL+1)*U134+(1-2/(p_FiL+1))*W133</f>
        <v>320343.543708372</v>
      </c>
      <c r="X134" s="41" t="n">
        <f aca="false">MAX(C134-D134,ABS(C134-E133),ABS(D134-E133))</f>
        <v>0.260000000000002</v>
      </c>
      <c r="Y134" s="41" t="n">
        <f aca="true">AVERAGE(OFFSET(X134,1-MIN(p_AtrN,ROW()-4),0,MIN(p_AtrN,ROW()-4),1))</f>
        <v>0.486923076923077</v>
      </c>
      <c r="Z134" s="41" t="n">
        <f aca="false">IF(AND(C134-C133&gt;D133-D134,C134-C133&gt;0),C134-C133,0)</f>
        <v>0</v>
      </c>
      <c r="AA134" s="41" t="n">
        <f aca="false">IF(AND(D133-D134&gt;C134-C133,D133-D134&gt;0),D133-D134,0)</f>
        <v>0</v>
      </c>
      <c r="AB134" s="41" t="n">
        <f aca="false">2/(p_AdxN+1)*X134+(1-2/(p_AdxN+1))*AB133</f>
        <v>0.471582723645597</v>
      </c>
      <c r="AC134" s="41" t="n">
        <f aca="false">2/(p_AdxN+1)*Z134+(1-2/(p_AdxN+1))*AC133</f>
        <v>0.132490201465064</v>
      </c>
      <c r="AD134" s="41" t="n">
        <f aca="false">2/(p_AdxN+1)*AA134+(1-2/(p_AdxN+1))*AD133</f>
        <v>0.0516061481685273</v>
      </c>
      <c r="AE134" s="45" t="n">
        <f aca="false">100*AC134/AB134</f>
        <v>28.0947954244042</v>
      </c>
      <c r="AF134" s="45" t="n">
        <f aca="false">100*AD134/AB134</f>
        <v>10.9431803967675</v>
      </c>
      <c r="AG134" s="45" t="n">
        <f aca="false">IFERROR(100*ABS(AE134-AF134)/(AE134+AF134),0)</f>
        <v>43.9357181484157</v>
      </c>
      <c r="AH134" s="45" t="n">
        <f aca="false">2/(p_AdxN+1)*AG134+(1-2/(p_AdxN+1))*AH133</f>
        <v>34.4153851962819</v>
      </c>
      <c r="AI134" s="40" t="n">
        <f aca="false">I134*(1+p_ChPct)</f>
        <v>21.9538059807984</v>
      </c>
      <c r="AJ134" s="40" t="n">
        <f aca="false">I134*(1-p_ChPct)</f>
        <v>19.4684694546703</v>
      </c>
      <c r="AK134" s="40" t="n">
        <f aca="false">I134+1*Y134</f>
        <v>21.1980607946574</v>
      </c>
      <c r="AL134" s="40" t="n">
        <f aca="false">I134+2*Y134</f>
        <v>21.6849838715805</v>
      </c>
      <c r="AM134" s="40" t="n">
        <f aca="false">I134+3*Y134</f>
        <v>22.1719069485036</v>
      </c>
      <c r="AN134" s="40" t="n">
        <f aca="false">I134-1*Y134</f>
        <v>20.2242146408113</v>
      </c>
      <c r="AO134" s="40" t="n">
        <f aca="false">I134-2*Y134</f>
        <v>19.7372915638882</v>
      </c>
      <c r="AP134" s="40" t="n">
        <f aca="false">I134-3*Y134</f>
        <v>19.2503684869651</v>
      </c>
      <c r="AQ134" s="40" t="n">
        <f aca="true">MAX(OFFSET(C134,1-MIN(p_StochN,ROW()-4),0,MIN(p_StochN,ROW()-4),1))</f>
        <v>21.08</v>
      </c>
      <c r="AR134" s="40" t="n">
        <f aca="true">MIN(OFFSET(D134,1-MIN(p_StochN,ROW()-4),0,MIN(p_StochN,ROW()-4),1))</f>
        <v>19.81</v>
      </c>
      <c r="AS134" s="45" t="n">
        <f aca="false">IF(AQ134=AR134,50,100*(E134-AR134)/(AQ134-AR134))</f>
        <v>93.7007874015749</v>
      </c>
      <c r="AT134" s="45" t="n">
        <f aca="true">AVERAGE(OFFSET(AS134,1-MIN(p_StochSm,ROW()-4),0,MIN(p_StochSm,ROW()-4),1))</f>
        <v>88.6780774431988</v>
      </c>
      <c r="AU134" s="45" t="n">
        <f aca="true">AVERAGE(OFFSET(AT134,1-MIN(p_StochSm,ROW()-4),0,MIN(p_StochSm,ROW()-4),1))</f>
        <v>85.4928487136296</v>
      </c>
      <c r="AV134" s="41" t="n">
        <f aca="false">MAX(0,H134-D134)</f>
        <v>0</v>
      </c>
      <c r="AW134" s="41" t="n">
        <f aca="true">IF(COUNTIF(OFFSET(AV134,1-MIN(p_PenLb,ROW()-4),0,MIN(p_PenLb,ROW()-4),1),"&gt;0")&gt;0,SUM(OFFSET(AV134,1-MIN(p_PenLb,ROW()-4),0,MIN(p_PenLb,ROW()-4),1))/COUNTIF(OFFSET(AV134,1-MIN(p_PenLb,ROW()-4),0,MIN(p_PenLb,ROW()-4),1),"&gt;0"),0.5*Y134)</f>
        <v>0.675492274770695</v>
      </c>
      <c r="AX134" s="41" t="n">
        <f aca="false">2*H134-H133</f>
        <v>20.5286003336318</v>
      </c>
      <c r="AY134" s="40" t="n">
        <f aca="false">ROUND(MAX(AX134-AW134,0.01),2)</f>
        <v>19.85</v>
      </c>
      <c r="AZ134" s="40" t="n">
        <f aca="true">IF(MIN(p_StopLb,ROW()-4)&lt;2,D134,SMALL(OFFSET(D134,1-MIN(p_StopLb,ROW()-4),0,MIN(p_StopLb,ROW()-4),1),2))</f>
        <v>19.59</v>
      </c>
      <c r="BA134" s="40" t="n">
        <f aca="false">IF(MOD(ROUND(ROUNDDOWN(MIN(AZ134-0.01,AY134-p_StopAtr*Y134),2)*100,0),50)=0,ROUNDDOWN(MIN(AZ134-0.01,AY134-p_StopAtr*Y134),2)-0.01,ROUNDDOWN(MIN(AZ134-0.01,AY134-p_StopAtr*Y134),2))</f>
        <v>19.36</v>
      </c>
      <c r="BB134" s="40" t="n">
        <f aca="false">ROUND(AI134,2)</f>
        <v>21.95</v>
      </c>
      <c r="BC134" s="40" t="n">
        <f aca="false">IF(AY134-BA134&gt;0,(BB134-AY134)/(AY134-BA134),0)</f>
        <v>4.28571428571426</v>
      </c>
      <c r="BD134" s="42" t="n">
        <f aca="false">IF(N134&lt;0,1,0)</f>
        <v>0</v>
      </c>
      <c r="BE134" s="41" t="n">
        <f aca="false">IF(AND(BD134=1,BD133=0),N134,IF(BD134=1,MIN(BE133,N134),BE133))</f>
        <v>-0.0583119972977335</v>
      </c>
      <c r="BF134" s="40" t="n">
        <f aca="false">IF(AND(BD134=1,BD133=0),D134,IF(BD134=1,MIN(BF133,D134),BF133))</f>
        <v>19.27</v>
      </c>
      <c r="BG134" s="42" t="n">
        <f aca="false">IF(AND(BD134=1,BD133=0),ROW(),IF(BD134=1,IF(N134&lt;BE133,ROW(),BG133),BG133))</f>
        <v>124</v>
      </c>
      <c r="BH134" s="41" t="n">
        <f aca="false">IF(AND(BD134=1,BD133=0),BE133,BH133)</f>
        <v>-0.392824838841331</v>
      </c>
      <c r="BI134" s="40" t="n">
        <f aca="false">IF(AND(BD134=1,BD133=0),BF133,BI133)</f>
        <v>20.27</v>
      </c>
      <c r="BJ134" s="42" t="n">
        <f aca="false">IF(AND(BD134=1,BD133=0),BG133,BJ133)</f>
        <v>98</v>
      </c>
      <c r="BK134" s="42" t="n">
        <f aca="false">IF(AND(ISNUMBER(BG134),ISNUMBER(BJ134)),BG134-BJ134,"")</f>
        <v>26</v>
      </c>
      <c r="BL134" s="42" t="n">
        <f aca="false">IF(AND(BD134=1,N134&gt;N133,ISNUMBER(BH134),ISNUMBER(BK134)),IF(AND(BE134&gt;BH134,BF134&lt;BI134,BK134&gt;=p_GapMin,BK134&lt;=p_GapMax),1,0),0)</f>
        <v>0</v>
      </c>
      <c r="BM134" s="42" t="n">
        <f aca="false">IF(AND(BL134=1,E134&gt;BI134),1,0)</f>
        <v>0</v>
      </c>
      <c r="BN134" s="42" t="n">
        <f aca="false">IF(BL134=1,IF(BE134&gt;=BH134*0.5,1,0),0)</f>
        <v>0</v>
      </c>
      <c r="BO134" s="42" t="n">
        <f aca="true">IF(V134&gt;MIN(OFFSET(V134,-MIN(p_FiLb-1,ROW()-5),0,MIN(p_FiLb-1,ROW()-5),1)),1,0)</f>
        <v>1</v>
      </c>
      <c r="BP134" s="44" t="n">
        <f aca="true">IF(COUNTIF(OFFSET(V134,1-MIN(100,ROW()-4),0,MIN(100,ROW()-4),1),"&lt;0")&gt;=5,AVERAGEIF(OFFSET(V134,1-MIN(100,ROW()-4),0,MIN(100,ROW()-4),1),"&lt;0"),"")</f>
        <v>-1009641.91128236</v>
      </c>
      <c r="BQ134" s="42" t="n">
        <f aca="false">IF(ISNUMBER(BP134),IF(AND(V134&lt;5*BP134,V134&gt;V133,E134&lt;AJ134),1,0),0)</f>
        <v>0</v>
      </c>
      <c r="BR134" s="44" t="n">
        <f aca="true">AVERAGE(OFFSET(F134,1-MIN(5,ROW()-4),0,MIN(5,ROW()-4),1))</f>
        <v>3475880</v>
      </c>
      <c r="BS134" s="42" t="n">
        <f aca="false">IFERROR(IF(MATCH(G134,周线!$A$5:$A$84,0)&lt;=1,"",INDEX(周线!$R$5:$R$84,MATCH(G134,周线!$A$5:$A$84,0)-1)),"")</f>
        <v>0</v>
      </c>
      <c r="BT134" s="42" t="n">
        <f aca="false">IFERROR(IF(MATCH(G134,周线!$A$5:$A$84,0)&lt;=1,"",INDEX(周线!$S$5:$S$84,MATCH(G134,周线!$A$5:$A$84,0)-1)),"")</f>
        <v>1</v>
      </c>
      <c r="BU134" s="42" t="n">
        <f aca="false">IFERROR(IF(MATCH(G134,周线!$A$5:$A$84,0)&lt;=1,"",INDEX(周线!$U$5:$U$84,MATCH(G134,周线!$A$5:$A$84,0)-1)),"")</f>
        <v>0</v>
      </c>
      <c r="BV134" s="42" t="n">
        <f aca="false">IF(AND(BS134=1,S134&lt;&gt;-1,V134&lt;0,BO134=1,E134&lt;=H134,E134&gt;=AJ134),1,0)</f>
        <v>0</v>
      </c>
      <c r="BW134" s="42" t="n">
        <f aca="false">BL134</f>
        <v>0</v>
      </c>
      <c r="BX134" s="42" t="n">
        <f aca="false">BQ134</f>
        <v>0</v>
      </c>
      <c r="BY134" s="42" t="n">
        <f aca="false">IF(BS134=1,10,0)+IF(BU134=1,5,IF(BU134=-1,0,3))+IF(BT134=1,5,0)+IF(AND(AE134&gt;AF134,AH134&gt;AH133),5,0)</f>
        <v>13</v>
      </c>
      <c r="BZ134" s="42" t="n">
        <f aca="false">IF(AND(E134&lt;=H134,E134&gt;=I134),10,IF(AND(E134&gt;=AJ134,E134&lt;I134),6,0))+IF(AND(V134&lt;0,BO134=1),8,0)+IF(AT134&lt;30,7,IF(AT134&lt;50,3,0))</f>
        <v>0</v>
      </c>
      <c r="CA134" s="42" t="n">
        <f aca="false">IF(AND(BV134=1,BW134=1),25,IF(BW134=1,22,IF(BV134=1,15,IF(BX134=1,12,0))))</f>
        <v>0</v>
      </c>
      <c r="CB134" s="42" t="n">
        <f aca="false">IF(W134&gt;0,6,0)+IF(F134&lt;BR134,4,0)</f>
        <v>10</v>
      </c>
      <c r="CC134" s="42" t="n">
        <f aca="false">IF(BC134&gt;=3,15,IF(BC134&gt;=p_RRmin,10,IF(BC134&gt;=1.5,4,0)))</f>
        <v>15</v>
      </c>
      <c r="CD134" s="42" t="n">
        <f aca="false">BY134+BZ134+CA134+CB134+CC134</f>
        <v>38</v>
      </c>
      <c r="CE134" s="42" t="n">
        <f aca="false">IF(AND(BS134&lt;&gt;1,BW134+BX134=0),1,0)</f>
        <v>1</v>
      </c>
      <c r="CF134" s="42" t="n">
        <f aca="false">IF(BU134=-1,1,0)</f>
        <v>0</v>
      </c>
      <c r="CG134" s="42" t="n">
        <f aca="false">IF(S134=-1,1,0)</f>
        <v>0</v>
      </c>
      <c r="CH134" s="42" t="n">
        <f aca="false">IF(BV134+BW134+BX134=0,1,0)</f>
        <v>1</v>
      </c>
      <c r="CI134" s="42" t="n">
        <f aca="false">IF(BC134&lt;p_RRmin,1,0)</f>
        <v>0</v>
      </c>
      <c r="CJ134" s="46" t="str">
        <f aca="false">IF(SUM(CE134:CI134)=0,IF(CD134&gt;=p_GradeA,"A",IF(CD134&gt;=p_GradeB,"B","C")),IF(AND(CI134=1,SUM(CE134:CH134)=0,CD134&gt;=p_GradeB),"B","C"))</f>
        <v>C</v>
      </c>
    </row>
    <row r="135" customFormat="false" ht="15" hidden="false" customHeight="false" outlineLevel="0" collapsed="false">
      <c r="A135" s="36" t="n">
        <v>45841</v>
      </c>
      <c r="B135" s="37" t="n">
        <v>20.99</v>
      </c>
      <c r="C135" s="37" t="n">
        <v>21.02</v>
      </c>
      <c r="D135" s="37" t="n">
        <v>20.99</v>
      </c>
      <c r="E135" s="37" t="n">
        <v>21.01</v>
      </c>
      <c r="F135" s="38" t="n">
        <v>3089600</v>
      </c>
      <c r="G135" s="39" t="n">
        <f aca="false">A135-WEEKDAY(A135,3)</f>
        <v>45838</v>
      </c>
      <c r="H135" s="40" t="n">
        <f aca="false">2/(p_EmaF+1)*E135+(1-2/(p_EmaF+1))*H134</f>
        <v>20.5165603431641</v>
      </c>
      <c r="I135" s="40" t="n">
        <f aca="false">2/(p_EmaS+1)*E135+(1-2/(p_EmaS+1))*I134</f>
        <v>20.7332756645688</v>
      </c>
      <c r="J135" s="41" t="n">
        <f aca="false">2/(p_MacdF+1)*E135+(1-2/(p_MacdF+1))*J134</f>
        <v>20.5235433942342</v>
      </c>
      <c r="K135" s="41" t="n">
        <f aca="false">2/(p_MacdS+1)*E135+(1-2/(p_MacdS+1))*K134</f>
        <v>20.7332756645688</v>
      </c>
      <c r="L135" s="41" t="n">
        <f aca="false">J135-K135</f>
        <v>-0.209732270334634</v>
      </c>
      <c r="M135" s="41" t="n">
        <f aca="false">2/(p_MacdSig+1)*L135+(1-2/(p_MacdSig+1))*M134</f>
        <v>-0.435265874779383</v>
      </c>
      <c r="N135" s="41" t="n">
        <f aca="false">L135-M135</f>
        <v>0.22553360444475</v>
      </c>
      <c r="O135" s="42" t="n">
        <f aca="false">IF(H135&gt;H134,1,0)</f>
        <v>1</v>
      </c>
      <c r="P135" s="42" t="n">
        <f aca="false">IF(H135&lt;H134,1,0)</f>
        <v>0</v>
      </c>
      <c r="Q135" s="42" t="n">
        <f aca="false">IF(N135&gt;N134,1,0)</f>
        <v>1</v>
      </c>
      <c r="R135" s="42" t="n">
        <f aca="false">IF(N135&lt;N134,1,0)</f>
        <v>0</v>
      </c>
      <c r="S135" s="42" t="n">
        <f aca="false">IF(AND(O135=1,Q135=1),1,IF(AND(P135=1,R135=1),-1,0))</f>
        <v>1</v>
      </c>
      <c r="T135" s="43" t="str">
        <f aca="false">IF(S135=1,"绿",IF(S135=-1,"红","蓝"))</f>
        <v>绿</v>
      </c>
      <c r="U135" s="44" t="n">
        <f aca="false">F135*(E135-E134)</f>
        <v>30896.0000000048</v>
      </c>
      <c r="V135" s="44" t="n">
        <f aca="false">2/(p_FiS+1)*U135+(1-2/(p_FiS+1))*V134</f>
        <v>225521.102996001</v>
      </c>
      <c r="W135" s="44" t="n">
        <f aca="false">2/(p_FiL+1)*U135+(1-2/(p_FiL+1))*W134</f>
        <v>278993.894607176</v>
      </c>
      <c r="X135" s="41" t="n">
        <f aca="false">MAX(C135-D135,ABS(C135-E134),ABS(D135-E134))</f>
        <v>0.0300000000000011</v>
      </c>
      <c r="Y135" s="41" t="n">
        <f aca="true">AVERAGE(OFFSET(X135,1-MIN(p_AtrN,ROW()-4),0,MIN(p_AtrN,ROW()-4),1))</f>
        <v>0.407692307692308</v>
      </c>
      <c r="Z135" s="41" t="n">
        <f aca="false">IF(AND(C135-C134&gt;D134-D135,C135-C134&gt;0),C135-C134,0)</f>
        <v>0</v>
      </c>
      <c r="AA135" s="41" t="n">
        <f aca="false">IF(AND(D134-D135&gt;C135-C134,D134-D135&gt;0),D134-D135,0)</f>
        <v>0</v>
      </c>
      <c r="AB135" s="41" t="n">
        <f aca="false">2/(p_AdxN+1)*X135+(1-2/(p_AdxN+1))*AB134</f>
        <v>0.408499477410512</v>
      </c>
      <c r="AC135" s="41" t="n">
        <f aca="false">2/(p_AdxN+1)*Z135+(1-2/(p_AdxN+1))*AC134</f>
        <v>0.113563029827198</v>
      </c>
      <c r="AD135" s="41" t="n">
        <f aca="false">2/(p_AdxN+1)*AA135+(1-2/(p_AdxN+1))*AD134</f>
        <v>0.0442338412873091</v>
      </c>
      <c r="AE135" s="45" t="n">
        <f aca="false">100*AC135/AB135</f>
        <v>27.8000428659239</v>
      </c>
      <c r="AF135" s="45" t="n">
        <f aca="false">100*AD135/AB135</f>
        <v>10.8283715728863</v>
      </c>
      <c r="AG135" s="45" t="n">
        <f aca="false">IFERROR(100*ABS(AE135-AF135)/(AE135+AF135),0)</f>
        <v>43.9357181484157</v>
      </c>
      <c r="AH135" s="45" t="n">
        <f aca="false">2/(p_AdxN+1)*AG135+(1-2/(p_AdxN+1))*AH134</f>
        <v>35.7754327608724</v>
      </c>
      <c r="AI135" s="40" t="n">
        <f aca="false">I135*(1+p_ChPct)</f>
        <v>21.977272204443</v>
      </c>
      <c r="AJ135" s="40" t="n">
        <f aca="false">I135*(1-p_ChPct)</f>
        <v>19.4892791246947</v>
      </c>
      <c r="AK135" s="40" t="n">
        <f aca="false">I135+1*Y135</f>
        <v>21.1409679722611</v>
      </c>
      <c r="AL135" s="40" t="n">
        <f aca="false">I135+2*Y135</f>
        <v>21.5486602799535</v>
      </c>
      <c r="AM135" s="40" t="n">
        <f aca="false">I135+3*Y135</f>
        <v>21.9563525876458</v>
      </c>
      <c r="AN135" s="40" t="n">
        <f aca="false">I135-1*Y135</f>
        <v>20.3255833568765</v>
      </c>
      <c r="AO135" s="40" t="n">
        <f aca="false">I135-2*Y135</f>
        <v>19.9178910491842</v>
      </c>
      <c r="AP135" s="40" t="n">
        <f aca="false">I135-3*Y135</f>
        <v>19.5101987414919</v>
      </c>
      <c r="AQ135" s="40" t="n">
        <f aca="true">MAX(OFFSET(C135,1-MIN(p_StochN,ROW()-4),0,MIN(p_StochN,ROW()-4),1))</f>
        <v>21.08</v>
      </c>
      <c r="AR135" s="40" t="n">
        <f aca="true">MIN(OFFSET(D135,1-MIN(p_StochN,ROW()-4),0,MIN(p_StochN,ROW()-4),1))</f>
        <v>20.14</v>
      </c>
      <c r="AS135" s="45" t="n">
        <f aca="false">IF(AQ135=AR135,50,100*(E135-AR135)/(AQ135-AR135))</f>
        <v>92.553191489362</v>
      </c>
      <c r="AT135" s="45" t="n">
        <f aca="true">AVERAGE(OFFSET(AS135,1-MIN(p_StochSm,ROW()-4),0,MIN(p_StochSm,ROW()-4),1))</f>
        <v>91.0501768716917</v>
      </c>
      <c r="AU135" s="45" t="n">
        <f aca="true">AVERAGE(OFFSET(AT135,1-MIN(p_StochSm,ROW()-4),0,MIN(p_StochSm,ROW()-4),1))</f>
        <v>88.226942190817</v>
      </c>
      <c r="AV135" s="41" t="n">
        <f aca="false">MAX(0,H135-D135)</f>
        <v>0</v>
      </c>
      <c r="AW135" s="41" t="n">
        <f aca="true">IF(COUNTIF(OFFSET(AV135,1-MIN(p_PenLb,ROW()-4),0,MIN(p_PenLb,ROW()-4),1),"&gt;0")&gt;0,SUM(OFFSET(AV135,1-MIN(p_PenLb,ROW()-4),0,MIN(p_PenLb,ROW()-4),1))/COUNTIF(OFFSET(AV135,1-MIN(p_PenLb,ROW()-4),0,MIN(p_PenLb,ROW()-4),1),"&gt;0"),0.5*Y135)</f>
        <v>0.63514507350204</v>
      </c>
      <c r="AX135" s="41" t="n">
        <f aca="false">2*H135-H134</f>
        <v>20.5988002859701</v>
      </c>
      <c r="AY135" s="40" t="n">
        <f aca="false">ROUND(MAX(AX135-AW135,0.01),2)</f>
        <v>19.96</v>
      </c>
      <c r="AZ135" s="40" t="n">
        <f aca="true">IF(MIN(p_StopLb,ROW()-4)&lt;2,D135,SMALL(OFFSET(D135,1-MIN(p_StopLb,ROW()-4),0,MIN(p_StopLb,ROW()-4),1),2))</f>
        <v>19.63</v>
      </c>
      <c r="BA135" s="40" t="n">
        <f aca="false">IF(MOD(ROUND(ROUNDDOWN(MIN(AZ135-0.01,AY135-p_StopAtr*Y135),2)*100,0),50)=0,ROUNDDOWN(MIN(AZ135-0.01,AY135-p_StopAtr*Y135),2)-0.01,ROUNDDOWN(MIN(AZ135-0.01,AY135-p_StopAtr*Y135),2))</f>
        <v>19.55</v>
      </c>
      <c r="BB135" s="40" t="n">
        <f aca="false">ROUND(AI135,2)</f>
        <v>21.98</v>
      </c>
      <c r="BC135" s="40" t="n">
        <f aca="false">IF(AY135-BA135&gt;0,(BB135-AY135)/(AY135-BA135),0)</f>
        <v>4.92682926829268</v>
      </c>
      <c r="BD135" s="42" t="n">
        <f aca="false">IF(N135&lt;0,1,0)</f>
        <v>0</v>
      </c>
      <c r="BE135" s="41" t="n">
        <f aca="false">IF(AND(BD135=1,BD134=0),N135,IF(BD135=1,MIN(BE134,N135),BE134))</f>
        <v>-0.0583119972977335</v>
      </c>
      <c r="BF135" s="40" t="n">
        <f aca="false">IF(AND(BD135=1,BD134=0),D135,IF(BD135=1,MIN(BF134,D135),BF134))</f>
        <v>19.27</v>
      </c>
      <c r="BG135" s="42" t="n">
        <f aca="false">IF(AND(BD135=1,BD134=0),ROW(),IF(BD135=1,IF(N135&lt;BE134,ROW(),BG134),BG134))</f>
        <v>124</v>
      </c>
      <c r="BH135" s="41" t="n">
        <f aca="false">IF(AND(BD135=1,BD134=0),BE134,BH134)</f>
        <v>-0.392824838841331</v>
      </c>
      <c r="BI135" s="40" t="n">
        <f aca="false">IF(AND(BD135=1,BD134=0),BF134,BI134)</f>
        <v>20.27</v>
      </c>
      <c r="BJ135" s="42" t="n">
        <f aca="false">IF(AND(BD135=1,BD134=0),BG134,BJ134)</f>
        <v>98</v>
      </c>
      <c r="BK135" s="42" t="n">
        <f aca="false">IF(AND(ISNUMBER(BG135),ISNUMBER(BJ135)),BG135-BJ135,"")</f>
        <v>26</v>
      </c>
      <c r="BL135" s="42" t="n">
        <f aca="false">IF(AND(BD135=1,N135&gt;N134,ISNUMBER(BH135),ISNUMBER(BK135)),IF(AND(BE135&gt;BH135,BF135&lt;BI135,BK135&gt;=p_GapMin,BK135&lt;=p_GapMax),1,0),0)</f>
        <v>0</v>
      </c>
      <c r="BM135" s="42" t="n">
        <f aca="false">IF(AND(BL135=1,E135&gt;BI135),1,0)</f>
        <v>0</v>
      </c>
      <c r="BN135" s="42" t="n">
        <f aca="false">IF(BL135=1,IF(BE135&gt;=BH135*0.5,1,0),0)</f>
        <v>0</v>
      </c>
      <c r="BO135" s="42" t="n">
        <f aca="true">IF(V135&gt;MIN(OFFSET(V135,-MIN(p_FiLb-1,ROW()-5),0,MIN(p_FiLb-1,ROW()-5),1)),1,0)</f>
        <v>1</v>
      </c>
      <c r="BP135" s="44" t="n">
        <f aca="true">IF(COUNTIF(OFFSET(V135,1-MIN(100,ROW()-4),0,MIN(100,ROW()-4),1),"&lt;0")&gt;=5,AVERAGEIF(OFFSET(V135,1-MIN(100,ROW()-4),0,MIN(100,ROW()-4),1),"&lt;0"),"")</f>
        <v>-1009641.91128236</v>
      </c>
      <c r="BQ135" s="42" t="n">
        <f aca="false">IF(ISNUMBER(BP135),IF(AND(V135&lt;5*BP135,V135&gt;V134,E135&lt;AJ135),1,0),0)</f>
        <v>0</v>
      </c>
      <c r="BR135" s="44" t="n">
        <f aca="true">AVERAGE(OFFSET(F135,1-MIN(5,ROW()-4),0,MIN(5,ROW()-4),1))</f>
        <v>3353700</v>
      </c>
      <c r="BS135" s="42" t="n">
        <f aca="false">IFERROR(IF(MATCH(G135,周线!$A$5:$A$84,0)&lt;=1,"",INDEX(周线!$R$5:$R$84,MATCH(G135,周线!$A$5:$A$84,0)-1)),"")</f>
        <v>0</v>
      </c>
      <c r="BT135" s="42" t="n">
        <f aca="false">IFERROR(IF(MATCH(G135,周线!$A$5:$A$84,0)&lt;=1,"",INDEX(周线!$S$5:$S$84,MATCH(G135,周线!$A$5:$A$84,0)-1)),"")</f>
        <v>1</v>
      </c>
      <c r="BU135" s="42" t="n">
        <f aca="false">IFERROR(IF(MATCH(G135,周线!$A$5:$A$84,0)&lt;=1,"",INDEX(周线!$U$5:$U$84,MATCH(G135,周线!$A$5:$A$84,0)-1)),"")</f>
        <v>0</v>
      </c>
      <c r="BV135" s="42" t="n">
        <f aca="false">IF(AND(BS135=1,S135&lt;&gt;-1,V135&lt;0,BO135=1,E135&lt;=H135,E135&gt;=AJ135),1,0)</f>
        <v>0</v>
      </c>
      <c r="BW135" s="42" t="n">
        <f aca="false">BL135</f>
        <v>0</v>
      </c>
      <c r="BX135" s="42" t="n">
        <f aca="false">BQ135</f>
        <v>0</v>
      </c>
      <c r="BY135" s="42" t="n">
        <f aca="false">IF(BS135=1,10,0)+IF(BU135=1,5,IF(BU135=-1,0,3))+IF(BT135=1,5,0)+IF(AND(AE135&gt;AF135,AH135&gt;AH134),5,0)</f>
        <v>13</v>
      </c>
      <c r="BZ135" s="42" t="n">
        <f aca="false">IF(AND(E135&lt;=H135,E135&gt;=I135),10,IF(AND(E135&gt;=AJ135,E135&lt;I135),6,0))+IF(AND(V135&lt;0,BO135=1),8,0)+IF(AT135&lt;30,7,IF(AT135&lt;50,3,0))</f>
        <v>0</v>
      </c>
      <c r="CA135" s="42" t="n">
        <f aca="false">IF(AND(BV135=1,BW135=1),25,IF(BW135=1,22,IF(BV135=1,15,IF(BX135=1,12,0))))</f>
        <v>0</v>
      </c>
      <c r="CB135" s="42" t="n">
        <f aca="false">IF(W135&gt;0,6,0)+IF(F135&lt;BR135,4,0)</f>
        <v>10</v>
      </c>
      <c r="CC135" s="42" t="n">
        <f aca="false">IF(BC135&gt;=3,15,IF(BC135&gt;=p_RRmin,10,IF(BC135&gt;=1.5,4,0)))</f>
        <v>15</v>
      </c>
      <c r="CD135" s="42" t="n">
        <f aca="false">BY135+BZ135+CA135+CB135+CC135</f>
        <v>38</v>
      </c>
      <c r="CE135" s="42" t="n">
        <f aca="false">IF(AND(BS135&lt;&gt;1,BW135+BX135=0),1,0)</f>
        <v>1</v>
      </c>
      <c r="CF135" s="42" t="n">
        <f aca="false">IF(BU135=-1,1,0)</f>
        <v>0</v>
      </c>
      <c r="CG135" s="42" t="n">
        <f aca="false">IF(S135=-1,1,0)</f>
        <v>0</v>
      </c>
      <c r="CH135" s="42" t="n">
        <f aca="false">IF(BV135+BW135+BX135=0,1,0)</f>
        <v>1</v>
      </c>
      <c r="CI135" s="42" t="n">
        <f aca="false">IF(BC135&lt;p_RRmin,1,0)</f>
        <v>0</v>
      </c>
      <c r="CJ135" s="46" t="str">
        <f aca="false">IF(SUM(CE135:CI135)=0,IF(CD135&gt;=p_GradeA,"A",IF(CD135&gt;=p_GradeB,"B","C")),IF(AND(CI135=1,SUM(CE135:CH135)=0,CD135&gt;=p_GradeB),"B","C"))</f>
        <v>C</v>
      </c>
    </row>
    <row r="136" customFormat="false" ht="15" hidden="false" customHeight="false" outlineLevel="0" collapsed="false">
      <c r="A136" s="36" t="n">
        <v>45842</v>
      </c>
      <c r="B136" s="37" t="n">
        <v>20.97</v>
      </c>
      <c r="C136" s="37" t="n">
        <v>21.08</v>
      </c>
      <c r="D136" s="37" t="n">
        <v>20.79</v>
      </c>
      <c r="E136" s="37" t="n">
        <v>20.88</v>
      </c>
      <c r="F136" s="38" t="n">
        <v>3893000</v>
      </c>
      <c r="G136" s="39" t="n">
        <f aca="false">A136-WEEKDAY(A136,3)</f>
        <v>45838</v>
      </c>
      <c r="H136" s="40" t="n">
        <f aca="false">2/(p_EmaF+1)*E136+(1-2/(p_EmaF+1))*H135</f>
        <v>20.5684802941407</v>
      </c>
      <c r="I136" s="40" t="n">
        <f aca="false">2/(p_EmaS+1)*E136+(1-2/(p_EmaS+1))*I135</f>
        <v>20.74414413386</v>
      </c>
      <c r="J136" s="41" t="n">
        <f aca="false">2/(p_MacdF+1)*E136+(1-2/(p_MacdF+1))*J135</f>
        <v>20.5783828720443</v>
      </c>
      <c r="K136" s="41" t="n">
        <f aca="false">2/(p_MacdS+1)*E136+(1-2/(p_MacdS+1))*K135</f>
        <v>20.74414413386</v>
      </c>
      <c r="L136" s="41" t="n">
        <f aca="false">J136-K136</f>
        <v>-0.165761261815707</v>
      </c>
      <c r="M136" s="41" t="n">
        <f aca="false">2/(p_MacdSig+1)*L136+(1-2/(p_MacdSig+1))*M135</f>
        <v>-0.381364952186648</v>
      </c>
      <c r="N136" s="41" t="n">
        <f aca="false">L136-M136</f>
        <v>0.215603690370941</v>
      </c>
      <c r="O136" s="42" t="n">
        <f aca="false">IF(H136&gt;H135,1,0)</f>
        <v>1</v>
      </c>
      <c r="P136" s="42" t="n">
        <f aca="false">IF(H136&lt;H135,1,0)</f>
        <v>0</v>
      </c>
      <c r="Q136" s="42" t="n">
        <f aca="false">IF(N136&gt;N135,1,0)</f>
        <v>0</v>
      </c>
      <c r="R136" s="42" t="n">
        <f aca="false">IF(N136&lt;N135,1,0)</f>
        <v>1</v>
      </c>
      <c r="S136" s="42" t="n">
        <f aca="false">IF(AND(O136=1,Q136=1),1,IF(AND(P136=1,R136=1),-1,0))</f>
        <v>0</v>
      </c>
      <c r="T136" s="43" t="str">
        <f aca="false">IF(S136=1,"绿",IF(S136=-1,"红","蓝"))</f>
        <v>蓝</v>
      </c>
      <c r="U136" s="44" t="n">
        <f aca="false">F136*(E136-E135)</f>
        <v>-506090.00000001</v>
      </c>
      <c r="V136" s="44" t="n">
        <f aca="false">2/(p_FiS+1)*U136+(1-2/(p_FiS+1))*V135</f>
        <v>-262219.632334673</v>
      </c>
      <c r="W136" s="44" t="n">
        <f aca="false">2/(p_FiL+1)*U136+(1-2/(p_FiL+1))*W135</f>
        <v>166839.052520435</v>
      </c>
      <c r="X136" s="41" t="n">
        <f aca="false">MAX(C136-D136,ABS(C136-E135),ABS(D136-E135))</f>
        <v>0.289999999999999</v>
      </c>
      <c r="Y136" s="41" t="n">
        <f aca="true">AVERAGE(OFFSET(X136,1-MIN(p_AtrN,ROW()-4),0,MIN(p_AtrN,ROW()-4),1))</f>
        <v>0.407692307692308</v>
      </c>
      <c r="Z136" s="41" t="n">
        <f aca="false">IF(AND(C136-C135&gt;D135-D136,C136-C135&gt;0),C136-C135,0)</f>
        <v>0</v>
      </c>
      <c r="AA136" s="41" t="n">
        <f aca="false">IF(AND(D135-D136&gt;C136-C135,D135-D136&gt;0),D135-D136,0)</f>
        <v>0.199999999999999</v>
      </c>
      <c r="AB136" s="41" t="n">
        <f aca="false">2/(p_AdxN+1)*X136+(1-2/(p_AdxN+1))*AB135</f>
        <v>0.391570980637582</v>
      </c>
      <c r="AC136" s="41" t="n">
        <f aca="false">2/(p_AdxN+1)*Z136+(1-2/(p_AdxN+1))*AC135</f>
        <v>0.0973397398518836</v>
      </c>
      <c r="AD136" s="41" t="n">
        <f aca="false">2/(p_AdxN+1)*AA136+(1-2/(p_AdxN+1))*AD135</f>
        <v>0.0664861496748363</v>
      </c>
      <c r="AE136" s="45" t="n">
        <f aca="false">100*AC136/AB136</f>
        <v>24.8587726530165</v>
      </c>
      <c r="AF136" s="45" t="n">
        <f aca="false">100*AD136/AB136</f>
        <v>16.9793352833704</v>
      </c>
      <c r="AG136" s="45" t="n">
        <f aca="false">IFERROR(100*ABS(AE136-AF136)/(AE136+AF136),0)</f>
        <v>18.83315895075</v>
      </c>
      <c r="AH136" s="45" t="n">
        <f aca="false">2/(p_AdxN+1)*AG136+(1-2/(p_AdxN+1))*AH135</f>
        <v>33.3551079308549</v>
      </c>
      <c r="AI136" s="40" t="n">
        <f aca="false">I136*(1+p_ChPct)</f>
        <v>21.9887927818916</v>
      </c>
      <c r="AJ136" s="40" t="n">
        <f aca="false">I136*(1-p_ChPct)</f>
        <v>19.4994954858284</v>
      </c>
      <c r="AK136" s="40" t="n">
        <f aca="false">I136+1*Y136</f>
        <v>21.1518364415523</v>
      </c>
      <c r="AL136" s="40" t="n">
        <f aca="false">I136+2*Y136</f>
        <v>21.5595287492447</v>
      </c>
      <c r="AM136" s="40" t="n">
        <f aca="false">I136+3*Y136</f>
        <v>21.967221056937</v>
      </c>
      <c r="AN136" s="40" t="n">
        <f aca="false">I136-1*Y136</f>
        <v>20.3364518261677</v>
      </c>
      <c r="AO136" s="40" t="n">
        <f aca="false">I136-2*Y136</f>
        <v>19.9287595184754</v>
      </c>
      <c r="AP136" s="40" t="n">
        <f aca="false">I136-3*Y136</f>
        <v>19.5210672107831</v>
      </c>
      <c r="AQ136" s="40" t="n">
        <f aca="true">MAX(OFFSET(C136,1-MIN(p_StochN,ROW()-4),0,MIN(p_StochN,ROW()-4),1))</f>
        <v>21.08</v>
      </c>
      <c r="AR136" s="40" t="n">
        <f aca="true">MIN(OFFSET(D136,1-MIN(p_StochN,ROW()-4),0,MIN(p_StochN,ROW()-4),1))</f>
        <v>20.21</v>
      </c>
      <c r="AS136" s="45" t="n">
        <f aca="false">IF(AQ136=AR136,50,100*(E136-AR136)/(AQ136-AR136))</f>
        <v>77.0114942528736</v>
      </c>
      <c r="AT136" s="45" t="n">
        <f aca="true">AVERAGE(OFFSET(AS136,1-MIN(p_StochSm,ROW()-4),0,MIN(p_StochSm,ROW()-4),1))</f>
        <v>87.7551577146035</v>
      </c>
      <c r="AU136" s="45" t="n">
        <f aca="true">AVERAGE(OFFSET(AT136,1-MIN(p_StochSm,ROW()-4),0,MIN(p_StochSm,ROW()-4),1))</f>
        <v>89.1611373431647</v>
      </c>
      <c r="AV136" s="41" t="n">
        <f aca="false">MAX(0,H136-D136)</f>
        <v>0</v>
      </c>
      <c r="AW136" s="41" t="n">
        <f aca="true">IF(COUNTIF(OFFSET(AV136,1-MIN(p_PenLb,ROW()-4),0,MIN(p_PenLb,ROW()-4),1),"&gt;0")&gt;0,SUM(OFFSET(AV136,1-MIN(p_PenLb,ROW()-4),0,MIN(p_PenLb,ROW()-4),1))/COUNTIF(OFFSET(AV136,1-MIN(p_PenLb,ROW()-4),0,MIN(p_PenLb,ROW()-4),1),"&gt;0"),0.5*Y136)</f>
        <v>0.608753948559006</v>
      </c>
      <c r="AX136" s="41" t="n">
        <f aca="false">2*H136-H135</f>
        <v>20.6204002451172</v>
      </c>
      <c r="AY136" s="40" t="n">
        <f aca="false">ROUND(MAX(AX136-AW136,0.01),2)</f>
        <v>20.01</v>
      </c>
      <c r="AZ136" s="40" t="n">
        <f aca="true">IF(MIN(p_StopLb,ROW()-4)&lt;2,D136,SMALL(OFFSET(D136,1-MIN(p_StopLb,ROW()-4),0,MIN(p_StopLb,ROW()-4),1),2))</f>
        <v>19.63</v>
      </c>
      <c r="BA136" s="40" t="n">
        <f aca="false">IF(MOD(ROUND(ROUNDDOWN(MIN(AZ136-0.01,AY136-p_StopAtr*Y136),2)*100,0),50)=0,ROUNDDOWN(MIN(AZ136-0.01,AY136-p_StopAtr*Y136),2)-0.01,ROUNDDOWN(MIN(AZ136-0.01,AY136-p_StopAtr*Y136),2))</f>
        <v>19.6</v>
      </c>
      <c r="BB136" s="40" t="n">
        <f aca="false">ROUND(AI136,2)</f>
        <v>21.99</v>
      </c>
      <c r="BC136" s="40" t="n">
        <f aca="false">IF(AY136-BA136&gt;0,(BB136-AY136)/(AY136-BA136),0)</f>
        <v>4.82926829268292</v>
      </c>
      <c r="BD136" s="42" t="n">
        <f aca="false">IF(N136&lt;0,1,0)</f>
        <v>0</v>
      </c>
      <c r="BE136" s="41" t="n">
        <f aca="false">IF(AND(BD136=1,BD135=0),N136,IF(BD136=1,MIN(BE135,N136),BE135))</f>
        <v>-0.0583119972977335</v>
      </c>
      <c r="BF136" s="40" t="n">
        <f aca="false">IF(AND(BD136=1,BD135=0),D136,IF(BD136=1,MIN(BF135,D136),BF135))</f>
        <v>19.27</v>
      </c>
      <c r="BG136" s="42" t="n">
        <f aca="false">IF(AND(BD136=1,BD135=0),ROW(),IF(BD136=1,IF(N136&lt;BE135,ROW(),BG135),BG135))</f>
        <v>124</v>
      </c>
      <c r="BH136" s="41" t="n">
        <f aca="false">IF(AND(BD136=1,BD135=0),BE135,BH135)</f>
        <v>-0.392824838841331</v>
      </c>
      <c r="BI136" s="40" t="n">
        <f aca="false">IF(AND(BD136=1,BD135=0),BF135,BI135)</f>
        <v>20.27</v>
      </c>
      <c r="BJ136" s="42" t="n">
        <f aca="false">IF(AND(BD136=1,BD135=0),BG135,BJ135)</f>
        <v>98</v>
      </c>
      <c r="BK136" s="42" t="n">
        <f aca="false">IF(AND(ISNUMBER(BG136),ISNUMBER(BJ136)),BG136-BJ136,"")</f>
        <v>26</v>
      </c>
      <c r="BL136" s="42" t="n">
        <f aca="false">IF(AND(BD136=1,N136&gt;N135,ISNUMBER(BH136),ISNUMBER(BK136)),IF(AND(BE136&gt;BH136,BF136&lt;BI136,BK136&gt;=p_GapMin,BK136&lt;=p_GapMax),1,0),0)</f>
        <v>0</v>
      </c>
      <c r="BM136" s="42" t="n">
        <f aca="false">IF(AND(BL136=1,E136&gt;BI136),1,0)</f>
        <v>0</v>
      </c>
      <c r="BN136" s="42" t="n">
        <f aca="false">IF(BL136=1,IF(BE136&gt;=BH136*0.5,1,0),0)</f>
        <v>0</v>
      </c>
      <c r="BO136" s="42" t="n">
        <f aca="true">IF(V136&gt;MIN(OFFSET(V136,-MIN(p_FiLb-1,ROW()-5),0,MIN(p_FiLb-1,ROW()-5),1)),1,0)</f>
        <v>1</v>
      </c>
      <c r="BP136" s="44" t="n">
        <f aca="true">IF(COUNTIF(OFFSET(V136,1-MIN(100,ROW()-4),0,MIN(100,ROW()-4),1),"&lt;0")&gt;=5,AVERAGEIF(OFFSET(V136,1-MIN(100,ROW()-4),0,MIN(100,ROW()-4),1),"&lt;0"),"")</f>
        <v>-995800.75796851</v>
      </c>
      <c r="BQ136" s="42" t="n">
        <f aca="false">IF(ISNUMBER(BP136),IF(AND(V136&lt;5*BP136,V136&gt;V135,E136&lt;AJ136),1,0),0)</f>
        <v>0</v>
      </c>
      <c r="BR136" s="44" t="n">
        <f aca="true">AVERAGE(OFFSET(F136,1-MIN(5,ROW()-4),0,MIN(5,ROW()-4),1))</f>
        <v>3540880</v>
      </c>
      <c r="BS136" s="42" t="n">
        <f aca="false">IFERROR(IF(MATCH(G136,周线!$A$5:$A$84,0)&lt;=1,"",INDEX(周线!$R$5:$R$84,MATCH(G136,周线!$A$5:$A$84,0)-1)),"")</f>
        <v>0</v>
      </c>
      <c r="BT136" s="42" t="n">
        <f aca="false">IFERROR(IF(MATCH(G136,周线!$A$5:$A$84,0)&lt;=1,"",INDEX(周线!$S$5:$S$84,MATCH(G136,周线!$A$5:$A$84,0)-1)),"")</f>
        <v>1</v>
      </c>
      <c r="BU136" s="42" t="n">
        <f aca="false">IFERROR(IF(MATCH(G136,周线!$A$5:$A$84,0)&lt;=1,"",INDEX(周线!$U$5:$U$84,MATCH(G136,周线!$A$5:$A$84,0)-1)),"")</f>
        <v>0</v>
      </c>
      <c r="BV136" s="42" t="n">
        <f aca="false">IF(AND(BS136=1,S136&lt;&gt;-1,V136&lt;0,BO136=1,E136&lt;=H136,E136&gt;=AJ136),1,0)</f>
        <v>0</v>
      </c>
      <c r="BW136" s="42" t="n">
        <f aca="false">BL136</f>
        <v>0</v>
      </c>
      <c r="BX136" s="42" t="n">
        <f aca="false">BQ136</f>
        <v>0</v>
      </c>
      <c r="BY136" s="42" t="n">
        <f aca="false">IF(BS136=1,10,0)+IF(BU136=1,5,IF(BU136=-1,0,3))+IF(BT136=1,5,0)+IF(AND(AE136&gt;AF136,AH136&gt;AH135),5,0)</f>
        <v>8</v>
      </c>
      <c r="BZ136" s="42" t="n">
        <f aca="false">IF(AND(E136&lt;=H136,E136&gt;=I136),10,IF(AND(E136&gt;=AJ136,E136&lt;I136),6,0))+IF(AND(V136&lt;0,BO136=1),8,0)+IF(AT136&lt;30,7,IF(AT136&lt;50,3,0))</f>
        <v>8</v>
      </c>
      <c r="CA136" s="42" t="n">
        <f aca="false">IF(AND(BV136=1,BW136=1),25,IF(BW136=1,22,IF(BV136=1,15,IF(BX136=1,12,0))))</f>
        <v>0</v>
      </c>
      <c r="CB136" s="42" t="n">
        <f aca="false">IF(W136&gt;0,6,0)+IF(F136&lt;BR136,4,0)</f>
        <v>6</v>
      </c>
      <c r="CC136" s="42" t="n">
        <f aca="false">IF(BC136&gt;=3,15,IF(BC136&gt;=p_RRmin,10,IF(BC136&gt;=1.5,4,0)))</f>
        <v>15</v>
      </c>
      <c r="CD136" s="42" t="n">
        <f aca="false">BY136+BZ136+CA136+CB136+CC136</f>
        <v>37</v>
      </c>
      <c r="CE136" s="42" t="n">
        <f aca="false">IF(AND(BS136&lt;&gt;1,BW136+BX136=0),1,0)</f>
        <v>1</v>
      </c>
      <c r="CF136" s="42" t="n">
        <f aca="false">IF(BU136=-1,1,0)</f>
        <v>0</v>
      </c>
      <c r="CG136" s="42" t="n">
        <f aca="false">IF(S136=-1,1,0)</f>
        <v>0</v>
      </c>
      <c r="CH136" s="42" t="n">
        <f aca="false">IF(BV136+BW136+BX136=0,1,0)</f>
        <v>1</v>
      </c>
      <c r="CI136" s="42" t="n">
        <f aca="false">IF(BC136&lt;p_RRmin,1,0)</f>
        <v>0</v>
      </c>
      <c r="CJ136" s="46" t="str">
        <f aca="false">IF(SUM(CE136:CI136)=0,IF(CD136&gt;=p_GradeA,"A",IF(CD136&gt;=p_GradeB,"B","C")),IF(AND(CI136=1,SUM(CE136:CH136)=0,CD136&gt;=p_GradeB),"B","C"))</f>
        <v>C</v>
      </c>
    </row>
    <row r="137" customFormat="false" ht="15" hidden="false" customHeight="false" outlineLevel="0" collapsed="false">
      <c r="A137" s="36" t="n">
        <v>45845</v>
      </c>
      <c r="B137" s="37" t="n">
        <v>20.93</v>
      </c>
      <c r="C137" s="37" t="n">
        <v>21.23</v>
      </c>
      <c r="D137" s="37" t="n">
        <v>20.72</v>
      </c>
      <c r="E137" s="37" t="n">
        <v>21.01</v>
      </c>
      <c r="F137" s="38" t="n">
        <v>3054300</v>
      </c>
      <c r="G137" s="39" t="n">
        <f aca="false">A137-WEEKDAY(A137,3)</f>
        <v>45845</v>
      </c>
      <c r="H137" s="40" t="n">
        <f aca="false">2/(p_EmaF+1)*E137+(1-2/(p_EmaF+1))*H136</f>
        <v>20.6315545378349</v>
      </c>
      <c r="I137" s="40" t="n">
        <f aca="false">2/(p_EmaS+1)*E137+(1-2/(p_EmaS+1))*I136</f>
        <v>20.7638371609815</v>
      </c>
      <c r="J137" s="41" t="n">
        <f aca="false">2/(p_MacdF+1)*E137+(1-2/(p_MacdF+1))*J136</f>
        <v>20.6447855071144</v>
      </c>
      <c r="K137" s="41" t="n">
        <f aca="false">2/(p_MacdS+1)*E137+(1-2/(p_MacdS+1))*K136</f>
        <v>20.7638371609815</v>
      </c>
      <c r="L137" s="41" t="n">
        <f aca="false">J137-K137</f>
        <v>-0.119051653867079</v>
      </c>
      <c r="M137" s="41" t="n">
        <f aca="false">2/(p_MacdSig+1)*L137+(1-2/(p_MacdSig+1))*M136</f>
        <v>-0.328902292522734</v>
      </c>
      <c r="N137" s="41" t="n">
        <f aca="false">L137-M137</f>
        <v>0.209850638655656</v>
      </c>
      <c r="O137" s="42" t="n">
        <f aca="false">IF(H137&gt;H136,1,0)</f>
        <v>1</v>
      </c>
      <c r="P137" s="42" t="n">
        <f aca="false">IF(H137&lt;H136,1,0)</f>
        <v>0</v>
      </c>
      <c r="Q137" s="42" t="n">
        <f aca="false">IF(N137&gt;N136,1,0)</f>
        <v>0</v>
      </c>
      <c r="R137" s="42" t="n">
        <f aca="false">IF(N137&lt;N136,1,0)</f>
        <v>1</v>
      </c>
      <c r="S137" s="42" t="n">
        <f aca="false">IF(AND(O137=1,Q137=1),1,IF(AND(P137=1,R137=1),-1,0))</f>
        <v>0</v>
      </c>
      <c r="T137" s="43" t="str">
        <f aca="false">IF(S137=1,"绿",IF(S137=-1,"红","蓝"))</f>
        <v>蓝</v>
      </c>
      <c r="U137" s="44" t="n">
        <f aca="false">F137*(E137-E136)</f>
        <v>397059.000000008</v>
      </c>
      <c r="V137" s="44" t="n">
        <f aca="false">2/(p_FiS+1)*U137+(1-2/(p_FiS+1))*V136</f>
        <v>177299.455888447</v>
      </c>
      <c r="W137" s="44" t="n">
        <f aca="false">2/(p_FiL+1)*U137+(1-2/(p_FiL+1))*W136</f>
        <v>199727.616446089</v>
      </c>
      <c r="X137" s="41" t="n">
        <f aca="false">MAX(C137-D137,ABS(C137-E136),ABS(D137-E136))</f>
        <v>0.510000000000002</v>
      </c>
      <c r="Y137" s="41" t="n">
        <f aca="true">AVERAGE(OFFSET(X137,1-MIN(p_AtrN,ROW()-4),0,MIN(p_AtrN,ROW()-4),1))</f>
        <v>0.40923076923077</v>
      </c>
      <c r="Z137" s="41" t="n">
        <f aca="false">IF(AND(C137-C136&gt;D136-D137,C137-C136&gt;0),C137-C136,0)</f>
        <v>0.150000000000002</v>
      </c>
      <c r="AA137" s="41" t="n">
        <f aca="false">IF(AND(D136-D137&gt;C137-C136,D136-D137&gt;0),D136-D137,0)</f>
        <v>0</v>
      </c>
      <c r="AB137" s="41" t="n">
        <f aca="false">2/(p_AdxN+1)*X137+(1-2/(p_AdxN+1))*AB136</f>
        <v>0.40848941197507</v>
      </c>
      <c r="AC137" s="41" t="n">
        <f aca="false">2/(p_AdxN+1)*Z137+(1-2/(p_AdxN+1))*AC136</f>
        <v>0.104862634158758</v>
      </c>
      <c r="AD137" s="41" t="n">
        <f aca="false">2/(p_AdxN+1)*AA137+(1-2/(p_AdxN+1))*AD136</f>
        <v>0.0569881282927168</v>
      </c>
      <c r="AE137" s="45" t="n">
        <f aca="false">100*AC137/AB137</f>
        <v>25.6708328501688</v>
      </c>
      <c r="AF137" s="45" t="n">
        <f aca="false">100*AD137/AB137</f>
        <v>13.9509437997856</v>
      </c>
      <c r="AG137" s="45" t="n">
        <f aca="false">IFERROR(100*ABS(AE137-AF137)/(AE137+AF137),0)</f>
        <v>29.5794132452076</v>
      </c>
      <c r="AH137" s="45" t="n">
        <f aca="false">2/(p_AdxN+1)*AG137+(1-2/(p_AdxN+1))*AH136</f>
        <v>32.8157229757625</v>
      </c>
      <c r="AI137" s="40" t="n">
        <f aca="false">I137*(1+p_ChPct)</f>
        <v>22.0096673906404</v>
      </c>
      <c r="AJ137" s="40" t="n">
        <f aca="false">I137*(1-p_ChPct)</f>
        <v>19.5180069313226</v>
      </c>
      <c r="AK137" s="40" t="n">
        <f aca="false">I137+1*Y137</f>
        <v>21.1730679302123</v>
      </c>
      <c r="AL137" s="40" t="n">
        <f aca="false">I137+2*Y137</f>
        <v>21.5822986994431</v>
      </c>
      <c r="AM137" s="40" t="n">
        <f aca="false">I137+3*Y137</f>
        <v>21.9915294686738</v>
      </c>
      <c r="AN137" s="40" t="n">
        <f aca="false">I137-1*Y137</f>
        <v>20.3546063917507</v>
      </c>
      <c r="AO137" s="40" t="n">
        <f aca="false">I137-2*Y137</f>
        <v>19.94537562252</v>
      </c>
      <c r="AP137" s="40" t="n">
        <f aca="false">I137-3*Y137</f>
        <v>19.5361448532892</v>
      </c>
      <c r="AQ137" s="40" t="n">
        <f aca="true">MAX(OFFSET(C137,1-MIN(p_StochN,ROW()-4),0,MIN(p_StochN,ROW()-4),1))</f>
        <v>21.23</v>
      </c>
      <c r="AR137" s="40" t="n">
        <f aca="true">MIN(OFFSET(D137,1-MIN(p_StochN,ROW()-4),0,MIN(p_StochN,ROW()-4),1))</f>
        <v>20.51</v>
      </c>
      <c r="AS137" s="45" t="n">
        <f aca="false">IF(AQ137=AR137,50,100*(E137-AR137)/(AQ137-AR137))</f>
        <v>69.4444444444446</v>
      </c>
      <c r="AT137" s="45" t="n">
        <f aca="true">AVERAGE(OFFSET(AS137,1-MIN(p_StochSm,ROW()-4),0,MIN(p_StochSm,ROW()-4),1))</f>
        <v>79.6697100622267</v>
      </c>
      <c r="AU137" s="45" t="n">
        <f aca="true">AVERAGE(OFFSET(AT137,1-MIN(p_StochSm,ROW()-4),0,MIN(p_StochSm,ROW()-4),1))</f>
        <v>86.158348216174</v>
      </c>
      <c r="AV137" s="41" t="n">
        <f aca="false">MAX(0,H137-D137)</f>
        <v>0</v>
      </c>
      <c r="AW137" s="41" t="n">
        <f aca="true">IF(COUNTIF(OFFSET(AV137,1-MIN(p_PenLb,ROW()-4),0,MIN(p_PenLb,ROW()-4),1),"&gt;0")&gt;0,SUM(OFFSET(AV137,1-MIN(p_PenLb,ROW()-4),0,MIN(p_PenLb,ROW()-4),1))/COUNTIF(OFFSET(AV137,1-MIN(p_PenLb,ROW()-4),0,MIN(p_PenLb,ROW()-4),1),"&gt;0"),0.5*Y137)</f>
        <v>0.587516186889221</v>
      </c>
      <c r="AX137" s="41" t="n">
        <f aca="false">2*H137-H136</f>
        <v>20.6946287815291</v>
      </c>
      <c r="AY137" s="40" t="n">
        <f aca="false">ROUND(MAX(AX137-AW137,0.01),2)</f>
        <v>20.11</v>
      </c>
      <c r="AZ137" s="40" t="n">
        <f aca="true">IF(MIN(p_StopLb,ROW()-4)&lt;2,D137,SMALL(OFFSET(D137,1-MIN(p_StopLb,ROW()-4),0,MIN(p_StopLb,ROW()-4),1),2))</f>
        <v>19.63</v>
      </c>
      <c r="BA137" s="40" t="n">
        <f aca="false">IF(MOD(ROUND(ROUNDDOWN(MIN(AZ137-0.01,AY137-p_StopAtr*Y137),2)*100,0),50)=0,ROUNDDOWN(MIN(AZ137-0.01,AY137-p_StopAtr*Y137),2)-0.01,ROUNDDOWN(MIN(AZ137-0.01,AY137-p_StopAtr*Y137),2))</f>
        <v>19.62</v>
      </c>
      <c r="BB137" s="40" t="n">
        <f aca="false">ROUND(AI137,2)</f>
        <v>22.01</v>
      </c>
      <c r="BC137" s="40" t="n">
        <f aca="false">IF(AY137-BA137&gt;0,(BB137-AY137)/(AY137-BA137),0)</f>
        <v>3.87755102040818</v>
      </c>
      <c r="BD137" s="42" t="n">
        <f aca="false">IF(N137&lt;0,1,0)</f>
        <v>0</v>
      </c>
      <c r="BE137" s="41" t="n">
        <f aca="false">IF(AND(BD137=1,BD136=0),N137,IF(BD137=1,MIN(BE136,N137),BE136))</f>
        <v>-0.0583119972977335</v>
      </c>
      <c r="BF137" s="40" t="n">
        <f aca="false">IF(AND(BD137=1,BD136=0),D137,IF(BD137=1,MIN(BF136,D137),BF136))</f>
        <v>19.27</v>
      </c>
      <c r="BG137" s="42" t="n">
        <f aca="false">IF(AND(BD137=1,BD136=0),ROW(),IF(BD137=1,IF(N137&lt;BE136,ROW(),BG136),BG136))</f>
        <v>124</v>
      </c>
      <c r="BH137" s="41" t="n">
        <f aca="false">IF(AND(BD137=1,BD136=0),BE136,BH136)</f>
        <v>-0.392824838841331</v>
      </c>
      <c r="BI137" s="40" t="n">
        <f aca="false">IF(AND(BD137=1,BD136=0),BF136,BI136)</f>
        <v>20.27</v>
      </c>
      <c r="BJ137" s="42" t="n">
        <f aca="false">IF(AND(BD137=1,BD136=0),BG136,BJ136)</f>
        <v>98</v>
      </c>
      <c r="BK137" s="42" t="n">
        <f aca="false">IF(AND(ISNUMBER(BG137),ISNUMBER(BJ137)),BG137-BJ137,"")</f>
        <v>26</v>
      </c>
      <c r="BL137" s="42" t="n">
        <f aca="false">IF(AND(BD137=1,N137&gt;N136,ISNUMBER(BH137),ISNUMBER(BK137)),IF(AND(BE137&gt;BH137,BF137&lt;BI137,BK137&gt;=p_GapMin,BK137&lt;=p_GapMax),1,0),0)</f>
        <v>0</v>
      </c>
      <c r="BM137" s="42" t="n">
        <f aca="false">IF(AND(BL137=1,E137&gt;BI137),1,0)</f>
        <v>0</v>
      </c>
      <c r="BN137" s="42" t="n">
        <f aca="false">IF(BL137=1,IF(BE137&gt;=BH137*0.5,1,0),0)</f>
        <v>0</v>
      </c>
      <c r="BO137" s="42" t="n">
        <f aca="true">IF(V137&gt;MIN(OFFSET(V137,-MIN(p_FiLb-1,ROW()-5),0,MIN(p_FiLb-1,ROW()-5),1)),1,0)</f>
        <v>1</v>
      </c>
      <c r="BP137" s="44" t="n">
        <f aca="true">IF(COUNTIF(OFFSET(V137,1-MIN(100,ROW()-4),0,MIN(100,ROW()-4),1),"&lt;0")&gt;=5,AVERAGEIF(OFFSET(V137,1-MIN(100,ROW()-4),0,MIN(100,ROW()-4),1),"&lt;0"),"")</f>
        <v>-995800.75796851</v>
      </c>
      <c r="BQ137" s="42" t="n">
        <f aca="false">IF(ISNUMBER(BP137),IF(AND(V137&lt;5*BP137,V137&gt;V136,E137&lt;AJ137),1,0),0)</f>
        <v>0</v>
      </c>
      <c r="BR137" s="44" t="n">
        <f aca="true">AVERAGE(OFFSET(F137,1-MIN(5,ROW()-4),0,MIN(5,ROW()-4),1))</f>
        <v>3412680</v>
      </c>
      <c r="BS137" s="42" t="n">
        <f aca="false">IFERROR(IF(MATCH(G137,周线!$A$5:$A$84,0)&lt;=1,"",INDEX(周线!$R$5:$R$84,MATCH(G137,周线!$A$5:$A$84,0)-1)),"")</f>
        <v>0</v>
      </c>
      <c r="BT137" s="42" t="n">
        <f aca="false">IFERROR(IF(MATCH(G137,周线!$A$5:$A$84,0)&lt;=1,"",INDEX(周线!$S$5:$S$84,MATCH(G137,周线!$A$5:$A$84,0)-1)),"")</f>
        <v>1</v>
      </c>
      <c r="BU137" s="42" t="n">
        <f aca="false">IFERROR(IF(MATCH(G137,周线!$A$5:$A$84,0)&lt;=1,"",INDEX(周线!$U$5:$U$84,MATCH(G137,周线!$A$5:$A$84,0)-1)),"")</f>
        <v>0</v>
      </c>
      <c r="BV137" s="42" t="n">
        <f aca="false">IF(AND(BS137=1,S137&lt;&gt;-1,V137&lt;0,BO137=1,E137&lt;=H137,E137&gt;=AJ137),1,0)</f>
        <v>0</v>
      </c>
      <c r="BW137" s="42" t="n">
        <f aca="false">BL137</f>
        <v>0</v>
      </c>
      <c r="BX137" s="42" t="n">
        <f aca="false">BQ137</f>
        <v>0</v>
      </c>
      <c r="BY137" s="42" t="n">
        <f aca="false">IF(BS137=1,10,0)+IF(BU137=1,5,IF(BU137=-1,0,3))+IF(BT137=1,5,0)+IF(AND(AE137&gt;AF137,AH137&gt;AH136),5,0)</f>
        <v>8</v>
      </c>
      <c r="BZ137" s="42" t="n">
        <f aca="false">IF(AND(E137&lt;=H137,E137&gt;=I137),10,IF(AND(E137&gt;=AJ137,E137&lt;I137),6,0))+IF(AND(V137&lt;0,BO137=1),8,0)+IF(AT137&lt;30,7,IF(AT137&lt;50,3,0))</f>
        <v>0</v>
      </c>
      <c r="CA137" s="42" t="n">
        <f aca="false">IF(AND(BV137=1,BW137=1),25,IF(BW137=1,22,IF(BV137=1,15,IF(BX137=1,12,0))))</f>
        <v>0</v>
      </c>
      <c r="CB137" s="42" t="n">
        <f aca="false">IF(W137&gt;0,6,0)+IF(F137&lt;BR137,4,0)</f>
        <v>10</v>
      </c>
      <c r="CC137" s="42" t="n">
        <f aca="false">IF(BC137&gt;=3,15,IF(BC137&gt;=p_RRmin,10,IF(BC137&gt;=1.5,4,0)))</f>
        <v>15</v>
      </c>
      <c r="CD137" s="42" t="n">
        <f aca="false">BY137+BZ137+CA137+CB137+CC137</f>
        <v>33</v>
      </c>
      <c r="CE137" s="42" t="n">
        <f aca="false">IF(AND(BS137&lt;&gt;1,BW137+BX137=0),1,0)</f>
        <v>1</v>
      </c>
      <c r="CF137" s="42" t="n">
        <f aca="false">IF(BU137=-1,1,0)</f>
        <v>0</v>
      </c>
      <c r="CG137" s="42" t="n">
        <f aca="false">IF(S137=-1,1,0)</f>
        <v>0</v>
      </c>
      <c r="CH137" s="42" t="n">
        <f aca="false">IF(BV137+BW137+BX137=0,1,0)</f>
        <v>1</v>
      </c>
      <c r="CI137" s="42" t="n">
        <f aca="false">IF(BC137&lt;p_RRmin,1,0)</f>
        <v>0</v>
      </c>
      <c r="CJ137" s="46" t="str">
        <f aca="false">IF(SUM(CE137:CI137)=0,IF(CD137&gt;=p_GradeA,"A",IF(CD137&gt;=p_GradeB,"B","C")),IF(AND(CI137=1,SUM(CE137:CH137)=0,CD137&gt;=p_GradeB),"B","C"))</f>
        <v>C</v>
      </c>
    </row>
    <row r="138" customFormat="false" ht="15" hidden="false" customHeight="false" outlineLevel="0" collapsed="false">
      <c r="A138" s="36" t="n">
        <v>45846</v>
      </c>
      <c r="B138" s="37" t="n">
        <v>20.98</v>
      </c>
      <c r="C138" s="37" t="n">
        <v>21.1</v>
      </c>
      <c r="D138" s="37" t="n">
        <v>20.81</v>
      </c>
      <c r="E138" s="37" t="n">
        <v>20.97</v>
      </c>
      <c r="F138" s="38" t="n">
        <v>3097000</v>
      </c>
      <c r="G138" s="39" t="n">
        <f aca="false">A138-WEEKDAY(A138,3)</f>
        <v>45845</v>
      </c>
      <c r="H138" s="40" t="n">
        <f aca="false">2/(p_EmaF+1)*E138+(1-2/(p_EmaF+1))*H137</f>
        <v>20.6799038895728</v>
      </c>
      <c r="I138" s="40" t="n">
        <f aca="false">2/(p_EmaS+1)*E138+(1-2/(p_EmaS+1))*I137</f>
        <v>20.7791084823903</v>
      </c>
      <c r="J138" s="41" t="n">
        <f aca="false">2/(p_MacdF+1)*E138+(1-2/(p_MacdF+1))*J137</f>
        <v>20.6948185060199</v>
      </c>
      <c r="K138" s="41" t="n">
        <f aca="false">2/(p_MacdS+1)*E138+(1-2/(p_MacdS+1))*K137</f>
        <v>20.7791084823903</v>
      </c>
      <c r="L138" s="41" t="n">
        <f aca="false">J138-K138</f>
        <v>-0.0842899763703855</v>
      </c>
      <c r="M138" s="41" t="n">
        <f aca="false">2/(p_MacdSig+1)*L138+(1-2/(p_MacdSig+1))*M137</f>
        <v>-0.279979829292265</v>
      </c>
      <c r="N138" s="41" t="n">
        <f aca="false">L138-M138</f>
        <v>0.195689852921879</v>
      </c>
      <c r="O138" s="42" t="n">
        <f aca="false">IF(H138&gt;H137,1,0)</f>
        <v>1</v>
      </c>
      <c r="P138" s="42" t="n">
        <f aca="false">IF(H138&lt;H137,1,0)</f>
        <v>0</v>
      </c>
      <c r="Q138" s="42" t="n">
        <f aca="false">IF(N138&gt;N137,1,0)</f>
        <v>0</v>
      </c>
      <c r="R138" s="42" t="n">
        <f aca="false">IF(N138&lt;N137,1,0)</f>
        <v>1</v>
      </c>
      <c r="S138" s="42" t="n">
        <f aca="false">IF(AND(O138=1,Q138=1),1,IF(AND(P138=1,R138=1),-1,0))</f>
        <v>0</v>
      </c>
      <c r="T138" s="43" t="str">
        <f aca="false">IF(S138=1,"绿",IF(S138=-1,"红","蓝"))</f>
        <v>蓝</v>
      </c>
      <c r="U138" s="44" t="n">
        <f aca="false">F138*(E138-E137)</f>
        <v>-123880.000000008</v>
      </c>
      <c r="V138" s="44" t="n">
        <f aca="false">2/(p_FiS+1)*U138+(1-2/(p_FiS+1))*V137</f>
        <v>-23486.8480371897</v>
      </c>
      <c r="W138" s="44" t="n">
        <f aca="false">2/(p_FiL+1)*U138+(1-2/(p_FiL+1))*W137</f>
        <v>153497.956953789</v>
      </c>
      <c r="X138" s="41" t="n">
        <f aca="false">MAX(C138-D138,ABS(C138-E137),ABS(D138-E137))</f>
        <v>0.290000000000003</v>
      </c>
      <c r="Y138" s="41" t="n">
        <f aca="true">AVERAGE(OFFSET(X138,1-MIN(p_AtrN,ROW()-4),0,MIN(p_AtrN,ROW()-4),1))</f>
        <v>0.386923076923078</v>
      </c>
      <c r="Z138" s="41" t="n">
        <f aca="false">IF(AND(C138-C137&gt;D137-D138,C138-C137&gt;0),C138-C137,0)</f>
        <v>0</v>
      </c>
      <c r="AA138" s="41" t="n">
        <f aca="false">IF(AND(D137-D138&gt;C138-C137,D137-D138&gt;0),D137-D138,0)</f>
        <v>0</v>
      </c>
      <c r="AB138" s="41" t="n">
        <f aca="false">2/(p_AdxN+1)*X138+(1-2/(p_AdxN+1))*AB137</f>
        <v>0.391562353121489</v>
      </c>
      <c r="AC138" s="41" t="n">
        <f aca="false">2/(p_AdxN+1)*Z138+(1-2/(p_AdxN+1))*AC137</f>
        <v>0.0898822578503637</v>
      </c>
      <c r="AD138" s="41" t="n">
        <f aca="false">2/(p_AdxN+1)*AA138+(1-2/(p_AdxN+1))*AD137</f>
        <v>0.048846967108043</v>
      </c>
      <c r="AE138" s="45" t="n">
        <f aca="false">100*AC138/AB138</f>
        <v>22.9547751804618</v>
      </c>
      <c r="AF138" s="45" t="n">
        <f aca="false">100*AD138/AB138</f>
        <v>12.4748885378384</v>
      </c>
      <c r="AG138" s="45" t="n">
        <f aca="false">IFERROR(100*ABS(AE138-AF138)/(AE138+AF138),0)</f>
        <v>29.5794132452076</v>
      </c>
      <c r="AH138" s="45" t="n">
        <f aca="false">2/(p_AdxN+1)*AG138+(1-2/(p_AdxN+1))*AH137</f>
        <v>32.3533930142546</v>
      </c>
      <c r="AI138" s="40" t="n">
        <f aca="false">I138*(1+p_ChPct)</f>
        <v>22.0258549913337</v>
      </c>
      <c r="AJ138" s="40" t="n">
        <f aca="false">I138*(1-p_ChPct)</f>
        <v>19.5323619734469</v>
      </c>
      <c r="AK138" s="40" t="n">
        <f aca="false">I138+1*Y138</f>
        <v>21.1660315593134</v>
      </c>
      <c r="AL138" s="40" t="n">
        <f aca="false">I138+2*Y138</f>
        <v>21.5529546362364</v>
      </c>
      <c r="AM138" s="40" t="n">
        <f aca="false">I138+3*Y138</f>
        <v>21.9398777131595</v>
      </c>
      <c r="AN138" s="40" t="n">
        <f aca="false">I138-1*Y138</f>
        <v>20.3921854054672</v>
      </c>
      <c r="AO138" s="40" t="n">
        <f aca="false">I138-2*Y138</f>
        <v>20.0052623285441</v>
      </c>
      <c r="AP138" s="40" t="n">
        <f aca="false">I138-3*Y138</f>
        <v>19.6183392516211</v>
      </c>
      <c r="AQ138" s="40" t="n">
        <f aca="true">MAX(OFFSET(C138,1-MIN(p_StochN,ROW()-4),0,MIN(p_StochN,ROW()-4),1))</f>
        <v>21.23</v>
      </c>
      <c r="AR138" s="40" t="n">
        <f aca="true">MIN(OFFSET(D138,1-MIN(p_StochN,ROW()-4),0,MIN(p_StochN,ROW()-4),1))</f>
        <v>20.72</v>
      </c>
      <c r="AS138" s="45" t="n">
        <f aca="false">IF(AQ138=AR138,50,100*(E138-AR138)/(AQ138-AR138))</f>
        <v>49.0196078431371</v>
      </c>
      <c r="AT138" s="45" t="n">
        <f aca="true">AVERAGE(OFFSET(AS138,1-MIN(p_StochSm,ROW()-4),0,MIN(p_StochSm,ROW()-4),1))</f>
        <v>65.1585155134851</v>
      </c>
      <c r="AU138" s="45" t="n">
        <f aca="true">AVERAGE(OFFSET(AT138,1-MIN(p_StochSm,ROW()-4),0,MIN(p_StochSm,ROW()-4),1))</f>
        <v>77.5277944301051</v>
      </c>
      <c r="AV138" s="41" t="n">
        <f aca="false">MAX(0,H138-D138)</f>
        <v>0</v>
      </c>
      <c r="AW138" s="41" t="n">
        <f aca="true">IF(COUNTIF(OFFSET(AV138,1-MIN(p_PenLb,ROW()-4),0,MIN(p_PenLb,ROW()-4),1),"&gt;0")&gt;0,SUM(OFFSET(AV138,1-MIN(p_PenLb,ROW()-4),0,MIN(p_PenLb,ROW()-4),1))/COUNTIF(OFFSET(AV138,1-MIN(p_PenLb,ROW()-4),0,MIN(p_PenLb,ROW()-4),1),"&gt;0"),0.5*Y138)</f>
        <v>0.569090147403523</v>
      </c>
      <c r="AX138" s="41" t="n">
        <f aca="false">2*H138-H137</f>
        <v>20.7282532413106</v>
      </c>
      <c r="AY138" s="40" t="n">
        <f aca="false">ROUND(MAX(AX138-AW138,0.01),2)</f>
        <v>20.16</v>
      </c>
      <c r="AZ138" s="40" t="n">
        <f aca="true">IF(MIN(p_StopLb,ROW()-4)&lt;2,D138,SMALL(OFFSET(D138,1-MIN(p_StopLb,ROW()-4),0,MIN(p_StopLb,ROW()-4),1),2))</f>
        <v>19.81</v>
      </c>
      <c r="BA138" s="40" t="n">
        <f aca="false">IF(MOD(ROUND(ROUNDDOWN(MIN(AZ138-0.01,AY138-p_StopAtr*Y138),2)*100,0),50)=0,ROUNDDOWN(MIN(AZ138-0.01,AY138-p_StopAtr*Y138),2)-0.01,ROUNDDOWN(MIN(AZ138-0.01,AY138-p_StopAtr*Y138),2))</f>
        <v>19.77</v>
      </c>
      <c r="BB138" s="40" t="n">
        <f aca="false">ROUND(AI138,2)</f>
        <v>22.03</v>
      </c>
      <c r="BC138" s="40" t="n">
        <f aca="false">IF(AY138-BA138&gt;0,(BB138-AY138)/(AY138-BA138),0)</f>
        <v>4.79487179487179</v>
      </c>
      <c r="BD138" s="42" t="n">
        <f aca="false">IF(N138&lt;0,1,0)</f>
        <v>0</v>
      </c>
      <c r="BE138" s="41" t="n">
        <f aca="false">IF(AND(BD138=1,BD137=0),N138,IF(BD138=1,MIN(BE137,N138),BE137))</f>
        <v>-0.0583119972977335</v>
      </c>
      <c r="BF138" s="40" t="n">
        <f aca="false">IF(AND(BD138=1,BD137=0),D138,IF(BD138=1,MIN(BF137,D138),BF137))</f>
        <v>19.27</v>
      </c>
      <c r="BG138" s="42" t="n">
        <f aca="false">IF(AND(BD138=1,BD137=0),ROW(),IF(BD138=1,IF(N138&lt;BE137,ROW(),BG137),BG137))</f>
        <v>124</v>
      </c>
      <c r="BH138" s="41" t="n">
        <f aca="false">IF(AND(BD138=1,BD137=0),BE137,BH137)</f>
        <v>-0.392824838841331</v>
      </c>
      <c r="BI138" s="40" t="n">
        <f aca="false">IF(AND(BD138=1,BD137=0),BF137,BI137)</f>
        <v>20.27</v>
      </c>
      <c r="BJ138" s="42" t="n">
        <f aca="false">IF(AND(BD138=1,BD137=0),BG137,BJ137)</f>
        <v>98</v>
      </c>
      <c r="BK138" s="42" t="n">
        <f aca="false">IF(AND(ISNUMBER(BG138),ISNUMBER(BJ138)),BG138-BJ138,"")</f>
        <v>26</v>
      </c>
      <c r="BL138" s="42" t="n">
        <f aca="false">IF(AND(BD138=1,N138&gt;N137,ISNUMBER(BH138),ISNUMBER(BK138)),IF(AND(BE138&gt;BH138,BF138&lt;BI138,BK138&gt;=p_GapMin,BK138&lt;=p_GapMax),1,0),0)</f>
        <v>0</v>
      </c>
      <c r="BM138" s="42" t="n">
        <f aca="false">IF(AND(BL138=1,E138&gt;BI138),1,0)</f>
        <v>0</v>
      </c>
      <c r="BN138" s="42" t="n">
        <f aca="false">IF(BL138=1,IF(BE138&gt;=BH138*0.5,1,0),0)</f>
        <v>0</v>
      </c>
      <c r="BO138" s="42" t="n">
        <f aca="true">IF(V138&gt;MIN(OFFSET(V138,-MIN(p_FiLb-1,ROW()-5),0,MIN(p_FiLb-1,ROW()-5),1)),1,0)</f>
        <v>1</v>
      </c>
      <c r="BP138" s="44" t="n">
        <f aca="true">IF(COUNTIF(OFFSET(V138,1-MIN(100,ROW()-4),0,MIN(100,ROW()-4),1),"&lt;0")&gt;=5,AVERAGEIF(OFFSET(V138,1-MIN(100,ROW()-4),0,MIN(100,ROW()-4),1),"&lt;0"),"")</f>
        <v>-980691.529401395</v>
      </c>
      <c r="BQ138" s="42" t="n">
        <f aca="false">IF(ISNUMBER(BP138),IF(AND(V138&lt;5*BP138,V138&gt;V137,E138&lt;AJ138),1,0),0)</f>
        <v>0</v>
      </c>
      <c r="BR138" s="44" t="n">
        <f aca="true">AVERAGE(OFFSET(F138,1-MIN(5,ROW()-4),0,MIN(5,ROW()-4),1))</f>
        <v>3292920</v>
      </c>
      <c r="BS138" s="42" t="n">
        <f aca="false">IFERROR(IF(MATCH(G138,周线!$A$5:$A$84,0)&lt;=1,"",INDEX(周线!$R$5:$R$84,MATCH(G138,周线!$A$5:$A$84,0)-1)),"")</f>
        <v>0</v>
      </c>
      <c r="BT138" s="42" t="n">
        <f aca="false">IFERROR(IF(MATCH(G138,周线!$A$5:$A$84,0)&lt;=1,"",INDEX(周线!$S$5:$S$84,MATCH(G138,周线!$A$5:$A$84,0)-1)),"")</f>
        <v>1</v>
      </c>
      <c r="BU138" s="42" t="n">
        <f aca="false">IFERROR(IF(MATCH(G138,周线!$A$5:$A$84,0)&lt;=1,"",INDEX(周线!$U$5:$U$84,MATCH(G138,周线!$A$5:$A$84,0)-1)),"")</f>
        <v>0</v>
      </c>
      <c r="BV138" s="42" t="n">
        <f aca="false">IF(AND(BS138=1,S138&lt;&gt;-1,V138&lt;0,BO138=1,E138&lt;=H138,E138&gt;=AJ138),1,0)</f>
        <v>0</v>
      </c>
      <c r="BW138" s="42" t="n">
        <f aca="false">BL138</f>
        <v>0</v>
      </c>
      <c r="BX138" s="42" t="n">
        <f aca="false">BQ138</f>
        <v>0</v>
      </c>
      <c r="BY138" s="42" t="n">
        <f aca="false">IF(BS138=1,10,0)+IF(BU138=1,5,IF(BU138=-1,0,3))+IF(BT138=1,5,0)+IF(AND(AE138&gt;AF138,AH138&gt;AH137),5,0)</f>
        <v>8</v>
      </c>
      <c r="BZ138" s="42" t="n">
        <f aca="false">IF(AND(E138&lt;=H138,E138&gt;=I138),10,IF(AND(E138&gt;=AJ138,E138&lt;I138),6,0))+IF(AND(V138&lt;0,BO138=1),8,0)+IF(AT138&lt;30,7,IF(AT138&lt;50,3,0))</f>
        <v>8</v>
      </c>
      <c r="CA138" s="42" t="n">
        <f aca="false">IF(AND(BV138=1,BW138=1),25,IF(BW138=1,22,IF(BV138=1,15,IF(BX138=1,12,0))))</f>
        <v>0</v>
      </c>
      <c r="CB138" s="42" t="n">
        <f aca="false">IF(W138&gt;0,6,0)+IF(F138&lt;BR138,4,0)</f>
        <v>10</v>
      </c>
      <c r="CC138" s="42" t="n">
        <f aca="false">IF(BC138&gt;=3,15,IF(BC138&gt;=p_RRmin,10,IF(BC138&gt;=1.5,4,0)))</f>
        <v>15</v>
      </c>
      <c r="CD138" s="42" t="n">
        <f aca="false">BY138+BZ138+CA138+CB138+CC138</f>
        <v>41</v>
      </c>
      <c r="CE138" s="42" t="n">
        <f aca="false">IF(AND(BS138&lt;&gt;1,BW138+BX138=0),1,0)</f>
        <v>1</v>
      </c>
      <c r="CF138" s="42" t="n">
        <f aca="false">IF(BU138=-1,1,0)</f>
        <v>0</v>
      </c>
      <c r="CG138" s="42" t="n">
        <f aca="false">IF(S138=-1,1,0)</f>
        <v>0</v>
      </c>
      <c r="CH138" s="42" t="n">
        <f aca="false">IF(BV138+BW138+BX138=0,1,0)</f>
        <v>1</v>
      </c>
      <c r="CI138" s="42" t="n">
        <f aca="false">IF(BC138&lt;p_RRmin,1,0)</f>
        <v>0</v>
      </c>
      <c r="CJ138" s="46" t="str">
        <f aca="false">IF(SUM(CE138:CI138)=0,IF(CD138&gt;=p_GradeA,"A",IF(CD138&gt;=p_GradeB,"B","C")),IF(AND(CI138=1,SUM(CE138:CH138)=0,CD138&gt;=p_GradeB),"B","C"))</f>
        <v>C</v>
      </c>
    </row>
    <row r="139" customFormat="false" ht="15" hidden="false" customHeight="false" outlineLevel="0" collapsed="false">
      <c r="A139" s="36" t="n">
        <v>45847</v>
      </c>
      <c r="B139" s="37" t="n">
        <v>20.77</v>
      </c>
      <c r="C139" s="37" t="n">
        <v>21.39</v>
      </c>
      <c r="D139" s="37" t="n">
        <v>20.65</v>
      </c>
      <c r="E139" s="37" t="n">
        <v>21.2</v>
      </c>
      <c r="F139" s="38" t="n">
        <v>4044400</v>
      </c>
      <c r="G139" s="39" t="n">
        <f aca="false">A139-WEEKDAY(A139,3)</f>
        <v>45845</v>
      </c>
      <c r="H139" s="40" t="n">
        <f aca="false">2/(p_EmaF+1)*E139+(1-2/(p_EmaF+1))*H138</f>
        <v>20.7542033339195</v>
      </c>
      <c r="I139" s="40" t="n">
        <f aca="false">2/(p_EmaS+1)*E139+(1-2/(p_EmaS+1))*I138</f>
        <v>20.8102856318429</v>
      </c>
      <c r="J139" s="41" t="n">
        <f aca="false">2/(p_MacdF+1)*E139+(1-2/(p_MacdF+1))*J138</f>
        <v>20.772538735863</v>
      </c>
      <c r="K139" s="41" t="n">
        <f aca="false">2/(p_MacdS+1)*E139+(1-2/(p_MacdS+1))*K138</f>
        <v>20.8102856318429</v>
      </c>
      <c r="L139" s="41" t="n">
        <f aca="false">J139-K139</f>
        <v>-0.0377468959798648</v>
      </c>
      <c r="M139" s="41" t="n">
        <f aca="false">2/(p_MacdSig+1)*L139+(1-2/(p_MacdSig+1))*M138</f>
        <v>-0.231533242629785</v>
      </c>
      <c r="N139" s="41" t="n">
        <f aca="false">L139-M139</f>
        <v>0.19378634664992</v>
      </c>
      <c r="O139" s="42" t="n">
        <f aca="false">IF(H139&gt;H138,1,0)</f>
        <v>1</v>
      </c>
      <c r="P139" s="42" t="n">
        <f aca="false">IF(H139&lt;H138,1,0)</f>
        <v>0</v>
      </c>
      <c r="Q139" s="42" t="n">
        <f aca="false">IF(N139&gt;N138,1,0)</f>
        <v>0</v>
      </c>
      <c r="R139" s="42" t="n">
        <f aca="false">IF(N139&lt;N138,1,0)</f>
        <v>1</v>
      </c>
      <c r="S139" s="42" t="n">
        <f aca="false">IF(AND(O139=1,Q139=1),1,IF(AND(P139=1,R139=1),-1,0))</f>
        <v>0</v>
      </c>
      <c r="T139" s="43" t="str">
        <f aca="false">IF(S139=1,"绿",IF(S139=-1,"红","蓝"))</f>
        <v>蓝</v>
      </c>
      <c r="U139" s="44" t="n">
        <f aca="false">F139*(E139-E138)</f>
        <v>930212.000000002</v>
      </c>
      <c r="V139" s="44" t="n">
        <f aca="false">2/(p_FiS+1)*U139+(1-2/(p_FiS+1))*V138</f>
        <v>612312.383987605</v>
      </c>
      <c r="W139" s="44" t="n">
        <f aca="false">2/(p_FiL+1)*U139+(1-2/(p_FiL+1))*W138</f>
        <v>264457.105960391</v>
      </c>
      <c r="X139" s="41" t="n">
        <f aca="false">MAX(C139-D139,ABS(C139-E138),ABS(D139-E138))</f>
        <v>0.740000000000002</v>
      </c>
      <c r="Y139" s="41" t="n">
        <f aca="true">AVERAGE(OFFSET(X139,1-MIN(p_AtrN,ROW()-4),0,MIN(p_AtrN,ROW()-4),1))</f>
        <v>0.416153846153847</v>
      </c>
      <c r="Z139" s="41" t="n">
        <f aca="false">IF(AND(C139-C138&gt;D138-D139,C139-C138&gt;0),C139-C138,0)</f>
        <v>0.289999999999999</v>
      </c>
      <c r="AA139" s="41" t="n">
        <f aca="false">IF(AND(D138-D139&gt;C139-C138,D138-D139&gt;0),D138-D139,0)</f>
        <v>0</v>
      </c>
      <c r="AB139" s="41" t="n">
        <f aca="false">2/(p_AdxN+1)*X139+(1-2/(p_AdxN+1))*AB138</f>
        <v>0.44133915981842</v>
      </c>
      <c r="AC139" s="41" t="n">
        <f aca="false">2/(p_AdxN+1)*Z139+(1-2/(p_AdxN+1))*AC138</f>
        <v>0.118470506728883</v>
      </c>
      <c r="AD139" s="41" t="n">
        <f aca="false">2/(p_AdxN+1)*AA139+(1-2/(p_AdxN+1))*AD138</f>
        <v>0.0418688289497511</v>
      </c>
      <c r="AE139" s="45" t="n">
        <f aca="false">100*AC139/AB139</f>
        <v>26.8434160199212</v>
      </c>
      <c r="AF139" s="45" t="n">
        <f aca="false">100*AD139/AB139</f>
        <v>9.48676953275056</v>
      </c>
      <c r="AG139" s="45" t="n">
        <f aca="false">IFERROR(100*ABS(AE139-AF139)/(AE139+AF139),0)</f>
        <v>47.7747256809543</v>
      </c>
      <c r="AH139" s="45" t="n">
        <f aca="false">2/(p_AdxN+1)*AG139+(1-2/(p_AdxN+1))*AH138</f>
        <v>34.5564405380689</v>
      </c>
      <c r="AI139" s="40" t="n">
        <f aca="false">I139*(1+p_ChPct)</f>
        <v>22.0589027697534</v>
      </c>
      <c r="AJ139" s="40" t="n">
        <f aca="false">I139*(1-p_ChPct)</f>
        <v>19.5616684939323</v>
      </c>
      <c r="AK139" s="40" t="n">
        <f aca="false">I139+1*Y139</f>
        <v>21.2264394779967</v>
      </c>
      <c r="AL139" s="40" t="n">
        <f aca="false">I139+2*Y139</f>
        <v>21.6425933241506</v>
      </c>
      <c r="AM139" s="40" t="n">
        <f aca="false">I139+3*Y139</f>
        <v>22.0587471703044</v>
      </c>
      <c r="AN139" s="40" t="n">
        <f aca="false">I139-1*Y139</f>
        <v>20.394131785689</v>
      </c>
      <c r="AO139" s="40" t="n">
        <f aca="false">I139-2*Y139</f>
        <v>19.9779779395352</v>
      </c>
      <c r="AP139" s="40" t="n">
        <f aca="false">I139-3*Y139</f>
        <v>19.5618240933813</v>
      </c>
      <c r="AQ139" s="40" t="n">
        <f aca="true">MAX(OFFSET(C139,1-MIN(p_StochN,ROW()-4),0,MIN(p_StochN,ROW()-4),1))</f>
        <v>21.39</v>
      </c>
      <c r="AR139" s="40" t="n">
        <f aca="true">MIN(OFFSET(D139,1-MIN(p_StochN,ROW()-4),0,MIN(p_StochN,ROW()-4),1))</f>
        <v>20.65</v>
      </c>
      <c r="AS139" s="45" t="n">
        <f aca="false">IF(AQ139=AR139,50,100*(E139-AR139)/(AQ139-AR139))</f>
        <v>74.3243243243242</v>
      </c>
      <c r="AT139" s="45" t="n">
        <f aca="true">AVERAGE(OFFSET(AS139,1-MIN(p_StochSm,ROW()-4),0,MIN(p_StochSm,ROW()-4),1))</f>
        <v>64.2627922039686</v>
      </c>
      <c r="AU139" s="45" t="n">
        <f aca="true">AVERAGE(OFFSET(AT139,1-MIN(p_StochSm,ROW()-4),0,MIN(p_StochSm,ROW()-4),1))</f>
        <v>69.6970059265602</v>
      </c>
      <c r="AV139" s="41" t="n">
        <f aca="false">MAX(0,H139-D139)</f>
        <v>0.104203333919507</v>
      </c>
      <c r="AW139" s="41" t="n">
        <f aca="true">IF(COUNTIF(OFFSET(AV139,1-MIN(p_PenLb,ROW()-4),0,MIN(p_PenLb,ROW()-4),1),"&gt;0")&gt;0,SUM(OFFSET(AV139,1-MIN(p_PenLb,ROW()-4),0,MIN(p_PenLb,ROW()-4),1))/COUNTIF(OFFSET(AV139,1-MIN(p_PenLb,ROW()-4),0,MIN(p_PenLb,ROW()-4),1),"&gt;0"),0.5*Y139)</f>
        <v>0.547845960083051</v>
      </c>
      <c r="AX139" s="41" t="n">
        <f aca="false">2*H139-H138</f>
        <v>20.8285027782663</v>
      </c>
      <c r="AY139" s="40" t="n">
        <f aca="false">ROUND(MAX(AX139-AW139,0.01),2)</f>
        <v>20.28</v>
      </c>
      <c r="AZ139" s="40" t="n">
        <f aca="true">IF(MIN(p_StopLb,ROW()-4)&lt;2,D139,SMALL(OFFSET(D139,1-MIN(p_StopLb,ROW()-4),0,MIN(p_StopLb,ROW()-4),1),2))</f>
        <v>20.14</v>
      </c>
      <c r="BA139" s="40" t="n">
        <f aca="false">IF(MOD(ROUND(ROUNDDOWN(MIN(AZ139-0.01,AY139-p_StopAtr*Y139),2)*100,0),50)=0,ROUNDDOWN(MIN(AZ139-0.01,AY139-p_StopAtr*Y139),2)-0.01,ROUNDDOWN(MIN(AZ139-0.01,AY139-p_StopAtr*Y139),2))</f>
        <v>19.86</v>
      </c>
      <c r="BB139" s="40" t="n">
        <f aca="false">ROUND(AI139,2)</f>
        <v>22.06</v>
      </c>
      <c r="BC139" s="40" t="n">
        <f aca="false">IF(AY139-BA139&gt;0,(BB139-AY139)/(AY139-BA139),0)</f>
        <v>4.23809523809522</v>
      </c>
      <c r="BD139" s="42" t="n">
        <f aca="false">IF(N139&lt;0,1,0)</f>
        <v>0</v>
      </c>
      <c r="BE139" s="41" t="n">
        <f aca="false">IF(AND(BD139=1,BD138=0),N139,IF(BD139=1,MIN(BE138,N139),BE138))</f>
        <v>-0.0583119972977335</v>
      </c>
      <c r="BF139" s="40" t="n">
        <f aca="false">IF(AND(BD139=1,BD138=0),D139,IF(BD139=1,MIN(BF138,D139),BF138))</f>
        <v>19.27</v>
      </c>
      <c r="BG139" s="42" t="n">
        <f aca="false">IF(AND(BD139=1,BD138=0),ROW(),IF(BD139=1,IF(N139&lt;BE138,ROW(),BG138),BG138))</f>
        <v>124</v>
      </c>
      <c r="BH139" s="41" t="n">
        <f aca="false">IF(AND(BD139=1,BD138=0),BE138,BH138)</f>
        <v>-0.392824838841331</v>
      </c>
      <c r="BI139" s="40" t="n">
        <f aca="false">IF(AND(BD139=1,BD138=0),BF138,BI138)</f>
        <v>20.27</v>
      </c>
      <c r="BJ139" s="42" t="n">
        <f aca="false">IF(AND(BD139=1,BD138=0),BG138,BJ138)</f>
        <v>98</v>
      </c>
      <c r="BK139" s="42" t="n">
        <f aca="false">IF(AND(ISNUMBER(BG139),ISNUMBER(BJ139)),BG139-BJ139,"")</f>
        <v>26</v>
      </c>
      <c r="BL139" s="42" t="n">
        <f aca="false">IF(AND(BD139=1,N139&gt;N138,ISNUMBER(BH139),ISNUMBER(BK139)),IF(AND(BE139&gt;BH139,BF139&lt;BI139,BK139&gt;=p_GapMin,BK139&lt;=p_GapMax),1,0),0)</f>
        <v>0</v>
      </c>
      <c r="BM139" s="42" t="n">
        <f aca="false">IF(AND(BL139=1,E139&gt;BI139),1,0)</f>
        <v>0</v>
      </c>
      <c r="BN139" s="42" t="n">
        <f aca="false">IF(BL139=1,IF(BE139&gt;=BH139*0.5,1,0),0)</f>
        <v>0</v>
      </c>
      <c r="BO139" s="42" t="n">
        <f aca="true">IF(V139&gt;MIN(OFFSET(V139,-MIN(p_FiLb-1,ROW()-5),0,MIN(p_FiLb-1,ROW()-5),1)),1,0)</f>
        <v>1</v>
      </c>
      <c r="BP139" s="44" t="n">
        <f aca="true">IF(COUNTIF(OFFSET(V139,1-MIN(100,ROW()-4),0,MIN(100,ROW()-4),1),"&lt;0")&gt;=5,AVERAGEIF(OFFSET(V139,1-MIN(100,ROW()-4),0,MIN(100,ROW()-4),1),"&lt;0"),"")</f>
        <v>-996900.808631224</v>
      </c>
      <c r="BQ139" s="42" t="n">
        <f aca="false">IF(ISNUMBER(BP139),IF(AND(V139&lt;5*BP139,V139&gt;V138,E139&lt;AJ139),1,0),0)</f>
        <v>0</v>
      </c>
      <c r="BR139" s="44" t="n">
        <f aca="true">AVERAGE(OFFSET(F139,1-MIN(5,ROW()-4),0,MIN(5,ROW()-4),1))</f>
        <v>3435660</v>
      </c>
      <c r="BS139" s="42" t="n">
        <f aca="false">IFERROR(IF(MATCH(G139,周线!$A$5:$A$84,0)&lt;=1,"",INDEX(周线!$R$5:$R$84,MATCH(G139,周线!$A$5:$A$84,0)-1)),"")</f>
        <v>0</v>
      </c>
      <c r="BT139" s="42" t="n">
        <f aca="false">IFERROR(IF(MATCH(G139,周线!$A$5:$A$84,0)&lt;=1,"",INDEX(周线!$S$5:$S$84,MATCH(G139,周线!$A$5:$A$84,0)-1)),"")</f>
        <v>1</v>
      </c>
      <c r="BU139" s="42" t="n">
        <f aca="false">IFERROR(IF(MATCH(G139,周线!$A$5:$A$84,0)&lt;=1,"",INDEX(周线!$U$5:$U$84,MATCH(G139,周线!$A$5:$A$84,0)-1)),"")</f>
        <v>0</v>
      </c>
      <c r="BV139" s="42" t="n">
        <f aca="false">IF(AND(BS139=1,S139&lt;&gt;-1,V139&lt;0,BO139=1,E139&lt;=H139,E139&gt;=AJ139),1,0)</f>
        <v>0</v>
      </c>
      <c r="BW139" s="42" t="n">
        <f aca="false">BL139</f>
        <v>0</v>
      </c>
      <c r="BX139" s="42" t="n">
        <f aca="false">BQ139</f>
        <v>0</v>
      </c>
      <c r="BY139" s="42" t="n">
        <f aca="false">IF(BS139=1,10,0)+IF(BU139=1,5,IF(BU139=-1,0,3))+IF(BT139=1,5,0)+IF(AND(AE139&gt;AF139,AH139&gt;AH138),5,0)</f>
        <v>13</v>
      </c>
      <c r="BZ139" s="42" t="n">
        <f aca="false">IF(AND(E139&lt;=H139,E139&gt;=I139),10,IF(AND(E139&gt;=AJ139,E139&lt;I139),6,0))+IF(AND(V139&lt;0,BO139=1),8,0)+IF(AT139&lt;30,7,IF(AT139&lt;50,3,0))</f>
        <v>0</v>
      </c>
      <c r="CA139" s="42" t="n">
        <f aca="false">IF(AND(BV139=1,BW139=1),25,IF(BW139=1,22,IF(BV139=1,15,IF(BX139=1,12,0))))</f>
        <v>0</v>
      </c>
      <c r="CB139" s="42" t="n">
        <f aca="false">IF(W139&gt;0,6,0)+IF(F139&lt;BR139,4,0)</f>
        <v>6</v>
      </c>
      <c r="CC139" s="42" t="n">
        <f aca="false">IF(BC139&gt;=3,15,IF(BC139&gt;=p_RRmin,10,IF(BC139&gt;=1.5,4,0)))</f>
        <v>15</v>
      </c>
      <c r="CD139" s="42" t="n">
        <f aca="false">BY139+BZ139+CA139+CB139+CC139</f>
        <v>34</v>
      </c>
      <c r="CE139" s="42" t="n">
        <f aca="false">IF(AND(BS139&lt;&gt;1,BW139+BX139=0),1,0)</f>
        <v>1</v>
      </c>
      <c r="CF139" s="42" t="n">
        <f aca="false">IF(BU139=-1,1,0)</f>
        <v>0</v>
      </c>
      <c r="CG139" s="42" t="n">
        <f aca="false">IF(S139=-1,1,0)</f>
        <v>0</v>
      </c>
      <c r="CH139" s="42" t="n">
        <f aca="false">IF(BV139+BW139+BX139=0,1,0)</f>
        <v>1</v>
      </c>
      <c r="CI139" s="42" t="n">
        <f aca="false">IF(BC139&lt;p_RRmin,1,0)</f>
        <v>0</v>
      </c>
      <c r="CJ139" s="46" t="str">
        <f aca="false">IF(SUM(CE139:CI139)=0,IF(CD139&gt;=p_GradeA,"A",IF(CD139&gt;=p_GradeB,"B","C")),IF(AND(CI139=1,SUM(CE139:CH139)=0,CD139&gt;=p_GradeB),"B","C"))</f>
        <v>C</v>
      </c>
    </row>
    <row r="140" customFormat="false" ht="15" hidden="false" customHeight="false" outlineLevel="0" collapsed="false">
      <c r="A140" s="36" t="n">
        <v>45848</v>
      </c>
      <c r="B140" s="37" t="n">
        <v>21.13</v>
      </c>
      <c r="C140" s="37" t="n">
        <v>21.5</v>
      </c>
      <c r="D140" s="37" t="n">
        <v>20.91</v>
      </c>
      <c r="E140" s="37" t="n">
        <v>21.24</v>
      </c>
      <c r="F140" s="38" t="n">
        <v>2618600</v>
      </c>
      <c r="G140" s="39" t="n">
        <f aca="false">A140-WEEKDAY(A140,3)</f>
        <v>45845</v>
      </c>
      <c r="H140" s="40" t="n">
        <f aca="false">2/(p_EmaF+1)*E140+(1-2/(p_EmaF+1))*H139</f>
        <v>20.8236028576453</v>
      </c>
      <c r="I140" s="40" t="n">
        <f aca="false">2/(p_EmaS+1)*E140+(1-2/(p_EmaS+1))*I139</f>
        <v>20.8421163257804</v>
      </c>
      <c r="J140" s="41" t="n">
        <f aca="false">2/(p_MacdF+1)*E140+(1-2/(p_MacdF+1))*J139</f>
        <v>20.8444558534225</v>
      </c>
      <c r="K140" s="41" t="n">
        <f aca="false">2/(p_MacdS+1)*E140+(1-2/(p_MacdS+1))*K139</f>
        <v>20.8421163257804</v>
      </c>
      <c r="L140" s="41" t="n">
        <f aca="false">J140-K140</f>
        <v>0.00233952764210699</v>
      </c>
      <c r="M140" s="41" t="n">
        <f aca="false">2/(p_MacdSig+1)*L140+(1-2/(p_MacdSig+1))*M139</f>
        <v>-0.184758688575406</v>
      </c>
      <c r="N140" s="41" t="n">
        <f aca="false">L140-M140</f>
        <v>0.187098216217513</v>
      </c>
      <c r="O140" s="42" t="n">
        <f aca="false">IF(H140&gt;H139,1,0)</f>
        <v>1</v>
      </c>
      <c r="P140" s="42" t="n">
        <f aca="false">IF(H140&lt;H139,1,0)</f>
        <v>0</v>
      </c>
      <c r="Q140" s="42" t="n">
        <f aca="false">IF(N140&gt;N139,1,0)</f>
        <v>0</v>
      </c>
      <c r="R140" s="42" t="n">
        <f aca="false">IF(N140&lt;N139,1,0)</f>
        <v>1</v>
      </c>
      <c r="S140" s="42" t="n">
        <f aca="false">IF(AND(O140=1,Q140=1),1,IF(AND(P140=1,R140=1),-1,0))</f>
        <v>0</v>
      </c>
      <c r="T140" s="43" t="str">
        <f aca="false">IF(S140=1,"绿",IF(S140=-1,"红","蓝"))</f>
        <v>蓝</v>
      </c>
      <c r="U140" s="44" t="n">
        <f aca="false">F140*(E140-E139)</f>
        <v>104743.999999998</v>
      </c>
      <c r="V140" s="44" t="n">
        <f aca="false">2/(p_FiS+1)*U140+(1-2/(p_FiS+1))*V139</f>
        <v>273933.4613292</v>
      </c>
      <c r="W140" s="44" t="n">
        <f aca="false">2/(p_FiL+1)*U140+(1-2/(p_FiL+1))*W139</f>
        <v>241640.947966049</v>
      </c>
      <c r="X140" s="41" t="n">
        <f aca="false">MAX(C140-D140,ABS(C140-E139),ABS(D140-E139))</f>
        <v>0.59</v>
      </c>
      <c r="Y140" s="41" t="n">
        <f aca="true">AVERAGE(OFFSET(X140,1-MIN(p_AtrN,ROW()-4),0,MIN(p_AtrN,ROW()-4),1))</f>
        <v>0.443076923076924</v>
      </c>
      <c r="Z140" s="41" t="n">
        <f aca="false">IF(AND(C140-C139&gt;D139-D140,C140-C139&gt;0),C140-C139,0)</f>
        <v>0.109999999999999</v>
      </c>
      <c r="AA140" s="41" t="n">
        <f aca="false">IF(AND(D139-D140&gt;C140-C139,D139-D140&gt;0),D139-D140,0)</f>
        <v>0</v>
      </c>
      <c r="AB140" s="41" t="n">
        <f aca="false">2/(p_AdxN+1)*X140+(1-2/(p_AdxN+1))*AB139</f>
        <v>0.462576422701503</v>
      </c>
      <c r="AC140" s="41" t="n">
        <f aca="false">2/(p_AdxN+1)*Z140+(1-2/(p_AdxN+1))*AC139</f>
        <v>0.117260434339043</v>
      </c>
      <c r="AD140" s="41" t="n">
        <f aca="false">2/(p_AdxN+1)*AA140+(1-2/(p_AdxN+1))*AD139</f>
        <v>0.0358875676712153</v>
      </c>
      <c r="AE140" s="45" t="n">
        <f aca="false">100*AC140/AB140</f>
        <v>25.3494187304721</v>
      </c>
      <c r="AF140" s="45" t="n">
        <f aca="false">100*AD140/AB140</f>
        <v>7.7581921407986</v>
      </c>
      <c r="AG140" s="45" t="n">
        <f aca="false">IFERROR(100*ABS(AE140-AF140)/(AE140+AF140),0)</f>
        <v>53.1334823828632</v>
      </c>
      <c r="AH140" s="45" t="n">
        <f aca="false">2/(p_AdxN+1)*AG140+(1-2/(p_AdxN+1))*AH139</f>
        <v>37.2103036587538</v>
      </c>
      <c r="AI140" s="40" t="n">
        <f aca="false">I140*(1+p_ChPct)</f>
        <v>22.0926433053273</v>
      </c>
      <c r="AJ140" s="40" t="n">
        <f aca="false">I140*(1-p_ChPct)</f>
        <v>19.5915893462336</v>
      </c>
      <c r="AK140" s="40" t="n">
        <f aca="false">I140+1*Y140</f>
        <v>21.2851932488574</v>
      </c>
      <c r="AL140" s="40" t="n">
        <f aca="false">I140+2*Y140</f>
        <v>21.7282701719343</v>
      </c>
      <c r="AM140" s="40" t="n">
        <f aca="false">I140+3*Y140</f>
        <v>22.1713470950112</v>
      </c>
      <c r="AN140" s="40" t="n">
        <f aca="false">I140-1*Y140</f>
        <v>20.3990394027035</v>
      </c>
      <c r="AO140" s="40" t="n">
        <f aca="false">I140-2*Y140</f>
        <v>19.9559624796266</v>
      </c>
      <c r="AP140" s="40" t="n">
        <f aca="false">I140-3*Y140</f>
        <v>19.5128855565497</v>
      </c>
      <c r="AQ140" s="40" t="n">
        <f aca="true">MAX(OFFSET(C140,1-MIN(p_StochN,ROW()-4),0,MIN(p_StochN,ROW()-4),1))</f>
        <v>21.5</v>
      </c>
      <c r="AR140" s="40" t="n">
        <f aca="true">MIN(OFFSET(D140,1-MIN(p_StochN,ROW()-4),0,MIN(p_StochN,ROW()-4),1))</f>
        <v>20.65</v>
      </c>
      <c r="AS140" s="45" t="n">
        <f aca="false">IF(AQ140=AR140,50,100*(E140-AR140)/(AQ140-AR140))</f>
        <v>69.4117647058822</v>
      </c>
      <c r="AT140" s="45" t="n">
        <f aca="true">AVERAGE(OFFSET(AS140,1-MIN(p_StochSm,ROW()-4),0,MIN(p_StochSm,ROW()-4),1))</f>
        <v>64.2518989577812</v>
      </c>
      <c r="AU140" s="45" t="n">
        <f aca="true">AVERAGE(OFFSET(AT140,1-MIN(p_StochSm,ROW()-4),0,MIN(p_StochSm,ROW()-4),1))</f>
        <v>64.5577355584116</v>
      </c>
      <c r="AV140" s="41" t="n">
        <f aca="false">MAX(0,H140-D140)</f>
        <v>0</v>
      </c>
      <c r="AW140" s="41" t="n">
        <f aca="true">IF(COUNTIF(OFFSET(AV140,1-MIN(p_PenLb,ROW()-4),0,MIN(p_PenLb,ROW()-4),1),"&gt;0")&gt;0,SUM(OFFSET(AV140,1-MIN(p_PenLb,ROW()-4),0,MIN(p_PenLb,ROW()-4),1))/COUNTIF(OFFSET(AV140,1-MIN(p_PenLb,ROW()-4),0,MIN(p_PenLb,ROW()-4),1),"&gt;0"),0.5*Y140)</f>
        <v>0.548594647927251</v>
      </c>
      <c r="AX140" s="41" t="n">
        <f aca="false">2*H140-H139</f>
        <v>20.8930023813711</v>
      </c>
      <c r="AY140" s="40" t="n">
        <f aca="false">ROUND(MAX(AX140-AW140,0.01),2)</f>
        <v>20.34</v>
      </c>
      <c r="AZ140" s="40" t="n">
        <f aca="true">IF(MIN(p_StopLb,ROW()-4)&lt;2,D140,SMALL(OFFSET(D140,1-MIN(p_StopLb,ROW()-4),0,MIN(p_StopLb,ROW()-4),1),2))</f>
        <v>20.21</v>
      </c>
      <c r="BA140" s="40" t="n">
        <f aca="false">IF(MOD(ROUND(ROUNDDOWN(MIN(AZ140-0.01,AY140-p_StopAtr*Y140),2)*100,0),50)=0,ROUNDDOWN(MIN(AZ140-0.01,AY140-p_StopAtr*Y140),2)-0.01,ROUNDDOWN(MIN(AZ140-0.01,AY140-p_StopAtr*Y140),2))</f>
        <v>19.89</v>
      </c>
      <c r="BB140" s="40" t="n">
        <f aca="false">ROUND(AI140,2)</f>
        <v>22.09</v>
      </c>
      <c r="BC140" s="40" t="n">
        <f aca="false">IF(AY140-BA140&gt;0,(BB140-AY140)/(AY140-BA140),0)</f>
        <v>3.8888888888889</v>
      </c>
      <c r="BD140" s="42" t="n">
        <f aca="false">IF(N140&lt;0,1,0)</f>
        <v>0</v>
      </c>
      <c r="BE140" s="41" t="n">
        <f aca="false">IF(AND(BD140=1,BD139=0),N140,IF(BD140=1,MIN(BE139,N140),BE139))</f>
        <v>-0.0583119972977335</v>
      </c>
      <c r="BF140" s="40" t="n">
        <f aca="false">IF(AND(BD140=1,BD139=0),D140,IF(BD140=1,MIN(BF139,D140),BF139))</f>
        <v>19.27</v>
      </c>
      <c r="BG140" s="42" t="n">
        <f aca="false">IF(AND(BD140=1,BD139=0),ROW(),IF(BD140=1,IF(N140&lt;BE139,ROW(),BG139),BG139))</f>
        <v>124</v>
      </c>
      <c r="BH140" s="41" t="n">
        <f aca="false">IF(AND(BD140=1,BD139=0),BE139,BH139)</f>
        <v>-0.392824838841331</v>
      </c>
      <c r="BI140" s="40" t="n">
        <f aca="false">IF(AND(BD140=1,BD139=0),BF139,BI139)</f>
        <v>20.27</v>
      </c>
      <c r="BJ140" s="42" t="n">
        <f aca="false">IF(AND(BD140=1,BD139=0),BG139,BJ139)</f>
        <v>98</v>
      </c>
      <c r="BK140" s="42" t="n">
        <f aca="false">IF(AND(ISNUMBER(BG140),ISNUMBER(BJ140)),BG140-BJ140,"")</f>
        <v>26</v>
      </c>
      <c r="BL140" s="42" t="n">
        <f aca="false">IF(AND(BD140=1,N140&gt;N139,ISNUMBER(BH140),ISNUMBER(BK140)),IF(AND(BE140&gt;BH140,BF140&lt;BI140,BK140&gt;=p_GapMin,BK140&lt;=p_GapMax),1,0),0)</f>
        <v>0</v>
      </c>
      <c r="BM140" s="42" t="n">
        <f aca="false">IF(AND(BL140=1,E140&gt;BI140),1,0)</f>
        <v>0</v>
      </c>
      <c r="BN140" s="42" t="n">
        <f aca="false">IF(BL140=1,IF(BE140&gt;=BH140*0.5,1,0),0)</f>
        <v>0</v>
      </c>
      <c r="BO140" s="42" t="n">
        <f aca="true">IF(V140&gt;MIN(OFFSET(V140,-MIN(p_FiLb-1,ROW()-5),0,MIN(p_FiLb-1,ROW()-5),1)),1,0)</f>
        <v>1</v>
      </c>
      <c r="BP140" s="44" t="n">
        <f aca="true">IF(COUNTIF(OFFSET(V140,1-MIN(100,ROW()-4),0,MIN(100,ROW()-4),1),"&lt;0")&gt;=5,AVERAGEIF(OFFSET(V140,1-MIN(100,ROW()-4),0,MIN(100,ROW()-4),1),"&lt;0"),"")</f>
        <v>-996900.808631224</v>
      </c>
      <c r="BQ140" s="42" t="n">
        <f aca="false">IF(ISNUMBER(BP140),IF(AND(V140&lt;5*BP140,V140&gt;V139,E140&lt;AJ140),1,0),0)</f>
        <v>0</v>
      </c>
      <c r="BR140" s="44" t="n">
        <f aca="true">AVERAGE(OFFSET(F140,1-MIN(5,ROW()-4),0,MIN(5,ROW()-4),1))</f>
        <v>3341460</v>
      </c>
      <c r="BS140" s="42" t="n">
        <f aca="false">IFERROR(IF(MATCH(G140,周线!$A$5:$A$84,0)&lt;=1,"",INDEX(周线!$R$5:$R$84,MATCH(G140,周线!$A$5:$A$84,0)-1)),"")</f>
        <v>0</v>
      </c>
      <c r="BT140" s="42" t="n">
        <f aca="false">IFERROR(IF(MATCH(G140,周线!$A$5:$A$84,0)&lt;=1,"",INDEX(周线!$S$5:$S$84,MATCH(G140,周线!$A$5:$A$84,0)-1)),"")</f>
        <v>1</v>
      </c>
      <c r="BU140" s="42" t="n">
        <f aca="false">IFERROR(IF(MATCH(G140,周线!$A$5:$A$84,0)&lt;=1,"",INDEX(周线!$U$5:$U$84,MATCH(G140,周线!$A$5:$A$84,0)-1)),"")</f>
        <v>0</v>
      </c>
      <c r="BV140" s="42" t="n">
        <f aca="false">IF(AND(BS140=1,S140&lt;&gt;-1,V140&lt;0,BO140=1,E140&lt;=H140,E140&gt;=AJ140),1,0)</f>
        <v>0</v>
      </c>
      <c r="BW140" s="42" t="n">
        <f aca="false">BL140</f>
        <v>0</v>
      </c>
      <c r="BX140" s="42" t="n">
        <f aca="false">BQ140</f>
        <v>0</v>
      </c>
      <c r="BY140" s="42" t="n">
        <f aca="false">IF(BS140=1,10,0)+IF(BU140=1,5,IF(BU140=-1,0,3))+IF(BT140=1,5,0)+IF(AND(AE140&gt;AF140,AH140&gt;AH139),5,0)</f>
        <v>13</v>
      </c>
      <c r="BZ140" s="42" t="n">
        <f aca="false">IF(AND(E140&lt;=H140,E140&gt;=I140),10,IF(AND(E140&gt;=AJ140,E140&lt;I140),6,0))+IF(AND(V140&lt;0,BO140=1),8,0)+IF(AT140&lt;30,7,IF(AT140&lt;50,3,0))</f>
        <v>0</v>
      </c>
      <c r="CA140" s="42" t="n">
        <f aca="false">IF(AND(BV140=1,BW140=1),25,IF(BW140=1,22,IF(BV140=1,15,IF(BX140=1,12,0))))</f>
        <v>0</v>
      </c>
      <c r="CB140" s="42" t="n">
        <f aca="false">IF(W140&gt;0,6,0)+IF(F140&lt;BR140,4,0)</f>
        <v>10</v>
      </c>
      <c r="CC140" s="42" t="n">
        <f aca="false">IF(BC140&gt;=3,15,IF(BC140&gt;=p_RRmin,10,IF(BC140&gt;=1.5,4,0)))</f>
        <v>15</v>
      </c>
      <c r="CD140" s="42" t="n">
        <f aca="false">BY140+BZ140+CA140+CB140+CC140</f>
        <v>38</v>
      </c>
      <c r="CE140" s="42" t="n">
        <f aca="false">IF(AND(BS140&lt;&gt;1,BW140+BX140=0),1,0)</f>
        <v>1</v>
      </c>
      <c r="CF140" s="42" t="n">
        <f aca="false">IF(BU140=-1,1,0)</f>
        <v>0</v>
      </c>
      <c r="CG140" s="42" t="n">
        <f aca="false">IF(S140=-1,1,0)</f>
        <v>0</v>
      </c>
      <c r="CH140" s="42" t="n">
        <f aca="false">IF(BV140+BW140+BX140=0,1,0)</f>
        <v>1</v>
      </c>
      <c r="CI140" s="42" t="n">
        <f aca="false">IF(BC140&lt;p_RRmin,1,0)</f>
        <v>0</v>
      </c>
      <c r="CJ140" s="46" t="str">
        <f aca="false">IF(SUM(CE140:CI140)=0,IF(CD140&gt;=p_GradeA,"A",IF(CD140&gt;=p_GradeB,"B","C")),IF(AND(CI140=1,SUM(CE140:CH140)=0,CD140&gt;=p_GradeB),"B","C"))</f>
        <v>C</v>
      </c>
    </row>
    <row r="141" customFormat="false" ht="15" hidden="false" customHeight="false" outlineLevel="0" collapsed="false">
      <c r="A141" s="36" t="n">
        <v>45849</v>
      </c>
      <c r="B141" s="37" t="n">
        <v>21.07</v>
      </c>
      <c r="C141" s="37" t="n">
        <v>21.22</v>
      </c>
      <c r="D141" s="37" t="n">
        <v>21.03</v>
      </c>
      <c r="E141" s="37" t="n">
        <v>21.13</v>
      </c>
      <c r="F141" s="38" t="n">
        <v>3107200</v>
      </c>
      <c r="G141" s="39" t="n">
        <f aca="false">A141-WEEKDAY(A141,3)</f>
        <v>45845</v>
      </c>
      <c r="H141" s="40" t="n">
        <f aca="false">2/(p_EmaF+1)*E141+(1-2/(p_EmaF+1))*H140</f>
        <v>20.8673738779817</v>
      </c>
      <c r="I141" s="40" t="n">
        <f aca="false">2/(p_EmaS+1)*E141+(1-2/(p_EmaS+1))*I140</f>
        <v>20.8634410423893</v>
      </c>
      <c r="J141" s="41" t="n">
        <f aca="false">2/(p_MacdF+1)*E141+(1-2/(p_MacdF+1))*J140</f>
        <v>20.8883857221268</v>
      </c>
      <c r="K141" s="41" t="n">
        <f aca="false">2/(p_MacdS+1)*E141+(1-2/(p_MacdS+1))*K140</f>
        <v>20.8634410423893</v>
      </c>
      <c r="L141" s="41" t="n">
        <f aca="false">J141-K141</f>
        <v>0.0249446797374731</v>
      </c>
      <c r="M141" s="41" t="n">
        <f aca="false">2/(p_MacdSig+1)*L141+(1-2/(p_MacdSig+1))*M140</f>
        <v>-0.14281801491283</v>
      </c>
      <c r="N141" s="41" t="n">
        <f aca="false">L141-M141</f>
        <v>0.167762694650303</v>
      </c>
      <c r="O141" s="42" t="n">
        <f aca="false">IF(H141&gt;H140,1,0)</f>
        <v>1</v>
      </c>
      <c r="P141" s="42" t="n">
        <f aca="false">IF(H141&lt;H140,1,0)</f>
        <v>0</v>
      </c>
      <c r="Q141" s="42" t="n">
        <f aca="false">IF(N141&gt;N140,1,0)</f>
        <v>0</v>
      </c>
      <c r="R141" s="42" t="n">
        <f aca="false">IF(N141&lt;N140,1,0)</f>
        <v>1</v>
      </c>
      <c r="S141" s="42" t="n">
        <f aca="false">IF(AND(O141=1,Q141=1),1,IF(AND(P141=1,R141=1),-1,0))</f>
        <v>0</v>
      </c>
      <c r="T141" s="43" t="str">
        <f aca="false">IF(S141=1,"绿",IF(S141=-1,"红","蓝"))</f>
        <v>蓝</v>
      </c>
      <c r="U141" s="44" t="n">
        <f aca="false">F141*(E141-E140)</f>
        <v>-341791.999999998</v>
      </c>
      <c r="V141" s="44" t="n">
        <f aca="false">2/(p_FiS+1)*U141+(1-2/(p_FiS+1))*V140</f>
        <v>-136550.179556932</v>
      </c>
      <c r="W141" s="44" t="n">
        <f aca="false">2/(p_FiL+1)*U141+(1-2/(p_FiL+1))*W140</f>
        <v>158293.383970899</v>
      </c>
      <c r="X141" s="41" t="n">
        <f aca="false">MAX(C141-D141,ABS(C141-E140),ABS(D141-E140))</f>
        <v>0.209999999999997</v>
      </c>
      <c r="Y141" s="41" t="n">
        <f aca="true">AVERAGE(OFFSET(X141,1-MIN(p_AtrN,ROW()-4),0,MIN(p_AtrN,ROW()-4),1))</f>
        <v>0.433846153846154</v>
      </c>
      <c r="Z141" s="41" t="n">
        <f aca="false">IF(AND(C141-C140&gt;D140-D141,C141-C140&gt;0),C141-C140,0)</f>
        <v>0</v>
      </c>
      <c r="AA141" s="41" t="n">
        <f aca="false">IF(AND(D140-D141&gt;C141-C140,D140-D141&gt;0),D140-D141,0)</f>
        <v>0</v>
      </c>
      <c r="AB141" s="41" t="n">
        <f aca="false">2/(p_AdxN+1)*X141+(1-2/(p_AdxN+1))*AB140</f>
        <v>0.426494076601288</v>
      </c>
      <c r="AC141" s="41" t="n">
        <f aca="false">2/(p_AdxN+1)*Z141+(1-2/(p_AdxN+1))*AC140</f>
        <v>0.100508943719179</v>
      </c>
      <c r="AD141" s="41" t="n">
        <f aca="false">2/(p_AdxN+1)*AA141+(1-2/(p_AdxN+1))*AD140</f>
        <v>0.0307607722896131</v>
      </c>
      <c r="AE141" s="45" t="n">
        <f aca="false">100*AC141/AB141</f>
        <v>23.5663164469084</v>
      </c>
      <c r="AF141" s="45" t="n">
        <f aca="false">100*AD141/AB141</f>
        <v>7.21247350836483</v>
      </c>
      <c r="AG141" s="45" t="n">
        <f aca="false">IFERROR(100*ABS(AE141-AF141)/(AE141+AF141),0)</f>
        <v>53.1334823828632</v>
      </c>
      <c r="AH141" s="45" t="n">
        <f aca="false">2/(p_AdxN+1)*AG141+(1-2/(p_AdxN+1))*AH140</f>
        <v>39.4850434764837</v>
      </c>
      <c r="AI141" s="40" t="n">
        <f aca="false">I141*(1+p_ChPct)</f>
        <v>22.1152475049326</v>
      </c>
      <c r="AJ141" s="40" t="n">
        <f aca="false">I141*(1-p_ChPct)</f>
        <v>19.6116345798459</v>
      </c>
      <c r="AK141" s="40" t="n">
        <f aca="false">I141+1*Y141</f>
        <v>21.2972871962354</v>
      </c>
      <c r="AL141" s="40" t="n">
        <f aca="false">I141+2*Y141</f>
        <v>21.7311333500816</v>
      </c>
      <c r="AM141" s="40" t="n">
        <f aca="false">I141+3*Y141</f>
        <v>22.1649795039278</v>
      </c>
      <c r="AN141" s="40" t="n">
        <f aca="false">I141-1*Y141</f>
        <v>20.4295948885431</v>
      </c>
      <c r="AO141" s="40" t="n">
        <f aca="false">I141-2*Y141</f>
        <v>19.995748734697</v>
      </c>
      <c r="AP141" s="40" t="n">
        <f aca="false">I141-3*Y141</f>
        <v>19.5619025808508</v>
      </c>
      <c r="AQ141" s="40" t="n">
        <f aca="true">MAX(OFFSET(C141,1-MIN(p_StochN,ROW()-4),0,MIN(p_StochN,ROW()-4),1))</f>
        <v>21.5</v>
      </c>
      <c r="AR141" s="40" t="n">
        <f aca="true">MIN(OFFSET(D141,1-MIN(p_StochN,ROW()-4),0,MIN(p_StochN,ROW()-4),1))</f>
        <v>20.65</v>
      </c>
      <c r="AS141" s="45" t="n">
        <f aca="false">IF(AQ141=AR141,50,100*(E141-AR141)/(AQ141-AR141))</f>
        <v>56.4705882352941</v>
      </c>
      <c r="AT141" s="45" t="n">
        <f aca="true">AVERAGE(OFFSET(AS141,1-MIN(p_StochSm,ROW()-4),0,MIN(p_StochSm,ROW()-4),1))</f>
        <v>66.7355590885002</v>
      </c>
      <c r="AU141" s="45" t="n">
        <f aca="true">AVERAGE(OFFSET(AT141,1-MIN(p_StochSm,ROW()-4),0,MIN(p_StochSm,ROW()-4),1))</f>
        <v>65.0834167500833</v>
      </c>
      <c r="AV141" s="41" t="n">
        <f aca="false">MAX(0,H141-D141)</f>
        <v>0</v>
      </c>
      <c r="AW141" s="41" t="n">
        <f aca="true">IF(COUNTIF(OFFSET(AV141,1-MIN(p_PenLb,ROW()-4),0,MIN(p_PenLb,ROW()-4),1),"&gt;0")&gt;0,SUM(OFFSET(AV141,1-MIN(p_PenLb,ROW()-4),0,MIN(p_PenLb,ROW()-4),1))/COUNTIF(OFFSET(AV141,1-MIN(p_PenLb,ROW()-4),0,MIN(p_PenLb,ROW()-4),1),"&gt;0"),0.5*Y141)</f>
        <v>0.563766113495382</v>
      </c>
      <c r="AX141" s="41" t="n">
        <f aca="false">2*H141-H140</f>
        <v>20.9111448983181</v>
      </c>
      <c r="AY141" s="40" t="n">
        <f aca="false">ROUND(MAX(AX141-AW141,0.01),2)</f>
        <v>20.35</v>
      </c>
      <c r="AZ141" s="40" t="n">
        <f aca="true">IF(MIN(p_StopLb,ROW()-4)&lt;2,D141,SMALL(OFFSET(D141,1-MIN(p_StopLb,ROW()-4),0,MIN(p_StopLb,ROW()-4),1),2))</f>
        <v>20.51</v>
      </c>
      <c r="BA141" s="40" t="n">
        <f aca="false">IF(MOD(ROUND(ROUNDDOWN(MIN(AZ141-0.01,AY141-p_StopAtr*Y141),2)*100,0),50)=0,ROUNDDOWN(MIN(AZ141-0.01,AY141-p_StopAtr*Y141),2)-0.01,ROUNDDOWN(MIN(AZ141-0.01,AY141-p_StopAtr*Y141),2))</f>
        <v>19.91</v>
      </c>
      <c r="BB141" s="40" t="n">
        <f aca="false">ROUND(AI141,2)</f>
        <v>22.12</v>
      </c>
      <c r="BC141" s="40" t="n">
        <f aca="false">IF(AY141-BA141&gt;0,(BB141-AY141)/(AY141-BA141),0)</f>
        <v>4.02272727272726</v>
      </c>
      <c r="BD141" s="42" t="n">
        <f aca="false">IF(N141&lt;0,1,0)</f>
        <v>0</v>
      </c>
      <c r="BE141" s="41" t="n">
        <f aca="false">IF(AND(BD141=1,BD140=0),N141,IF(BD141=1,MIN(BE140,N141),BE140))</f>
        <v>-0.0583119972977335</v>
      </c>
      <c r="BF141" s="40" t="n">
        <f aca="false">IF(AND(BD141=1,BD140=0),D141,IF(BD141=1,MIN(BF140,D141),BF140))</f>
        <v>19.27</v>
      </c>
      <c r="BG141" s="42" t="n">
        <f aca="false">IF(AND(BD141=1,BD140=0),ROW(),IF(BD141=1,IF(N141&lt;BE140,ROW(),BG140),BG140))</f>
        <v>124</v>
      </c>
      <c r="BH141" s="41" t="n">
        <f aca="false">IF(AND(BD141=1,BD140=0),BE140,BH140)</f>
        <v>-0.392824838841331</v>
      </c>
      <c r="BI141" s="40" t="n">
        <f aca="false">IF(AND(BD141=1,BD140=0),BF140,BI140)</f>
        <v>20.27</v>
      </c>
      <c r="BJ141" s="42" t="n">
        <f aca="false">IF(AND(BD141=1,BD140=0),BG140,BJ140)</f>
        <v>98</v>
      </c>
      <c r="BK141" s="42" t="n">
        <f aca="false">IF(AND(ISNUMBER(BG141),ISNUMBER(BJ141)),BG141-BJ141,"")</f>
        <v>26</v>
      </c>
      <c r="BL141" s="42" t="n">
        <f aca="false">IF(AND(BD141=1,N141&gt;N140,ISNUMBER(BH141),ISNUMBER(BK141)),IF(AND(BE141&gt;BH141,BF141&lt;BI141,BK141&gt;=p_GapMin,BK141&lt;=p_GapMax),1,0),0)</f>
        <v>0</v>
      </c>
      <c r="BM141" s="42" t="n">
        <f aca="false">IF(AND(BL141=1,E141&gt;BI141),1,0)</f>
        <v>0</v>
      </c>
      <c r="BN141" s="42" t="n">
        <f aca="false">IF(BL141=1,IF(BE141&gt;=BH141*0.5,1,0),0)</f>
        <v>0</v>
      </c>
      <c r="BO141" s="42" t="n">
        <f aca="true">IF(V141&gt;MIN(OFFSET(V141,-MIN(p_FiLb-1,ROW()-5),0,MIN(p_FiLb-1,ROW()-5),1)),1,0)</f>
        <v>1</v>
      </c>
      <c r="BP141" s="44" t="n">
        <f aca="true">IF(COUNTIF(OFFSET(V141,1-MIN(100,ROW()-4),0,MIN(100,ROW()-4),1),"&lt;0")&gt;=5,AVERAGEIF(OFFSET(V141,1-MIN(100,ROW()-4),0,MIN(100,ROW()-4),1),"&lt;0"),"")</f>
        <v>-980968.389574293</v>
      </c>
      <c r="BQ141" s="42" t="n">
        <f aca="false">IF(ISNUMBER(BP141),IF(AND(V141&lt;5*BP141,V141&gt;V140,E141&lt;AJ141),1,0),0)</f>
        <v>0</v>
      </c>
      <c r="BR141" s="44" t="n">
        <f aca="true">AVERAGE(OFFSET(F141,1-MIN(5,ROW()-4),0,MIN(5,ROW()-4),1))</f>
        <v>3184300</v>
      </c>
      <c r="BS141" s="42" t="n">
        <f aca="false">IFERROR(IF(MATCH(G141,周线!$A$5:$A$84,0)&lt;=1,"",INDEX(周线!$R$5:$R$84,MATCH(G141,周线!$A$5:$A$84,0)-1)),"")</f>
        <v>0</v>
      </c>
      <c r="BT141" s="42" t="n">
        <f aca="false">IFERROR(IF(MATCH(G141,周线!$A$5:$A$84,0)&lt;=1,"",INDEX(周线!$S$5:$S$84,MATCH(G141,周线!$A$5:$A$84,0)-1)),"")</f>
        <v>1</v>
      </c>
      <c r="BU141" s="42" t="n">
        <f aca="false">IFERROR(IF(MATCH(G141,周线!$A$5:$A$84,0)&lt;=1,"",INDEX(周线!$U$5:$U$84,MATCH(G141,周线!$A$5:$A$84,0)-1)),"")</f>
        <v>0</v>
      </c>
      <c r="BV141" s="42" t="n">
        <f aca="false">IF(AND(BS141=1,S141&lt;&gt;-1,V141&lt;0,BO141=1,E141&lt;=H141,E141&gt;=AJ141),1,0)</f>
        <v>0</v>
      </c>
      <c r="BW141" s="42" t="n">
        <f aca="false">BL141</f>
        <v>0</v>
      </c>
      <c r="BX141" s="42" t="n">
        <f aca="false">BQ141</f>
        <v>0</v>
      </c>
      <c r="BY141" s="42" t="n">
        <f aca="false">IF(BS141=1,10,0)+IF(BU141=1,5,IF(BU141=-1,0,3))+IF(BT141=1,5,0)+IF(AND(AE141&gt;AF141,AH141&gt;AH140),5,0)</f>
        <v>13</v>
      </c>
      <c r="BZ141" s="42" t="n">
        <f aca="false">IF(AND(E141&lt;=H141,E141&gt;=I141),10,IF(AND(E141&gt;=AJ141,E141&lt;I141),6,0))+IF(AND(V141&lt;0,BO141=1),8,0)+IF(AT141&lt;30,7,IF(AT141&lt;50,3,0))</f>
        <v>8</v>
      </c>
      <c r="CA141" s="42" t="n">
        <f aca="false">IF(AND(BV141=1,BW141=1),25,IF(BW141=1,22,IF(BV141=1,15,IF(BX141=1,12,0))))</f>
        <v>0</v>
      </c>
      <c r="CB141" s="42" t="n">
        <f aca="false">IF(W141&gt;0,6,0)+IF(F141&lt;BR141,4,0)</f>
        <v>10</v>
      </c>
      <c r="CC141" s="42" t="n">
        <f aca="false">IF(BC141&gt;=3,15,IF(BC141&gt;=p_RRmin,10,IF(BC141&gt;=1.5,4,0)))</f>
        <v>15</v>
      </c>
      <c r="CD141" s="42" t="n">
        <f aca="false">BY141+BZ141+CA141+CB141+CC141</f>
        <v>46</v>
      </c>
      <c r="CE141" s="42" t="n">
        <f aca="false">IF(AND(BS141&lt;&gt;1,BW141+BX141=0),1,0)</f>
        <v>1</v>
      </c>
      <c r="CF141" s="42" t="n">
        <f aca="false">IF(BU141=-1,1,0)</f>
        <v>0</v>
      </c>
      <c r="CG141" s="42" t="n">
        <f aca="false">IF(S141=-1,1,0)</f>
        <v>0</v>
      </c>
      <c r="CH141" s="42" t="n">
        <f aca="false">IF(BV141+BW141+BX141=0,1,0)</f>
        <v>1</v>
      </c>
      <c r="CI141" s="42" t="n">
        <f aca="false">IF(BC141&lt;p_RRmin,1,0)</f>
        <v>0</v>
      </c>
      <c r="CJ141" s="46" t="str">
        <f aca="false">IF(SUM(CE141:CI141)=0,IF(CD141&gt;=p_GradeA,"A",IF(CD141&gt;=p_GradeB,"B","C")),IF(AND(CI141=1,SUM(CE141:CH141)=0,CD141&gt;=p_GradeB),"B","C"))</f>
        <v>C</v>
      </c>
    </row>
    <row r="142" customFormat="false" ht="15" hidden="false" customHeight="false" outlineLevel="0" collapsed="false">
      <c r="A142" s="36" t="n">
        <v>45852</v>
      </c>
      <c r="B142" s="37" t="n">
        <v>21.21</v>
      </c>
      <c r="C142" s="37" t="n">
        <v>21.46</v>
      </c>
      <c r="D142" s="37" t="n">
        <v>21.14</v>
      </c>
      <c r="E142" s="37" t="n">
        <v>21.29</v>
      </c>
      <c r="F142" s="38" t="n">
        <v>2811500</v>
      </c>
      <c r="G142" s="39" t="n">
        <f aca="false">A142-WEEKDAY(A142,3)</f>
        <v>45852</v>
      </c>
      <c r="H142" s="40" t="n">
        <f aca="false">2/(p_EmaF+1)*E142+(1-2/(p_EmaF+1))*H141</f>
        <v>20.92774903827</v>
      </c>
      <c r="I142" s="40" t="n">
        <f aca="false">2/(p_EmaS+1)*E142+(1-2/(p_EmaS+1))*I141</f>
        <v>20.8950380022123</v>
      </c>
      <c r="J142" s="41" t="n">
        <f aca="false">2/(p_MacdF+1)*E142+(1-2/(p_MacdF+1))*J141</f>
        <v>20.9501725341073</v>
      </c>
      <c r="K142" s="41" t="n">
        <f aca="false">2/(p_MacdS+1)*E142+(1-2/(p_MacdS+1))*K141</f>
        <v>20.8950380022123</v>
      </c>
      <c r="L142" s="41" t="n">
        <f aca="false">J142-K142</f>
        <v>0.0551345318949572</v>
      </c>
      <c r="M142" s="41" t="n">
        <f aca="false">2/(p_MacdSig+1)*L142+(1-2/(p_MacdSig+1))*M141</f>
        <v>-0.103227505551273</v>
      </c>
      <c r="N142" s="41" t="n">
        <f aca="false">L142-M142</f>
        <v>0.15836203744623</v>
      </c>
      <c r="O142" s="42" t="n">
        <f aca="false">IF(H142&gt;H141,1,0)</f>
        <v>1</v>
      </c>
      <c r="P142" s="42" t="n">
        <f aca="false">IF(H142&lt;H141,1,0)</f>
        <v>0</v>
      </c>
      <c r="Q142" s="42" t="n">
        <f aca="false">IF(N142&gt;N141,1,0)</f>
        <v>0</v>
      </c>
      <c r="R142" s="42" t="n">
        <f aca="false">IF(N142&lt;N141,1,0)</f>
        <v>1</v>
      </c>
      <c r="S142" s="42" t="n">
        <f aca="false">IF(AND(O142=1,Q142=1),1,IF(AND(P142=1,R142=1),-1,0))</f>
        <v>0</v>
      </c>
      <c r="T142" s="43" t="str">
        <f aca="false">IF(S142=1,"绿",IF(S142=-1,"红","蓝"))</f>
        <v>蓝</v>
      </c>
      <c r="U142" s="44" t="n">
        <f aca="false">F142*(E142-E141)</f>
        <v>449840</v>
      </c>
      <c r="V142" s="44" t="n">
        <f aca="false">2/(p_FiS+1)*U142+(1-2/(p_FiS+1))*V141</f>
        <v>254376.606814356</v>
      </c>
      <c r="W142" s="44" t="n">
        <f aca="false">2/(p_FiL+1)*U142+(1-2/(p_FiL+1))*W141</f>
        <v>199942.900546485</v>
      </c>
      <c r="X142" s="41" t="n">
        <f aca="false">MAX(C142-D142,ABS(C142-E141),ABS(D142-E141))</f>
        <v>0.330000000000002</v>
      </c>
      <c r="Y142" s="41" t="n">
        <f aca="true">AVERAGE(OFFSET(X142,1-MIN(p_AtrN,ROW()-4),0,MIN(p_AtrN,ROW()-4),1))</f>
        <v>0.425384615384616</v>
      </c>
      <c r="Z142" s="41" t="n">
        <f aca="false">IF(AND(C142-C141&gt;D141-D142,C142-C141&gt;0),C142-C141,0)</f>
        <v>0.240000000000002</v>
      </c>
      <c r="AA142" s="41" t="n">
        <f aca="false">IF(AND(D141-D142&gt;C142-C141,D141-D142&gt;0),D141-D142,0)</f>
        <v>0</v>
      </c>
      <c r="AB142" s="41" t="n">
        <f aca="false">2/(p_AdxN+1)*X142+(1-2/(p_AdxN+1))*AB141</f>
        <v>0.41270920851539</v>
      </c>
      <c r="AC142" s="41" t="n">
        <f aca="false">2/(p_AdxN+1)*Z142+(1-2/(p_AdxN+1))*AC141</f>
        <v>0.120436237473583</v>
      </c>
      <c r="AD142" s="41" t="n">
        <f aca="false">2/(p_AdxN+1)*AA142+(1-2/(p_AdxN+1))*AD141</f>
        <v>0.0263663762482398</v>
      </c>
      <c r="AE142" s="45" t="n">
        <f aca="false">100*AC142/AB142</f>
        <v>29.1818634013085</v>
      </c>
      <c r="AF142" s="45" t="n">
        <f aca="false">100*AD142/AB142</f>
        <v>6.38860866300651</v>
      </c>
      <c r="AG142" s="45" t="n">
        <f aca="false">IFERROR(100*ABS(AE142-AF142)/(AE142+AF142),0)</f>
        <v>64.0791460318252</v>
      </c>
      <c r="AH142" s="45" t="n">
        <f aca="false">2/(p_AdxN+1)*AG142+(1-2/(p_AdxN+1))*AH141</f>
        <v>42.9984866986753</v>
      </c>
      <c r="AI142" s="40" t="n">
        <f aca="false">I142*(1+p_ChPct)</f>
        <v>22.148740282345</v>
      </c>
      <c r="AJ142" s="40" t="n">
        <f aca="false">I142*(1-p_ChPct)</f>
        <v>19.6413357220796</v>
      </c>
      <c r="AK142" s="40" t="n">
        <f aca="false">I142+1*Y142</f>
        <v>21.3204226175969</v>
      </c>
      <c r="AL142" s="40" t="n">
        <f aca="false">I142+2*Y142</f>
        <v>21.7458072329815</v>
      </c>
      <c r="AM142" s="40" t="n">
        <f aca="false">I142+3*Y142</f>
        <v>22.1711918483662</v>
      </c>
      <c r="AN142" s="40" t="n">
        <f aca="false">I142-1*Y142</f>
        <v>20.4696533868277</v>
      </c>
      <c r="AO142" s="40" t="n">
        <f aca="false">I142-2*Y142</f>
        <v>20.0442687714431</v>
      </c>
      <c r="AP142" s="40" t="n">
        <f aca="false">I142-3*Y142</f>
        <v>19.6188841560585</v>
      </c>
      <c r="AQ142" s="40" t="n">
        <f aca="true">MAX(OFFSET(C142,1-MIN(p_StochN,ROW()-4),0,MIN(p_StochN,ROW()-4),1))</f>
        <v>21.5</v>
      </c>
      <c r="AR142" s="40" t="n">
        <f aca="true">MIN(OFFSET(D142,1-MIN(p_StochN,ROW()-4),0,MIN(p_StochN,ROW()-4),1))</f>
        <v>20.65</v>
      </c>
      <c r="AS142" s="45" t="n">
        <f aca="false">IF(AQ142=AR142,50,100*(E142-AR142)/(AQ142-AR142))</f>
        <v>75.2941176470588</v>
      </c>
      <c r="AT142" s="45" t="n">
        <f aca="true">AVERAGE(OFFSET(AS142,1-MIN(p_StochSm,ROW()-4),0,MIN(p_StochSm,ROW()-4),1))</f>
        <v>67.0588235294117</v>
      </c>
      <c r="AU142" s="45" t="n">
        <f aca="true">AVERAGE(OFFSET(AT142,1-MIN(p_StochSm,ROW()-4),0,MIN(p_StochSm,ROW()-4),1))</f>
        <v>66.0154271918977</v>
      </c>
      <c r="AV142" s="41" t="n">
        <f aca="false">MAX(0,H142-D142)</f>
        <v>0</v>
      </c>
      <c r="AW142" s="41" t="n">
        <f aca="true">IF(COUNTIF(OFFSET(AV142,1-MIN(p_PenLb,ROW()-4),0,MIN(p_PenLb,ROW()-4),1),"&gt;0")&gt;0,SUM(OFFSET(AV142,1-MIN(p_PenLb,ROW()-4),0,MIN(p_PenLb,ROW()-4),1))/COUNTIF(OFFSET(AV142,1-MIN(p_PenLb,ROW()-4),0,MIN(p_PenLb,ROW()-4),1),"&gt;0"),0.5*Y142)</f>
        <v>0.552320047930058</v>
      </c>
      <c r="AX142" s="41" t="n">
        <f aca="false">2*H142-H141</f>
        <v>20.9881241985583</v>
      </c>
      <c r="AY142" s="40" t="n">
        <f aca="false">ROUND(MAX(AX142-AW142,0.01),2)</f>
        <v>20.44</v>
      </c>
      <c r="AZ142" s="40" t="n">
        <f aca="true">IF(MIN(p_StopLb,ROW()-4)&lt;2,D142,SMALL(OFFSET(D142,1-MIN(p_StopLb,ROW()-4),0,MIN(p_StopLb,ROW()-4),1),2))</f>
        <v>20.65</v>
      </c>
      <c r="BA142" s="40" t="n">
        <f aca="false">IF(MOD(ROUND(ROUNDDOWN(MIN(AZ142-0.01,AY142-p_StopAtr*Y142),2)*100,0),50)=0,ROUNDDOWN(MIN(AZ142-0.01,AY142-p_StopAtr*Y142),2)-0.01,ROUNDDOWN(MIN(AZ142-0.01,AY142-p_StopAtr*Y142),2))</f>
        <v>20.01</v>
      </c>
      <c r="BB142" s="40" t="n">
        <f aca="false">ROUND(AI142,2)</f>
        <v>22.15</v>
      </c>
      <c r="BC142" s="40" t="n">
        <f aca="false">IF(AY142-BA142&gt;0,(BB142-AY142)/(AY142-BA142),0)</f>
        <v>3.97674418604651</v>
      </c>
      <c r="BD142" s="42" t="n">
        <f aca="false">IF(N142&lt;0,1,0)</f>
        <v>0</v>
      </c>
      <c r="BE142" s="41" t="n">
        <f aca="false">IF(AND(BD142=1,BD141=0),N142,IF(BD142=1,MIN(BE141,N142),BE141))</f>
        <v>-0.0583119972977335</v>
      </c>
      <c r="BF142" s="40" t="n">
        <f aca="false">IF(AND(BD142=1,BD141=0),D142,IF(BD142=1,MIN(BF141,D142),BF141))</f>
        <v>19.27</v>
      </c>
      <c r="BG142" s="42" t="n">
        <f aca="false">IF(AND(BD142=1,BD141=0),ROW(),IF(BD142=1,IF(N142&lt;BE141,ROW(),BG141),BG141))</f>
        <v>124</v>
      </c>
      <c r="BH142" s="41" t="n">
        <f aca="false">IF(AND(BD142=1,BD141=0),BE141,BH141)</f>
        <v>-0.392824838841331</v>
      </c>
      <c r="BI142" s="40" t="n">
        <f aca="false">IF(AND(BD142=1,BD141=0),BF141,BI141)</f>
        <v>20.27</v>
      </c>
      <c r="BJ142" s="42" t="n">
        <f aca="false">IF(AND(BD142=1,BD141=0),BG141,BJ141)</f>
        <v>98</v>
      </c>
      <c r="BK142" s="42" t="n">
        <f aca="false">IF(AND(ISNUMBER(BG142),ISNUMBER(BJ142)),BG142-BJ142,"")</f>
        <v>26</v>
      </c>
      <c r="BL142" s="42" t="n">
        <f aca="false">IF(AND(BD142=1,N142&gt;N141,ISNUMBER(BH142),ISNUMBER(BK142)),IF(AND(BE142&gt;BH142,BF142&lt;BI142,BK142&gt;=p_GapMin,BK142&lt;=p_GapMax),1,0),0)</f>
        <v>0</v>
      </c>
      <c r="BM142" s="42" t="n">
        <f aca="false">IF(AND(BL142=1,E142&gt;BI142),1,0)</f>
        <v>0</v>
      </c>
      <c r="BN142" s="42" t="n">
        <f aca="false">IF(BL142=1,IF(BE142&gt;=BH142*0.5,1,0),0)</f>
        <v>0</v>
      </c>
      <c r="BO142" s="42" t="n">
        <f aca="true">IF(V142&gt;MIN(OFFSET(V142,-MIN(p_FiLb-1,ROW()-5),0,MIN(p_FiLb-1,ROW()-5),1)),1,0)</f>
        <v>1</v>
      </c>
      <c r="BP142" s="44" t="n">
        <f aca="true">IF(COUNTIF(OFFSET(V142,1-MIN(100,ROW()-4),0,MIN(100,ROW()-4),1),"&lt;0")&gt;=5,AVERAGEIF(OFFSET(V142,1-MIN(100,ROW()-4),0,MIN(100,ROW()-4),1),"&lt;0"),"")</f>
        <v>-983438.524297064</v>
      </c>
      <c r="BQ142" s="42" t="n">
        <f aca="false">IF(ISNUMBER(BP142),IF(AND(V142&lt;5*BP142,V142&gt;V141,E142&lt;AJ142),1,0),0)</f>
        <v>0</v>
      </c>
      <c r="BR142" s="44" t="n">
        <f aca="true">AVERAGE(OFFSET(F142,1-MIN(5,ROW()-4),0,MIN(5,ROW()-4),1))</f>
        <v>3135740</v>
      </c>
      <c r="BS142" s="42" t="n">
        <f aca="false">IFERROR(IF(MATCH(G142,周线!$A$5:$A$84,0)&lt;=1,"",INDEX(周线!$R$5:$R$84,MATCH(G142,周线!$A$5:$A$84,0)-1)),"")</f>
        <v>0</v>
      </c>
      <c r="BT142" s="42" t="n">
        <f aca="false">IFERROR(IF(MATCH(G142,周线!$A$5:$A$84,0)&lt;=1,"",INDEX(周线!$S$5:$S$84,MATCH(G142,周线!$A$5:$A$84,0)-1)),"")</f>
        <v>1</v>
      </c>
      <c r="BU142" s="42" t="n">
        <f aca="false">IFERROR(IF(MATCH(G142,周线!$A$5:$A$84,0)&lt;=1,"",INDEX(周线!$U$5:$U$84,MATCH(G142,周线!$A$5:$A$84,0)-1)),"")</f>
        <v>0</v>
      </c>
      <c r="BV142" s="42" t="n">
        <f aca="false">IF(AND(BS142=1,S142&lt;&gt;-1,V142&lt;0,BO142=1,E142&lt;=H142,E142&gt;=AJ142),1,0)</f>
        <v>0</v>
      </c>
      <c r="BW142" s="42" t="n">
        <f aca="false">BL142</f>
        <v>0</v>
      </c>
      <c r="BX142" s="42" t="n">
        <f aca="false">BQ142</f>
        <v>0</v>
      </c>
      <c r="BY142" s="42" t="n">
        <f aca="false">IF(BS142=1,10,0)+IF(BU142=1,5,IF(BU142=-1,0,3))+IF(BT142=1,5,0)+IF(AND(AE142&gt;AF142,AH142&gt;AH141),5,0)</f>
        <v>13</v>
      </c>
      <c r="BZ142" s="42" t="n">
        <f aca="false">IF(AND(E142&lt;=H142,E142&gt;=I142),10,IF(AND(E142&gt;=AJ142,E142&lt;I142),6,0))+IF(AND(V142&lt;0,BO142=1),8,0)+IF(AT142&lt;30,7,IF(AT142&lt;50,3,0))</f>
        <v>0</v>
      </c>
      <c r="CA142" s="42" t="n">
        <f aca="false">IF(AND(BV142=1,BW142=1),25,IF(BW142=1,22,IF(BV142=1,15,IF(BX142=1,12,0))))</f>
        <v>0</v>
      </c>
      <c r="CB142" s="42" t="n">
        <f aca="false">IF(W142&gt;0,6,0)+IF(F142&lt;BR142,4,0)</f>
        <v>10</v>
      </c>
      <c r="CC142" s="42" t="n">
        <f aca="false">IF(BC142&gt;=3,15,IF(BC142&gt;=p_RRmin,10,IF(BC142&gt;=1.5,4,0)))</f>
        <v>15</v>
      </c>
      <c r="CD142" s="42" t="n">
        <f aca="false">BY142+BZ142+CA142+CB142+CC142</f>
        <v>38</v>
      </c>
      <c r="CE142" s="42" t="n">
        <f aca="false">IF(AND(BS142&lt;&gt;1,BW142+BX142=0),1,0)</f>
        <v>1</v>
      </c>
      <c r="CF142" s="42" t="n">
        <f aca="false">IF(BU142=-1,1,0)</f>
        <v>0</v>
      </c>
      <c r="CG142" s="42" t="n">
        <f aca="false">IF(S142=-1,1,0)</f>
        <v>0</v>
      </c>
      <c r="CH142" s="42" t="n">
        <f aca="false">IF(BV142+BW142+BX142=0,1,0)</f>
        <v>1</v>
      </c>
      <c r="CI142" s="42" t="n">
        <f aca="false">IF(BC142&lt;p_RRmin,1,0)</f>
        <v>0</v>
      </c>
      <c r="CJ142" s="46" t="str">
        <f aca="false">IF(SUM(CE142:CI142)=0,IF(CD142&gt;=p_GradeA,"A",IF(CD142&gt;=p_GradeB,"B","C")),IF(AND(CI142=1,SUM(CE142:CH142)=0,CD142&gt;=p_GradeB),"B","C"))</f>
        <v>C</v>
      </c>
    </row>
    <row r="143" customFormat="false" ht="15" hidden="false" customHeight="false" outlineLevel="0" collapsed="false">
      <c r="A143" s="36" t="n">
        <v>45853</v>
      </c>
      <c r="B143" s="37" t="n">
        <v>21.5</v>
      </c>
      <c r="C143" s="37" t="n">
        <v>21.56</v>
      </c>
      <c r="D143" s="37" t="n">
        <v>20.91</v>
      </c>
      <c r="E143" s="37" t="n">
        <v>20.99</v>
      </c>
      <c r="F143" s="38" t="n">
        <v>4710400</v>
      </c>
      <c r="G143" s="39" t="n">
        <f aca="false">A143-WEEKDAY(A143,3)</f>
        <v>45852</v>
      </c>
      <c r="H143" s="40" t="n">
        <f aca="false">2/(p_EmaF+1)*E143+(1-2/(p_EmaF+1))*H142</f>
        <v>20.9366420328029</v>
      </c>
      <c r="I143" s="40" t="n">
        <f aca="false">2/(p_EmaS+1)*E143+(1-2/(p_EmaS+1))*I142</f>
        <v>20.9020722242707</v>
      </c>
      <c r="J143" s="41" t="n">
        <f aca="false">2/(p_MacdF+1)*E143+(1-2/(p_MacdF+1))*J142</f>
        <v>20.9562998365523</v>
      </c>
      <c r="K143" s="41" t="n">
        <f aca="false">2/(p_MacdS+1)*E143+(1-2/(p_MacdS+1))*K142</f>
        <v>20.9020722242707</v>
      </c>
      <c r="L143" s="41" t="n">
        <f aca="false">J143-K143</f>
        <v>0.0542276122816467</v>
      </c>
      <c r="M143" s="41" t="n">
        <f aca="false">2/(p_MacdSig+1)*L143+(1-2/(p_MacdSig+1))*M142</f>
        <v>-0.071736481984689</v>
      </c>
      <c r="N143" s="41" t="n">
        <f aca="false">L143-M143</f>
        <v>0.125964094266336</v>
      </c>
      <c r="O143" s="42" t="n">
        <f aca="false">IF(H143&gt;H142,1,0)</f>
        <v>1</v>
      </c>
      <c r="P143" s="42" t="n">
        <f aca="false">IF(H143&lt;H142,1,0)</f>
        <v>0</v>
      </c>
      <c r="Q143" s="42" t="n">
        <f aca="false">IF(N143&gt;N142,1,0)</f>
        <v>0</v>
      </c>
      <c r="R143" s="42" t="n">
        <f aca="false">IF(N143&lt;N142,1,0)</f>
        <v>1</v>
      </c>
      <c r="S143" s="42" t="n">
        <f aca="false">IF(AND(O143=1,Q143=1),1,IF(AND(P143=1,R143=1),-1,0))</f>
        <v>0</v>
      </c>
      <c r="T143" s="43" t="str">
        <f aca="false">IF(S143=1,"绿",IF(S143=-1,"红","蓝"))</f>
        <v>蓝</v>
      </c>
      <c r="U143" s="44" t="n">
        <f aca="false">F143*(E143-E142)</f>
        <v>-1413120</v>
      </c>
      <c r="V143" s="44" t="n">
        <f aca="false">2/(p_FiS+1)*U143+(1-2/(p_FiS+1))*V142</f>
        <v>-857287.79772855</v>
      </c>
      <c r="W143" s="44" t="n">
        <f aca="false">2/(p_FiL+1)*U143+(1-2/(p_FiL+1))*W142</f>
        <v>-30494.6566744417</v>
      </c>
      <c r="X143" s="41" t="n">
        <f aca="false">MAX(C143-D143,ABS(C143-E142),ABS(D143-E142))</f>
        <v>0.649999999999999</v>
      </c>
      <c r="Y143" s="41" t="n">
        <f aca="true">AVERAGE(OFFSET(X143,1-MIN(p_AtrN,ROW()-4),0,MIN(p_AtrN,ROW()-4),1))</f>
        <v>0.413076923076923</v>
      </c>
      <c r="Z143" s="41" t="n">
        <f aca="false">IF(AND(C143-C142&gt;D142-D143,C143-C142&gt;0),C143-C142,0)</f>
        <v>0</v>
      </c>
      <c r="AA143" s="41" t="n">
        <f aca="false">IF(AND(D142-D143&gt;C143-C142,D142-D143&gt;0),D142-D143,0)</f>
        <v>0.23</v>
      </c>
      <c r="AB143" s="41" t="n">
        <f aca="false">2/(p_AdxN+1)*X143+(1-2/(p_AdxN+1))*AB142</f>
        <v>0.446607893013191</v>
      </c>
      <c r="AC143" s="41" t="n">
        <f aca="false">2/(p_AdxN+1)*Z143+(1-2/(p_AdxN+1))*AC142</f>
        <v>0.103231060691642</v>
      </c>
      <c r="AD143" s="41" t="n">
        <f aca="false">2/(p_AdxN+1)*AA143+(1-2/(p_AdxN+1))*AD142</f>
        <v>0.0554568939270627</v>
      </c>
      <c r="AE143" s="45" t="n">
        <f aca="false">100*AC143/AB143</f>
        <v>23.1144729653475</v>
      </c>
      <c r="AF143" s="45" t="n">
        <f aca="false">100*AD143/AB143</f>
        <v>12.4173564315902</v>
      </c>
      <c r="AG143" s="45" t="n">
        <f aca="false">IFERROR(100*ABS(AE143-AF143)/(AE143+AF143),0)</f>
        <v>30.1057297508</v>
      </c>
      <c r="AH143" s="45" t="n">
        <f aca="false">2/(p_AdxN+1)*AG143+(1-2/(p_AdxN+1))*AH142</f>
        <v>41.1566642775503</v>
      </c>
      <c r="AI143" s="40" t="n">
        <f aca="false">I143*(1+p_ChPct)</f>
        <v>22.1561965577269</v>
      </c>
      <c r="AJ143" s="40" t="n">
        <f aca="false">I143*(1-p_ChPct)</f>
        <v>19.6479478908144</v>
      </c>
      <c r="AK143" s="40" t="n">
        <f aca="false">I143+1*Y143</f>
        <v>21.3151491473476</v>
      </c>
      <c r="AL143" s="40" t="n">
        <f aca="false">I143+2*Y143</f>
        <v>21.7282260704245</v>
      </c>
      <c r="AM143" s="40" t="n">
        <f aca="false">I143+3*Y143</f>
        <v>22.1413029935014</v>
      </c>
      <c r="AN143" s="40" t="n">
        <f aca="false">I143-1*Y143</f>
        <v>20.4889953011937</v>
      </c>
      <c r="AO143" s="40" t="n">
        <f aca="false">I143-2*Y143</f>
        <v>20.0759183781168</v>
      </c>
      <c r="AP143" s="40" t="n">
        <f aca="false">I143-3*Y143</f>
        <v>19.6628414550399</v>
      </c>
      <c r="AQ143" s="40" t="n">
        <f aca="true">MAX(OFFSET(C143,1-MIN(p_StochN,ROW()-4),0,MIN(p_StochN,ROW()-4),1))</f>
        <v>21.56</v>
      </c>
      <c r="AR143" s="40" t="n">
        <f aca="true">MIN(OFFSET(D143,1-MIN(p_StochN,ROW()-4),0,MIN(p_StochN,ROW()-4),1))</f>
        <v>20.65</v>
      </c>
      <c r="AS143" s="45" t="n">
        <f aca="false">IF(AQ143=AR143,50,100*(E143-AR143)/(AQ143-AR143))</f>
        <v>37.3626373626373</v>
      </c>
      <c r="AT143" s="45" t="n">
        <f aca="true">AVERAGE(OFFSET(AS143,1-MIN(p_StochSm,ROW()-4),0,MIN(p_StochSm,ROW()-4),1))</f>
        <v>56.3757810816634</v>
      </c>
      <c r="AU143" s="45" t="n">
        <f aca="true">AVERAGE(OFFSET(AT143,1-MIN(p_StochSm,ROW()-4),0,MIN(p_StochSm,ROW()-4),1))</f>
        <v>63.3900545665251</v>
      </c>
      <c r="AV143" s="41" t="n">
        <f aca="false">MAX(0,H143-D143)</f>
        <v>0.0266420328028687</v>
      </c>
      <c r="AW143" s="41" t="n">
        <f aca="true">IF(COUNTIF(OFFSET(AV143,1-MIN(p_PenLb,ROW()-4),0,MIN(p_PenLb,ROW()-4),1),"&gt;0")&gt;0,SUM(OFFSET(AV143,1-MIN(p_PenLb,ROW()-4),0,MIN(p_PenLb,ROW()-4),1))/COUNTIF(OFFSET(AV143,1-MIN(p_PenLb,ROW()-4),0,MIN(p_PenLb,ROW()-4),1),"&gt;0"),0.5*Y143)</f>
        <v>0.525188709749221</v>
      </c>
      <c r="AX143" s="41" t="n">
        <f aca="false">2*H143-H142</f>
        <v>20.9455350273357</v>
      </c>
      <c r="AY143" s="40" t="n">
        <f aca="false">ROUND(MAX(AX143-AW143,0.01),2)</f>
        <v>20.42</v>
      </c>
      <c r="AZ143" s="40" t="n">
        <f aca="true">IF(MIN(p_StopLb,ROW()-4)&lt;2,D143,SMALL(OFFSET(D143,1-MIN(p_StopLb,ROW()-4),0,MIN(p_StopLb,ROW()-4),1),2))</f>
        <v>20.72</v>
      </c>
      <c r="BA143" s="40" t="n">
        <f aca="false">IF(MOD(ROUND(ROUNDDOWN(MIN(AZ143-0.01,AY143-p_StopAtr*Y143),2)*100,0),50)=0,ROUNDDOWN(MIN(AZ143-0.01,AY143-p_StopAtr*Y143),2)-0.01,ROUNDDOWN(MIN(AZ143-0.01,AY143-p_StopAtr*Y143),2))</f>
        <v>19.99</v>
      </c>
      <c r="BB143" s="40" t="n">
        <f aca="false">ROUND(AI143,2)</f>
        <v>22.16</v>
      </c>
      <c r="BC143" s="40" t="n">
        <f aca="false">IF(AY143-BA143&gt;0,(BB143-AY143)/(AY143-BA143),0)</f>
        <v>4.04651162790694</v>
      </c>
      <c r="BD143" s="42" t="n">
        <f aca="false">IF(N143&lt;0,1,0)</f>
        <v>0</v>
      </c>
      <c r="BE143" s="41" t="n">
        <f aca="false">IF(AND(BD143=1,BD142=0),N143,IF(BD143=1,MIN(BE142,N143),BE142))</f>
        <v>-0.0583119972977335</v>
      </c>
      <c r="BF143" s="40" t="n">
        <f aca="false">IF(AND(BD143=1,BD142=0),D143,IF(BD143=1,MIN(BF142,D143),BF142))</f>
        <v>19.27</v>
      </c>
      <c r="BG143" s="42" t="n">
        <f aca="false">IF(AND(BD143=1,BD142=0),ROW(),IF(BD143=1,IF(N143&lt;BE142,ROW(),BG142),BG142))</f>
        <v>124</v>
      </c>
      <c r="BH143" s="41" t="n">
        <f aca="false">IF(AND(BD143=1,BD142=0),BE142,BH142)</f>
        <v>-0.392824838841331</v>
      </c>
      <c r="BI143" s="40" t="n">
        <f aca="false">IF(AND(BD143=1,BD142=0),BF142,BI142)</f>
        <v>20.27</v>
      </c>
      <c r="BJ143" s="42" t="n">
        <f aca="false">IF(AND(BD143=1,BD142=0),BG142,BJ142)</f>
        <v>98</v>
      </c>
      <c r="BK143" s="42" t="n">
        <f aca="false">IF(AND(ISNUMBER(BG143),ISNUMBER(BJ143)),BG143-BJ143,"")</f>
        <v>26</v>
      </c>
      <c r="BL143" s="42" t="n">
        <f aca="false">IF(AND(BD143=1,N143&gt;N142,ISNUMBER(BH143),ISNUMBER(BK143)),IF(AND(BE143&gt;BH143,BF143&lt;BI143,BK143&gt;=p_GapMin,BK143&lt;=p_GapMax),1,0),0)</f>
        <v>0</v>
      </c>
      <c r="BM143" s="42" t="n">
        <f aca="false">IF(AND(BL143=1,E143&gt;BI143),1,0)</f>
        <v>0</v>
      </c>
      <c r="BN143" s="42" t="n">
        <f aca="false">IF(BL143=1,IF(BE143&gt;=BH143*0.5,1,0),0)</f>
        <v>0</v>
      </c>
      <c r="BO143" s="42" t="n">
        <f aca="true">IF(V143&gt;MIN(OFFSET(V143,-MIN(p_FiLb-1,ROW()-5),0,MIN(p_FiLb-1,ROW()-5),1)),1,0)</f>
        <v>0</v>
      </c>
      <c r="BP143" s="44" t="n">
        <f aca="true">IF(COUNTIF(OFFSET(V143,1-MIN(100,ROW()-4),0,MIN(100,ROW()-4),1),"&lt;0")&gt;=5,AVERAGEIF(OFFSET(V143,1-MIN(100,ROW()-4),0,MIN(100,ROW()-4),1),"&lt;0"),"")</f>
        <v>-992458.575516675</v>
      </c>
      <c r="BQ143" s="42" t="n">
        <f aca="false">IF(ISNUMBER(BP143),IF(AND(V143&lt;5*BP143,V143&gt;V142,E143&lt;AJ143),1,0),0)</f>
        <v>0</v>
      </c>
      <c r="BR143" s="44" t="n">
        <f aca="true">AVERAGE(OFFSET(F143,1-MIN(5,ROW()-4),0,MIN(5,ROW()-4),1))</f>
        <v>3458420</v>
      </c>
      <c r="BS143" s="42" t="n">
        <f aca="false">IFERROR(IF(MATCH(G143,周线!$A$5:$A$84,0)&lt;=1,"",INDEX(周线!$R$5:$R$84,MATCH(G143,周线!$A$5:$A$84,0)-1)),"")</f>
        <v>0</v>
      </c>
      <c r="BT143" s="42" t="n">
        <f aca="false">IFERROR(IF(MATCH(G143,周线!$A$5:$A$84,0)&lt;=1,"",INDEX(周线!$S$5:$S$84,MATCH(G143,周线!$A$5:$A$84,0)-1)),"")</f>
        <v>1</v>
      </c>
      <c r="BU143" s="42" t="n">
        <f aca="false">IFERROR(IF(MATCH(G143,周线!$A$5:$A$84,0)&lt;=1,"",INDEX(周线!$U$5:$U$84,MATCH(G143,周线!$A$5:$A$84,0)-1)),"")</f>
        <v>0</v>
      </c>
      <c r="BV143" s="42" t="n">
        <f aca="false">IF(AND(BS143=1,S143&lt;&gt;-1,V143&lt;0,BO143=1,E143&lt;=H143,E143&gt;=AJ143),1,0)</f>
        <v>0</v>
      </c>
      <c r="BW143" s="42" t="n">
        <f aca="false">BL143</f>
        <v>0</v>
      </c>
      <c r="BX143" s="42" t="n">
        <f aca="false">BQ143</f>
        <v>0</v>
      </c>
      <c r="BY143" s="42" t="n">
        <f aca="false">IF(BS143=1,10,0)+IF(BU143=1,5,IF(BU143=-1,0,3))+IF(BT143=1,5,0)+IF(AND(AE143&gt;AF143,AH143&gt;AH142),5,0)</f>
        <v>8</v>
      </c>
      <c r="BZ143" s="42" t="n">
        <f aca="false">IF(AND(E143&lt;=H143,E143&gt;=I143),10,IF(AND(E143&gt;=AJ143,E143&lt;I143),6,0))+IF(AND(V143&lt;0,BO143=1),8,0)+IF(AT143&lt;30,7,IF(AT143&lt;50,3,0))</f>
        <v>0</v>
      </c>
      <c r="CA143" s="42" t="n">
        <f aca="false">IF(AND(BV143=1,BW143=1),25,IF(BW143=1,22,IF(BV143=1,15,IF(BX143=1,12,0))))</f>
        <v>0</v>
      </c>
      <c r="CB143" s="42" t="n">
        <f aca="false">IF(W143&gt;0,6,0)+IF(F143&lt;BR143,4,0)</f>
        <v>0</v>
      </c>
      <c r="CC143" s="42" t="n">
        <f aca="false">IF(BC143&gt;=3,15,IF(BC143&gt;=p_RRmin,10,IF(BC143&gt;=1.5,4,0)))</f>
        <v>15</v>
      </c>
      <c r="CD143" s="42" t="n">
        <f aca="false">BY143+BZ143+CA143+CB143+CC143</f>
        <v>23</v>
      </c>
      <c r="CE143" s="42" t="n">
        <f aca="false">IF(AND(BS143&lt;&gt;1,BW143+BX143=0),1,0)</f>
        <v>1</v>
      </c>
      <c r="CF143" s="42" t="n">
        <f aca="false">IF(BU143=-1,1,0)</f>
        <v>0</v>
      </c>
      <c r="CG143" s="42" t="n">
        <f aca="false">IF(S143=-1,1,0)</f>
        <v>0</v>
      </c>
      <c r="CH143" s="42" t="n">
        <f aca="false">IF(BV143+BW143+BX143=0,1,0)</f>
        <v>1</v>
      </c>
      <c r="CI143" s="42" t="n">
        <f aca="false">IF(BC143&lt;p_RRmin,1,0)</f>
        <v>0</v>
      </c>
      <c r="CJ143" s="46" t="str">
        <f aca="false">IF(SUM(CE143:CI143)=0,IF(CD143&gt;=p_GradeA,"A",IF(CD143&gt;=p_GradeB,"B","C")),IF(AND(CI143=1,SUM(CE143:CH143)=0,CD143&gt;=p_GradeB),"B","C"))</f>
        <v>C</v>
      </c>
    </row>
    <row r="144" customFormat="false" ht="15" hidden="false" customHeight="false" outlineLevel="0" collapsed="false">
      <c r="A144" s="36" t="n">
        <v>45854</v>
      </c>
      <c r="B144" s="37" t="n">
        <v>20.94</v>
      </c>
      <c r="C144" s="37" t="n">
        <v>21.11</v>
      </c>
      <c r="D144" s="37" t="n">
        <v>20.71</v>
      </c>
      <c r="E144" s="37" t="n">
        <v>20.83</v>
      </c>
      <c r="F144" s="38" t="n">
        <v>3745400</v>
      </c>
      <c r="G144" s="39" t="n">
        <f aca="false">A144-WEEKDAY(A144,3)</f>
        <v>45852</v>
      </c>
      <c r="H144" s="40" t="n">
        <f aca="false">2/(p_EmaF+1)*E144+(1-2/(p_EmaF+1))*H143</f>
        <v>20.9214074566882</v>
      </c>
      <c r="I144" s="40" t="n">
        <f aca="false">2/(p_EmaS+1)*E144+(1-2/(p_EmaS+1))*I143</f>
        <v>20.8967335409913</v>
      </c>
      <c r="J144" s="41" t="n">
        <f aca="false">2/(p_MacdF+1)*E144+(1-2/(p_MacdF+1))*J143</f>
        <v>20.9368690924673</v>
      </c>
      <c r="K144" s="41" t="n">
        <f aca="false">2/(p_MacdS+1)*E144+(1-2/(p_MacdS+1))*K143</f>
        <v>20.8967335409913</v>
      </c>
      <c r="L144" s="41" t="n">
        <f aca="false">J144-K144</f>
        <v>0.0401355514759807</v>
      </c>
      <c r="M144" s="41" t="n">
        <f aca="false">2/(p_MacdSig+1)*L144+(1-2/(p_MacdSig+1))*M143</f>
        <v>-0.049362075292555</v>
      </c>
      <c r="N144" s="41" t="n">
        <f aca="false">L144-M144</f>
        <v>0.0894976267685357</v>
      </c>
      <c r="O144" s="42" t="n">
        <f aca="false">IF(H144&gt;H143,1,0)</f>
        <v>0</v>
      </c>
      <c r="P144" s="42" t="n">
        <f aca="false">IF(H144&lt;H143,1,0)</f>
        <v>1</v>
      </c>
      <c r="Q144" s="42" t="n">
        <f aca="false">IF(N144&gt;N143,1,0)</f>
        <v>0</v>
      </c>
      <c r="R144" s="42" t="n">
        <f aca="false">IF(N144&lt;N143,1,0)</f>
        <v>1</v>
      </c>
      <c r="S144" s="42" t="n">
        <f aca="false">IF(AND(O144=1,Q144=1),1,IF(AND(P144=1,R144=1),-1,0))</f>
        <v>-1</v>
      </c>
      <c r="T144" s="43" t="str">
        <f aca="false">IF(S144=1,"绿",IF(S144=-1,"红","蓝"))</f>
        <v>红</v>
      </c>
      <c r="U144" s="44" t="n">
        <f aca="false">F144*(E144-E143)</f>
        <v>-599264.000000001</v>
      </c>
      <c r="V144" s="44" t="n">
        <f aca="false">2/(p_FiS+1)*U144+(1-2/(p_FiS+1))*V143</f>
        <v>-685271.932576184</v>
      </c>
      <c r="W144" s="44" t="n">
        <f aca="false">2/(p_FiL+1)*U144+(1-2/(p_FiL+1))*W143</f>
        <v>-111747.420006664</v>
      </c>
      <c r="X144" s="41" t="n">
        <f aca="false">MAX(C144-D144,ABS(C144-E143),ABS(D144-E143))</f>
        <v>0.399999999999999</v>
      </c>
      <c r="Y144" s="41" t="n">
        <f aca="true">AVERAGE(OFFSET(X144,1-MIN(p_AtrN,ROW()-4),0,MIN(p_AtrN,ROW()-4),1))</f>
        <v>0.408461538461539</v>
      </c>
      <c r="Z144" s="41" t="n">
        <f aca="false">IF(AND(C144-C143&gt;D143-D144,C144-C143&gt;0),C144-C143,0)</f>
        <v>0</v>
      </c>
      <c r="AA144" s="41" t="n">
        <f aca="false">IF(AND(D143-D144&gt;C144-C143,D143-D144&gt;0),D143-D144,0)</f>
        <v>0.199999999999999</v>
      </c>
      <c r="AB144" s="41" t="n">
        <f aca="false">2/(p_AdxN+1)*X144+(1-2/(p_AdxN+1))*AB143</f>
        <v>0.439949622582735</v>
      </c>
      <c r="AC144" s="41" t="n">
        <f aca="false">2/(p_AdxN+1)*Z144+(1-2/(p_AdxN+1))*AC143</f>
        <v>0.0884837663071219</v>
      </c>
      <c r="AD144" s="41" t="n">
        <f aca="false">2/(p_AdxN+1)*AA144+(1-2/(p_AdxN+1))*AD143</f>
        <v>0.0761059090803394</v>
      </c>
      <c r="AE144" s="45" t="n">
        <f aca="false">100*AC144/AB144</f>
        <v>20.1122496225081</v>
      </c>
      <c r="AF144" s="45" t="n">
        <f aca="false">100*AD144/AB144</f>
        <v>17.2987781268132</v>
      </c>
      <c r="AG144" s="45" t="n">
        <f aca="false">IFERROR(100*ABS(AE144-AF144)/(AE144+AF144),0)</f>
        <v>7.52043358591221</v>
      </c>
      <c r="AH144" s="45" t="n">
        <f aca="false">2/(p_AdxN+1)*AG144+(1-2/(p_AdxN+1))*AH143</f>
        <v>36.3514884644591</v>
      </c>
      <c r="AI144" s="40" t="n">
        <f aca="false">I144*(1+p_ChPct)</f>
        <v>22.1505375534508</v>
      </c>
      <c r="AJ144" s="40" t="n">
        <f aca="false">I144*(1-p_ChPct)</f>
        <v>19.6429295285319</v>
      </c>
      <c r="AK144" s="40" t="n">
        <f aca="false">I144+1*Y144</f>
        <v>21.3051950794529</v>
      </c>
      <c r="AL144" s="40" t="n">
        <f aca="false">I144+2*Y144</f>
        <v>21.7136566179144</v>
      </c>
      <c r="AM144" s="40" t="n">
        <f aca="false">I144+3*Y144</f>
        <v>22.122118156376</v>
      </c>
      <c r="AN144" s="40" t="n">
        <f aca="false">I144-1*Y144</f>
        <v>20.4882720025298</v>
      </c>
      <c r="AO144" s="40" t="n">
        <f aca="false">I144-2*Y144</f>
        <v>20.0798104640683</v>
      </c>
      <c r="AP144" s="40" t="n">
        <f aca="false">I144-3*Y144</f>
        <v>19.6713489256067</v>
      </c>
      <c r="AQ144" s="40" t="n">
        <f aca="true">MAX(OFFSET(C144,1-MIN(p_StochN,ROW()-4),0,MIN(p_StochN,ROW()-4),1))</f>
        <v>21.56</v>
      </c>
      <c r="AR144" s="40" t="n">
        <f aca="true">MIN(OFFSET(D144,1-MIN(p_StochN,ROW()-4),0,MIN(p_StochN,ROW()-4),1))</f>
        <v>20.71</v>
      </c>
      <c r="AS144" s="45" t="n">
        <f aca="false">IF(AQ144=AR144,50,100*(E144-AR144)/(AQ144-AR144))</f>
        <v>14.1176470588233</v>
      </c>
      <c r="AT144" s="45" t="n">
        <f aca="true">AVERAGE(OFFSET(AS144,1-MIN(p_StochSm,ROW()-4),0,MIN(p_StochSm,ROW()-4),1))</f>
        <v>42.2581340228398</v>
      </c>
      <c r="AU144" s="45" t="n">
        <f aca="true">AVERAGE(OFFSET(AT144,1-MIN(p_StochSm,ROW()-4),0,MIN(p_StochSm,ROW()-4),1))</f>
        <v>55.2309128779716</v>
      </c>
      <c r="AV144" s="41" t="n">
        <f aca="false">MAX(0,H144-D144)</f>
        <v>0.211407456688175</v>
      </c>
      <c r="AW144" s="41" t="n">
        <f aca="true">IF(COUNTIF(OFFSET(AV144,1-MIN(p_PenLb,ROW()-4),0,MIN(p_PenLb,ROW()-4),1),"&gt;0")&gt;0,SUM(OFFSET(AV144,1-MIN(p_PenLb,ROW()-4),0,MIN(p_PenLb,ROW()-4),1))/COUNTIF(OFFSET(AV144,1-MIN(p_PenLb,ROW()-4),0,MIN(p_PenLb,ROW()-4),1),"&gt;0"),0.5*Y144)</f>
        <v>0.5192802157983</v>
      </c>
      <c r="AX144" s="41" t="n">
        <f aca="false">2*H144-H143</f>
        <v>20.9061728805735</v>
      </c>
      <c r="AY144" s="40" t="n">
        <f aca="false">ROUND(MAX(AX144-AW144,0.01),2)</f>
        <v>20.39</v>
      </c>
      <c r="AZ144" s="40" t="n">
        <f aca="true">IF(MIN(p_StopLb,ROW()-4)&lt;2,D144,SMALL(OFFSET(D144,1-MIN(p_StopLb,ROW()-4),0,MIN(p_StopLb,ROW()-4),1),2))</f>
        <v>20.71</v>
      </c>
      <c r="BA144" s="40" t="n">
        <f aca="false">IF(MOD(ROUND(ROUNDDOWN(MIN(AZ144-0.01,AY144-p_StopAtr*Y144),2)*100,0),50)=0,ROUNDDOWN(MIN(AZ144-0.01,AY144-p_StopAtr*Y144),2)-0.01,ROUNDDOWN(MIN(AZ144-0.01,AY144-p_StopAtr*Y144),2))</f>
        <v>19.98</v>
      </c>
      <c r="BB144" s="40" t="n">
        <f aca="false">ROUND(AI144,2)</f>
        <v>22.15</v>
      </c>
      <c r="BC144" s="40" t="n">
        <f aca="false">IF(AY144-BA144&gt;0,(BB144-AY144)/(AY144-BA144),0)</f>
        <v>4.29268292682926</v>
      </c>
      <c r="BD144" s="42" t="n">
        <f aca="false">IF(N144&lt;0,1,0)</f>
        <v>0</v>
      </c>
      <c r="BE144" s="41" t="n">
        <f aca="false">IF(AND(BD144=1,BD143=0),N144,IF(BD144=1,MIN(BE143,N144),BE143))</f>
        <v>-0.0583119972977335</v>
      </c>
      <c r="BF144" s="40" t="n">
        <f aca="false">IF(AND(BD144=1,BD143=0),D144,IF(BD144=1,MIN(BF143,D144),BF143))</f>
        <v>19.27</v>
      </c>
      <c r="BG144" s="42" t="n">
        <f aca="false">IF(AND(BD144=1,BD143=0),ROW(),IF(BD144=1,IF(N144&lt;BE143,ROW(),BG143),BG143))</f>
        <v>124</v>
      </c>
      <c r="BH144" s="41" t="n">
        <f aca="false">IF(AND(BD144=1,BD143=0),BE143,BH143)</f>
        <v>-0.392824838841331</v>
      </c>
      <c r="BI144" s="40" t="n">
        <f aca="false">IF(AND(BD144=1,BD143=0),BF143,BI143)</f>
        <v>20.27</v>
      </c>
      <c r="BJ144" s="42" t="n">
        <f aca="false">IF(AND(BD144=1,BD143=0),BG143,BJ143)</f>
        <v>98</v>
      </c>
      <c r="BK144" s="42" t="n">
        <f aca="false">IF(AND(ISNUMBER(BG144),ISNUMBER(BJ144)),BG144-BJ144,"")</f>
        <v>26</v>
      </c>
      <c r="BL144" s="42" t="n">
        <f aca="false">IF(AND(BD144=1,N144&gt;N143,ISNUMBER(BH144),ISNUMBER(BK144)),IF(AND(BE144&gt;BH144,BF144&lt;BI144,BK144&gt;=p_GapMin,BK144&lt;=p_GapMax),1,0),0)</f>
        <v>0</v>
      </c>
      <c r="BM144" s="42" t="n">
        <f aca="false">IF(AND(BL144=1,E144&gt;BI144),1,0)</f>
        <v>0</v>
      </c>
      <c r="BN144" s="42" t="n">
        <f aca="false">IF(BL144=1,IF(BE144&gt;=BH144*0.5,1,0),0)</f>
        <v>0</v>
      </c>
      <c r="BO144" s="42" t="n">
        <f aca="true">IF(V144&gt;MIN(OFFSET(V144,-MIN(p_FiLb-1,ROW()-5),0,MIN(p_FiLb-1,ROW()-5),1)),1,0)</f>
        <v>1</v>
      </c>
      <c r="BP144" s="44" t="n">
        <f aca="true">IF(COUNTIF(OFFSET(V144,1-MIN(100,ROW()-4),0,MIN(100,ROW()-4),1),"&lt;0")&gt;=5,AVERAGEIF(OFFSET(V144,1-MIN(100,ROW()-4),0,MIN(100,ROW()-4),1),"&lt;0"),"")</f>
        <v>-986769.93398074</v>
      </c>
      <c r="BQ144" s="42" t="n">
        <f aca="false">IF(ISNUMBER(BP144),IF(AND(V144&lt;5*BP144,V144&gt;V143,E144&lt;AJ144),1,0),0)</f>
        <v>0</v>
      </c>
      <c r="BR144" s="44" t="n">
        <f aca="true">AVERAGE(OFFSET(F144,1-MIN(5,ROW()-4),0,MIN(5,ROW()-4),1))</f>
        <v>3398620</v>
      </c>
      <c r="BS144" s="42" t="n">
        <f aca="false">IFERROR(IF(MATCH(G144,周线!$A$5:$A$84,0)&lt;=1,"",INDEX(周线!$R$5:$R$84,MATCH(G144,周线!$A$5:$A$84,0)-1)),"")</f>
        <v>0</v>
      </c>
      <c r="BT144" s="42" t="n">
        <f aca="false">IFERROR(IF(MATCH(G144,周线!$A$5:$A$84,0)&lt;=1,"",INDEX(周线!$S$5:$S$84,MATCH(G144,周线!$A$5:$A$84,0)-1)),"")</f>
        <v>1</v>
      </c>
      <c r="BU144" s="42" t="n">
        <f aca="false">IFERROR(IF(MATCH(G144,周线!$A$5:$A$84,0)&lt;=1,"",INDEX(周线!$U$5:$U$84,MATCH(G144,周线!$A$5:$A$84,0)-1)),"")</f>
        <v>0</v>
      </c>
      <c r="BV144" s="42" t="n">
        <f aca="false">IF(AND(BS144=1,S144&lt;&gt;-1,V144&lt;0,BO144=1,E144&lt;=H144,E144&gt;=AJ144),1,0)</f>
        <v>0</v>
      </c>
      <c r="BW144" s="42" t="n">
        <f aca="false">BL144</f>
        <v>0</v>
      </c>
      <c r="BX144" s="42" t="n">
        <f aca="false">BQ144</f>
        <v>0</v>
      </c>
      <c r="BY144" s="42" t="n">
        <f aca="false">IF(BS144=1,10,0)+IF(BU144=1,5,IF(BU144=-1,0,3))+IF(BT144=1,5,0)+IF(AND(AE144&gt;AF144,AH144&gt;AH143),5,0)</f>
        <v>8</v>
      </c>
      <c r="BZ144" s="42" t="n">
        <f aca="false">IF(AND(E144&lt;=H144,E144&gt;=I144),10,IF(AND(E144&gt;=AJ144,E144&lt;I144),6,0))+IF(AND(V144&lt;0,BO144=1),8,0)+IF(AT144&lt;30,7,IF(AT144&lt;50,3,0))</f>
        <v>17</v>
      </c>
      <c r="CA144" s="42" t="n">
        <f aca="false">IF(AND(BV144=1,BW144=1),25,IF(BW144=1,22,IF(BV144=1,15,IF(BX144=1,12,0))))</f>
        <v>0</v>
      </c>
      <c r="CB144" s="42" t="n">
        <f aca="false">IF(W144&gt;0,6,0)+IF(F144&lt;BR144,4,0)</f>
        <v>0</v>
      </c>
      <c r="CC144" s="42" t="n">
        <f aca="false">IF(BC144&gt;=3,15,IF(BC144&gt;=p_RRmin,10,IF(BC144&gt;=1.5,4,0)))</f>
        <v>15</v>
      </c>
      <c r="CD144" s="42" t="n">
        <f aca="false">BY144+BZ144+CA144+CB144+CC144</f>
        <v>40</v>
      </c>
      <c r="CE144" s="42" t="n">
        <f aca="false">IF(AND(BS144&lt;&gt;1,BW144+BX144=0),1,0)</f>
        <v>1</v>
      </c>
      <c r="CF144" s="42" t="n">
        <f aca="false">IF(BU144=-1,1,0)</f>
        <v>0</v>
      </c>
      <c r="CG144" s="42" t="n">
        <f aca="false">IF(S144=-1,1,0)</f>
        <v>1</v>
      </c>
      <c r="CH144" s="42" t="n">
        <f aca="false">IF(BV144+BW144+BX144=0,1,0)</f>
        <v>1</v>
      </c>
      <c r="CI144" s="42" t="n">
        <f aca="false">IF(BC144&lt;p_RRmin,1,0)</f>
        <v>0</v>
      </c>
      <c r="CJ144" s="46" t="str">
        <f aca="false">IF(SUM(CE144:CI144)=0,IF(CD144&gt;=p_GradeA,"A",IF(CD144&gt;=p_GradeB,"B","C")),IF(AND(CI144=1,SUM(CE144:CH144)=0,CD144&gt;=p_GradeB),"B","C"))</f>
        <v>C</v>
      </c>
    </row>
    <row r="145" customFormat="false" ht="15" hidden="false" customHeight="false" outlineLevel="0" collapsed="false">
      <c r="A145" s="36" t="n">
        <v>45855</v>
      </c>
      <c r="B145" s="37" t="n">
        <v>20.79</v>
      </c>
      <c r="C145" s="37" t="n">
        <v>21.4</v>
      </c>
      <c r="D145" s="37" t="n">
        <v>20.71</v>
      </c>
      <c r="E145" s="37" t="n">
        <v>21.35</v>
      </c>
      <c r="F145" s="38" t="n">
        <v>3585300</v>
      </c>
      <c r="G145" s="39" t="n">
        <f aca="false">A145-WEEKDAY(A145,3)</f>
        <v>45852</v>
      </c>
      <c r="H145" s="40" t="n">
        <f aca="false">2/(p_EmaF+1)*E145+(1-2/(p_EmaF+1))*H144</f>
        <v>20.9826349628756</v>
      </c>
      <c r="I145" s="40" t="n">
        <f aca="false">2/(p_EmaS+1)*E145+(1-2/(p_EmaS+1))*I144</f>
        <v>20.9303088342512</v>
      </c>
      <c r="J145" s="41" t="n">
        <f aca="false">2/(p_MacdF+1)*E145+(1-2/(p_MacdF+1))*J144</f>
        <v>21.0004276936262</v>
      </c>
      <c r="K145" s="41" t="n">
        <f aca="false">2/(p_MacdS+1)*E145+(1-2/(p_MacdS+1))*K144</f>
        <v>20.9303088342512</v>
      </c>
      <c r="L145" s="41" t="n">
        <f aca="false">J145-K145</f>
        <v>0.0701188593749542</v>
      </c>
      <c r="M145" s="41" t="n">
        <f aca="false">2/(p_MacdSig+1)*L145+(1-2/(p_MacdSig+1))*M144</f>
        <v>-0.0254658883590532</v>
      </c>
      <c r="N145" s="41" t="n">
        <f aca="false">L145-M145</f>
        <v>0.0955847477340074</v>
      </c>
      <c r="O145" s="42" t="n">
        <f aca="false">IF(H145&gt;H144,1,0)</f>
        <v>1</v>
      </c>
      <c r="P145" s="42" t="n">
        <f aca="false">IF(H145&lt;H144,1,0)</f>
        <v>0</v>
      </c>
      <c r="Q145" s="42" t="n">
        <f aca="false">IF(N145&gt;N144,1,0)</f>
        <v>1</v>
      </c>
      <c r="R145" s="42" t="n">
        <f aca="false">IF(N145&lt;N144,1,0)</f>
        <v>0</v>
      </c>
      <c r="S145" s="42" t="n">
        <f aca="false">IF(AND(O145=1,Q145=1),1,IF(AND(P145=1,R145=1),-1,0))</f>
        <v>1</v>
      </c>
      <c r="T145" s="43" t="str">
        <f aca="false">IF(S145=1,"绿",IF(S145=-1,"红","蓝"))</f>
        <v>绿</v>
      </c>
      <c r="U145" s="44" t="n">
        <f aca="false">F145*(E145-E144)</f>
        <v>1864356.00000001</v>
      </c>
      <c r="V145" s="44" t="n">
        <f aca="false">2/(p_FiS+1)*U145+(1-2/(p_FiS+1))*V144</f>
        <v>1014480.02247461</v>
      </c>
      <c r="W145" s="44" t="n">
        <f aca="false">2/(p_FiL+1)*U145+(1-2/(p_FiL+1))*W144</f>
        <v>170553.068565718</v>
      </c>
      <c r="X145" s="41" t="n">
        <f aca="false">MAX(C145-D145,ABS(C145-E144),ABS(D145-E144))</f>
        <v>0.689999999999998</v>
      </c>
      <c r="Y145" s="41" t="n">
        <f aca="true">AVERAGE(OFFSET(X145,1-MIN(p_AtrN,ROW()-4),0,MIN(p_AtrN,ROW()-4),1))</f>
        <v>0.430769230769231</v>
      </c>
      <c r="Z145" s="41" t="n">
        <f aca="false">IF(AND(C145-C144&gt;D144-D145,C145-C144&gt;0),C145-C144,0)</f>
        <v>0.289999999999999</v>
      </c>
      <c r="AA145" s="41" t="n">
        <f aca="false">IF(AND(D144-D145&gt;C145-C144,D144-D145&gt;0),D144-D145,0)</f>
        <v>0</v>
      </c>
      <c r="AB145" s="41" t="n">
        <f aca="false">2/(p_AdxN+1)*X145+(1-2/(p_AdxN+1))*AB144</f>
        <v>0.475671105070915</v>
      </c>
      <c r="AC145" s="41" t="n">
        <f aca="false">2/(p_AdxN+1)*Z145+(1-2/(p_AdxN+1))*AC144</f>
        <v>0.117271799691819</v>
      </c>
      <c r="AD145" s="41" t="n">
        <f aca="false">2/(p_AdxN+1)*AA145+(1-2/(p_AdxN+1))*AD144</f>
        <v>0.0652336363545766</v>
      </c>
      <c r="AE145" s="45" t="n">
        <f aca="false">100*AC145/AB145</f>
        <v>24.6539675085657</v>
      </c>
      <c r="AF145" s="45" t="n">
        <f aca="false">100*AD145/AB145</f>
        <v>13.7140212342415</v>
      </c>
      <c r="AG145" s="45" t="n">
        <f aca="false">IFERROR(100*ABS(AE145-AF145)/(AE145+AF145),0)</f>
        <v>28.5132127922005</v>
      </c>
      <c r="AH145" s="45" t="n">
        <f aca="false">2/(p_AdxN+1)*AG145+(1-2/(p_AdxN+1))*AH144</f>
        <v>35.2317347969936</v>
      </c>
      <c r="AI145" s="40" t="n">
        <f aca="false">I145*(1+p_ChPct)</f>
        <v>22.1861273643063</v>
      </c>
      <c r="AJ145" s="40" t="n">
        <f aca="false">I145*(1-p_ChPct)</f>
        <v>19.6744903041962</v>
      </c>
      <c r="AK145" s="40" t="n">
        <f aca="false">I145+1*Y145</f>
        <v>21.3610780650205</v>
      </c>
      <c r="AL145" s="40" t="n">
        <f aca="false">I145+2*Y145</f>
        <v>21.7918472957897</v>
      </c>
      <c r="AM145" s="40" t="n">
        <f aca="false">I145+3*Y145</f>
        <v>22.2226165265589</v>
      </c>
      <c r="AN145" s="40" t="n">
        <f aca="false">I145-1*Y145</f>
        <v>20.499539603482</v>
      </c>
      <c r="AO145" s="40" t="n">
        <f aca="false">I145-2*Y145</f>
        <v>20.0687703727128</v>
      </c>
      <c r="AP145" s="40" t="n">
        <f aca="false">I145-3*Y145</f>
        <v>19.6380011419436</v>
      </c>
      <c r="AQ145" s="40" t="n">
        <f aca="true">MAX(OFFSET(C145,1-MIN(p_StochN,ROW()-4),0,MIN(p_StochN,ROW()-4),1))</f>
        <v>21.56</v>
      </c>
      <c r="AR145" s="40" t="n">
        <f aca="true">MIN(OFFSET(D145,1-MIN(p_StochN,ROW()-4),0,MIN(p_StochN,ROW()-4),1))</f>
        <v>20.71</v>
      </c>
      <c r="AS145" s="45" t="n">
        <f aca="false">IF(AQ145=AR145,50,100*(E145-AR145)/(AQ145-AR145))</f>
        <v>75.2941176470591</v>
      </c>
      <c r="AT145" s="45" t="n">
        <f aca="true">AVERAGE(OFFSET(AS145,1-MIN(p_StochSm,ROW()-4),0,MIN(p_StochSm,ROW()-4),1))</f>
        <v>42.2581340228399</v>
      </c>
      <c r="AU145" s="45" t="n">
        <f aca="true">AVERAGE(OFFSET(AT145,1-MIN(p_StochSm,ROW()-4),0,MIN(p_StochSm,ROW()-4),1))</f>
        <v>46.964016375781</v>
      </c>
      <c r="AV145" s="41" t="n">
        <f aca="false">MAX(0,H145-D145)</f>
        <v>0.272634962875582</v>
      </c>
      <c r="AW145" s="41" t="n">
        <f aca="true">IF(COUNTIF(OFFSET(AV145,1-MIN(p_PenLb,ROW()-4),0,MIN(p_PenLb,ROW()-4),1),"&gt;0")&gt;0,SUM(OFFSET(AV145,1-MIN(p_PenLb,ROW()-4),0,MIN(p_PenLb,ROW()-4),1))/COUNTIF(OFFSET(AV145,1-MIN(p_PenLb,ROW()-4),0,MIN(p_PenLb,ROW()-4),1),"&gt;0"),0.5*Y145)</f>
        <v>0.526188581527443</v>
      </c>
      <c r="AX145" s="41" t="n">
        <f aca="false">2*H145-H144</f>
        <v>21.043862469063</v>
      </c>
      <c r="AY145" s="40" t="n">
        <f aca="false">ROUND(MAX(AX145-AW145,0.01),2)</f>
        <v>20.52</v>
      </c>
      <c r="AZ145" s="40" t="n">
        <f aca="true">IF(MIN(p_StopLb,ROW()-4)&lt;2,D145,SMALL(OFFSET(D145,1-MIN(p_StopLb,ROW()-4),0,MIN(p_StopLb,ROW()-4),1),2))</f>
        <v>20.71</v>
      </c>
      <c r="BA145" s="40" t="n">
        <f aca="false">IF(MOD(ROUND(ROUNDDOWN(MIN(AZ145-0.01,AY145-p_StopAtr*Y145),2)*100,0),50)=0,ROUNDDOWN(MIN(AZ145-0.01,AY145-p_StopAtr*Y145),2)-0.01,ROUNDDOWN(MIN(AZ145-0.01,AY145-p_StopAtr*Y145),2))</f>
        <v>20.08</v>
      </c>
      <c r="BB145" s="40" t="n">
        <f aca="false">ROUND(AI145,2)</f>
        <v>22.19</v>
      </c>
      <c r="BC145" s="40" t="n">
        <f aca="false">IF(AY145-BA145&gt;0,(BB145-AY145)/(AY145-BA145),0)</f>
        <v>3.79545454545454</v>
      </c>
      <c r="BD145" s="42" t="n">
        <f aca="false">IF(N145&lt;0,1,0)</f>
        <v>0</v>
      </c>
      <c r="BE145" s="41" t="n">
        <f aca="false">IF(AND(BD145=1,BD144=0),N145,IF(BD145=1,MIN(BE144,N145),BE144))</f>
        <v>-0.0583119972977335</v>
      </c>
      <c r="BF145" s="40" t="n">
        <f aca="false">IF(AND(BD145=1,BD144=0),D145,IF(BD145=1,MIN(BF144,D145),BF144))</f>
        <v>19.27</v>
      </c>
      <c r="BG145" s="42" t="n">
        <f aca="false">IF(AND(BD145=1,BD144=0),ROW(),IF(BD145=1,IF(N145&lt;BE144,ROW(),BG144),BG144))</f>
        <v>124</v>
      </c>
      <c r="BH145" s="41" t="n">
        <f aca="false">IF(AND(BD145=1,BD144=0),BE144,BH144)</f>
        <v>-0.392824838841331</v>
      </c>
      <c r="BI145" s="40" t="n">
        <f aca="false">IF(AND(BD145=1,BD144=0),BF144,BI144)</f>
        <v>20.27</v>
      </c>
      <c r="BJ145" s="42" t="n">
        <f aca="false">IF(AND(BD145=1,BD144=0),BG144,BJ144)</f>
        <v>98</v>
      </c>
      <c r="BK145" s="42" t="n">
        <f aca="false">IF(AND(ISNUMBER(BG145),ISNUMBER(BJ145)),BG145-BJ145,"")</f>
        <v>26</v>
      </c>
      <c r="BL145" s="42" t="n">
        <f aca="false">IF(AND(BD145=1,N145&gt;N144,ISNUMBER(BH145),ISNUMBER(BK145)),IF(AND(BE145&gt;BH145,BF145&lt;BI145,BK145&gt;=p_GapMin,BK145&lt;=p_GapMax),1,0),0)</f>
        <v>0</v>
      </c>
      <c r="BM145" s="42" t="n">
        <f aca="false">IF(AND(BL145=1,E145&gt;BI145),1,0)</f>
        <v>0</v>
      </c>
      <c r="BN145" s="42" t="n">
        <f aca="false">IF(BL145=1,IF(BE145&gt;=BH145*0.5,1,0),0)</f>
        <v>0</v>
      </c>
      <c r="BO145" s="42" t="n">
        <f aca="true">IF(V145&gt;MIN(OFFSET(V145,-MIN(p_FiLb-1,ROW()-5),0,MIN(p_FiLb-1,ROW()-5),1)),1,0)</f>
        <v>1</v>
      </c>
      <c r="BP145" s="44" t="n">
        <f aca="true">IF(COUNTIF(OFFSET(V145,1-MIN(100,ROW()-4),0,MIN(100,ROW()-4),1),"&lt;0")&gt;=5,AVERAGEIF(OFFSET(V145,1-MIN(100,ROW()-4),0,MIN(100,ROW()-4),1),"&lt;0"),"")</f>
        <v>-1001661.45666992</v>
      </c>
      <c r="BQ145" s="42" t="n">
        <f aca="false">IF(ISNUMBER(BP145),IF(AND(V145&lt;5*BP145,V145&gt;V144,E145&lt;AJ145),1,0),0)</f>
        <v>0</v>
      </c>
      <c r="BR145" s="44" t="n">
        <f aca="true">AVERAGE(OFFSET(F145,1-MIN(5,ROW()-4),0,MIN(5,ROW()-4),1))</f>
        <v>3591960</v>
      </c>
      <c r="BS145" s="42" t="n">
        <f aca="false">IFERROR(IF(MATCH(G145,周线!$A$5:$A$84,0)&lt;=1,"",INDEX(周线!$R$5:$R$84,MATCH(G145,周线!$A$5:$A$84,0)-1)),"")</f>
        <v>0</v>
      </c>
      <c r="BT145" s="42" t="n">
        <f aca="false">IFERROR(IF(MATCH(G145,周线!$A$5:$A$84,0)&lt;=1,"",INDEX(周线!$S$5:$S$84,MATCH(G145,周线!$A$5:$A$84,0)-1)),"")</f>
        <v>1</v>
      </c>
      <c r="BU145" s="42" t="n">
        <f aca="false">IFERROR(IF(MATCH(G145,周线!$A$5:$A$84,0)&lt;=1,"",INDEX(周线!$U$5:$U$84,MATCH(G145,周线!$A$5:$A$84,0)-1)),"")</f>
        <v>0</v>
      </c>
      <c r="BV145" s="42" t="n">
        <f aca="false">IF(AND(BS145=1,S145&lt;&gt;-1,V145&lt;0,BO145=1,E145&lt;=H145,E145&gt;=AJ145),1,0)</f>
        <v>0</v>
      </c>
      <c r="BW145" s="42" t="n">
        <f aca="false">BL145</f>
        <v>0</v>
      </c>
      <c r="BX145" s="42" t="n">
        <f aca="false">BQ145</f>
        <v>0</v>
      </c>
      <c r="BY145" s="42" t="n">
        <f aca="false">IF(BS145=1,10,0)+IF(BU145=1,5,IF(BU145=-1,0,3))+IF(BT145=1,5,0)+IF(AND(AE145&gt;AF145,AH145&gt;AH144),5,0)</f>
        <v>8</v>
      </c>
      <c r="BZ145" s="42" t="n">
        <f aca="false">IF(AND(E145&lt;=H145,E145&gt;=I145),10,IF(AND(E145&gt;=AJ145,E145&lt;I145),6,0))+IF(AND(V145&lt;0,BO145=1),8,0)+IF(AT145&lt;30,7,IF(AT145&lt;50,3,0))</f>
        <v>3</v>
      </c>
      <c r="CA145" s="42" t="n">
        <f aca="false">IF(AND(BV145=1,BW145=1),25,IF(BW145=1,22,IF(BV145=1,15,IF(BX145=1,12,0))))</f>
        <v>0</v>
      </c>
      <c r="CB145" s="42" t="n">
        <f aca="false">IF(W145&gt;0,6,0)+IF(F145&lt;BR145,4,0)</f>
        <v>10</v>
      </c>
      <c r="CC145" s="42" t="n">
        <f aca="false">IF(BC145&gt;=3,15,IF(BC145&gt;=p_RRmin,10,IF(BC145&gt;=1.5,4,0)))</f>
        <v>15</v>
      </c>
      <c r="CD145" s="42" t="n">
        <f aca="false">BY145+BZ145+CA145+CB145+CC145</f>
        <v>36</v>
      </c>
      <c r="CE145" s="42" t="n">
        <f aca="false">IF(AND(BS145&lt;&gt;1,BW145+BX145=0),1,0)</f>
        <v>1</v>
      </c>
      <c r="CF145" s="42" t="n">
        <f aca="false">IF(BU145=-1,1,0)</f>
        <v>0</v>
      </c>
      <c r="CG145" s="42" t="n">
        <f aca="false">IF(S145=-1,1,0)</f>
        <v>0</v>
      </c>
      <c r="CH145" s="42" t="n">
        <f aca="false">IF(BV145+BW145+BX145=0,1,0)</f>
        <v>1</v>
      </c>
      <c r="CI145" s="42" t="n">
        <f aca="false">IF(BC145&lt;p_RRmin,1,0)</f>
        <v>0</v>
      </c>
      <c r="CJ145" s="46" t="str">
        <f aca="false">IF(SUM(CE145:CI145)=0,IF(CD145&gt;=p_GradeA,"A",IF(CD145&gt;=p_GradeB,"B","C")),IF(AND(CI145=1,SUM(CE145:CH145)=0,CD145&gt;=p_GradeB),"B","C"))</f>
        <v>C</v>
      </c>
    </row>
    <row r="146" customFormat="false" ht="15" hidden="false" customHeight="false" outlineLevel="0" collapsed="false">
      <c r="A146" s="36" t="n">
        <v>45856</v>
      </c>
      <c r="B146" s="37" t="n">
        <v>21.39</v>
      </c>
      <c r="C146" s="37" t="n">
        <v>22.05</v>
      </c>
      <c r="D146" s="37" t="n">
        <v>21.18</v>
      </c>
      <c r="E146" s="37" t="n">
        <v>21.69</v>
      </c>
      <c r="F146" s="38" t="n">
        <v>4472400</v>
      </c>
      <c r="G146" s="39" t="n">
        <f aca="false">A146-WEEKDAY(A146,3)</f>
        <v>45852</v>
      </c>
      <c r="H146" s="40" t="n">
        <f aca="false">2/(p_EmaF+1)*E146+(1-2/(p_EmaF+1))*H145</f>
        <v>21.0836871110362</v>
      </c>
      <c r="I146" s="40" t="n">
        <f aca="false">2/(p_EmaS+1)*E146+(1-2/(p_EmaS+1))*I145</f>
        <v>20.9865822539363</v>
      </c>
      <c r="J146" s="41" t="n">
        <f aca="false">2/(p_MacdF+1)*E146+(1-2/(p_MacdF+1))*J145</f>
        <v>21.1065157407606</v>
      </c>
      <c r="K146" s="41" t="n">
        <f aca="false">2/(p_MacdS+1)*E146+(1-2/(p_MacdS+1))*K145</f>
        <v>20.9865822539363</v>
      </c>
      <c r="L146" s="41" t="n">
        <f aca="false">J146-K146</f>
        <v>0.119933486824294</v>
      </c>
      <c r="M146" s="41" t="n">
        <f aca="false">2/(p_MacdSig+1)*L146+(1-2/(p_MacdSig+1))*M145</f>
        <v>0.00361398667761631</v>
      </c>
      <c r="N146" s="41" t="n">
        <f aca="false">L146-M146</f>
        <v>0.116319500146678</v>
      </c>
      <c r="O146" s="42" t="n">
        <f aca="false">IF(H146&gt;H145,1,0)</f>
        <v>1</v>
      </c>
      <c r="P146" s="42" t="n">
        <f aca="false">IF(H146&lt;H145,1,0)</f>
        <v>0</v>
      </c>
      <c r="Q146" s="42" t="n">
        <f aca="false">IF(N146&gt;N145,1,0)</f>
        <v>1</v>
      </c>
      <c r="R146" s="42" t="n">
        <f aca="false">IF(N146&lt;N145,1,0)</f>
        <v>0</v>
      </c>
      <c r="S146" s="42" t="n">
        <f aca="false">IF(AND(O146=1,Q146=1),1,IF(AND(P146=1,R146=1),-1,0))</f>
        <v>1</v>
      </c>
      <c r="T146" s="43" t="str">
        <f aca="false">IF(S146=1,"绿",IF(S146=-1,"红","蓝"))</f>
        <v>绿</v>
      </c>
      <c r="U146" s="44" t="n">
        <f aca="false">F146*(E146-E145)</f>
        <v>1520616</v>
      </c>
      <c r="V146" s="44" t="n">
        <f aca="false">2/(p_FiS+1)*U146+(1-2/(p_FiS+1))*V145</f>
        <v>1351904.00749154</v>
      </c>
      <c r="W146" s="44" t="n">
        <f aca="false">2/(p_FiL+1)*U146+(1-2/(p_FiL+1))*W145</f>
        <v>363419.201627758</v>
      </c>
      <c r="X146" s="41" t="n">
        <f aca="false">MAX(C146-D146,ABS(C146-E145),ABS(D146-E145))</f>
        <v>0.870000000000001</v>
      </c>
      <c r="Y146" s="41" t="n">
        <f aca="true">AVERAGE(OFFSET(X146,1-MIN(p_AtrN,ROW()-4),0,MIN(p_AtrN,ROW()-4),1))</f>
        <v>0.450769230769231</v>
      </c>
      <c r="Z146" s="41" t="n">
        <f aca="false">IF(AND(C146-C145&gt;D145-D146,C146-C145&gt;0),C146-C145,0)</f>
        <v>0.650000000000002</v>
      </c>
      <c r="AA146" s="41" t="n">
        <f aca="false">IF(AND(D145-D146&gt;C146-C145,D145-D146&gt;0),D145-D146,0)</f>
        <v>0</v>
      </c>
      <c r="AB146" s="41" t="n">
        <f aca="false">2/(p_AdxN+1)*X146+(1-2/(p_AdxN+1))*AB145</f>
        <v>0.532003804346499</v>
      </c>
      <c r="AC146" s="41" t="n">
        <f aca="false">2/(p_AdxN+1)*Z146+(1-2/(p_AdxN+1))*AC145</f>
        <v>0.193375828307273</v>
      </c>
      <c r="AD146" s="41" t="n">
        <f aca="false">2/(p_AdxN+1)*AA146+(1-2/(p_AdxN+1))*AD145</f>
        <v>0.05591454544678</v>
      </c>
      <c r="AE146" s="45" t="n">
        <f aca="false">100*AC146/AB146</f>
        <v>36.3485799776962</v>
      </c>
      <c r="AF146" s="45" t="n">
        <f aca="false">100*AD146/AB146</f>
        <v>10.5101777449626</v>
      </c>
      <c r="AG146" s="45" t="n">
        <f aca="false">IFERROR(100*ABS(AE146-AF146)/(AE146+AF146),0)</f>
        <v>55.1410312361724</v>
      </c>
      <c r="AH146" s="45" t="n">
        <f aca="false">2/(p_AdxN+1)*AG146+(1-2/(p_AdxN+1))*AH145</f>
        <v>38.0759200025906</v>
      </c>
      <c r="AI146" s="40" t="n">
        <f aca="false">I146*(1+p_ChPct)</f>
        <v>22.2457771891725</v>
      </c>
      <c r="AJ146" s="40" t="n">
        <f aca="false">I146*(1-p_ChPct)</f>
        <v>19.7273873187002</v>
      </c>
      <c r="AK146" s="40" t="n">
        <f aca="false">I146+1*Y146</f>
        <v>21.4373514847056</v>
      </c>
      <c r="AL146" s="40" t="n">
        <f aca="false">I146+2*Y146</f>
        <v>21.8881207154748</v>
      </c>
      <c r="AM146" s="40" t="n">
        <f aca="false">I146+3*Y146</f>
        <v>22.338889946244</v>
      </c>
      <c r="AN146" s="40" t="n">
        <f aca="false">I146-1*Y146</f>
        <v>20.5358130231671</v>
      </c>
      <c r="AO146" s="40" t="n">
        <f aca="false">I146-2*Y146</f>
        <v>20.0850437923979</v>
      </c>
      <c r="AP146" s="40" t="n">
        <f aca="false">I146-3*Y146</f>
        <v>19.6342745616286</v>
      </c>
      <c r="AQ146" s="40" t="n">
        <f aca="true">MAX(OFFSET(C146,1-MIN(p_StochN,ROW()-4),0,MIN(p_StochN,ROW()-4),1))</f>
        <v>22.05</v>
      </c>
      <c r="AR146" s="40" t="n">
        <f aca="true">MIN(OFFSET(D146,1-MIN(p_StochN,ROW()-4),0,MIN(p_StochN,ROW()-4),1))</f>
        <v>20.71</v>
      </c>
      <c r="AS146" s="45" t="n">
        <f aca="false">IF(AQ146=AR146,50,100*(E146-AR146)/(AQ146-AR146))</f>
        <v>73.134328358209</v>
      </c>
      <c r="AT146" s="45" t="n">
        <f aca="true">AVERAGE(OFFSET(AS146,1-MIN(p_StochSm,ROW()-4),0,MIN(p_StochSm,ROW()-4),1))</f>
        <v>54.1820310213638</v>
      </c>
      <c r="AU146" s="45" t="n">
        <f aca="true">AVERAGE(OFFSET(AT146,1-MIN(p_StochSm,ROW()-4),0,MIN(p_StochSm,ROW()-4),1))</f>
        <v>46.2327663556812</v>
      </c>
      <c r="AV146" s="41" t="n">
        <f aca="false">MAX(0,H146-D146)</f>
        <v>0</v>
      </c>
      <c r="AW146" s="41" t="n">
        <f aca="true">IF(COUNTIF(OFFSET(AV146,1-MIN(p_PenLb,ROW()-4),0,MIN(p_PenLb,ROW()-4),1),"&gt;0")&gt;0,SUM(OFFSET(AV146,1-MIN(p_PenLb,ROW()-4),0,MIN(p_PenLb,ROW()-4),1))/COUNTIF(OFFSET(AV146,1-MIN(p_PenLb,ROW()-4),0,MIN(p_PenLb,ROW()-4),1),"&gt;0"),0.5*Y146)</f>
        <v>0.544816898493946</v>
      </c>
      <c r="AX146" s="41" t="n">
        <f aca="false">2*H146-H145</f>
        <v>21.1847392591969</v>
      </c>
      <c r="AY146" s="40" t="n">
        <f aca="false">ROUND(MAX(AX146-AW146,0.01),2)</f>
        <v>20.64</v>
      </c>
      <c r="AZ146" s="40" t="n">
        <f aca="true">IF(MIN(p_StopLb,ROW()-4)&lt;2,D146,SMALL(OFFSET(D146,1-MIN(p_StopLb,ROW()-4),0,MIN(p_StopLb,ROW()-4),1),2))</f>
        <v>20.71</v>
      </c>
      <c r="BA146" s="40" t="n">
        <f aca="false">IF(MOD(ROUND(ROUNDDOWN(MIN(AZ146-0.01,AY146-p_StopAtr*Y146),2)*100,0),50)=0,ROUNDDOWN(MIN(AZ146-0.01,AY146-p_StopAtr*Y146),2)-0.01,ROUNDDOWN(MIN(AZ146-0.01,AY146-p_StopAtr*Y146),2))</f>
        <v>20.18</v>
      </c>
      <c r="BB146" s="40" t="n">
        <f aca="false">ROUND(AI146,2)</f>
        <v>22.25</v>
      </c>
      <c r="BC146" s="40" t="n">
        <f aca="false">IF(AY146-BA146&gt;0,(BB146-AY146)/(AY146-BA146),0)</f>
        <v>3.49999999999999</v>
      </c>
      <c r="BD146" s="42" t="n">
        <f aca="false">IF(N146&lt;0,1,0)</f>
        <v>0</v>
      </c>
      <c r="BE146" s="41" t="n">
        <f aca="false">IF(AND(BD146=1,BD145=0),N146,IF(BD146=1,MIN(BE145,N146),BE145))</f>
        <v>-0.0583119972977335</v>
      </c>
      <c r="BF146" s="40" t="n">
        <f aca="false">IF(AND(BD146=1,BD145=0),D146,IF(BD146=1,MIN(BF145,D146),BF145))</f>
        <v>19.27</v>
      </c>
      <c r="BG146" s="42" t="n">
        <f aca="false">IF(AND(BD146=1,BD145=0),ROW(),IF(BD146=1,IF(N146&lt;BE145,ROW(),BG145),BG145))</f>
        <v>124</v>
      </c>
      <c r="BH146" s="41" t="n">
        <f aca="false">IF(AND(BD146=1,BD145=0),BE145,BH145)</f>
        <v>-0.392824838841331</v>
      </c>
      <c r="BI146" s="40" t="n">
        <f aca="false">IF(AND(BD146=1,BD145=0),BF145,BI145)</f>
        <v>20.27</v>
      </c>
      <c r="BJ146" s="42" t="n">
        <f aca="false">IF(AND(BD146=1,BD145=0),BG145,BJ145)</f>
        <v>98</v>
      </c>
      <c r="BK146" s="42" t="n">
        <f aca="false">IF(AND(ISNUMBER(BG146),ISNUMBER(BJ146)),BG146-BJ146,"")</f>
        <v>26</v>
      </c>
      <c r="BL146" s="42" t="n">
        <f aca="false">IF(AND(BD146=1,N146&gt;N145,ISNUMBER(BH146),ISNUMBER(BK146)),IF(AND(BE146&gt;BH146,BF146&lt;BI146,BK146&gt;=p_GapMin,BK146&lt;=p_GapMax),1,0),0)</f>
        <v>0</v>
      </c>
      <c r="BM146" s="42" t="n">
        <f aca="false">IF(AND(BL146=1,E146&gt;BI146),1,0)</f>
        <v>0</v>
      </c>
      <c r="BN146" s="42" t="n">
        <f aca="false">IF(BL146=1,IF(BE146&gt;=BH146*0.5,1,0),0)</f>
        <v>0</v>
      </c>
      <c r="BO146" s="42" t="n">
        <f aca="true">IF(V146&gt;MIN(OFFSET(V146,-MIN(p_FiLb-1,ROW()-5),0,MIN(p_FiLb-1,ROW()-5),1)),1,0)</f>
        <v>1</v>
      </c>
      <c r="BP146" s="44" t="n">
        <f aca="true">IF(COUNTIF(OFFSET(V146,1-MIN(100,ROW()-4),0,MIN(100,ROW()-4),1),"&lt;0")&gt;=5,AVERAGEIF(OFFSET(V146,1-MIN(100,ROW()-4),0,MIN(100,ROW()-4),1),"&lt;0"),"")</f>
        <v>-1001661.45666992</v>
      </c>
      <c r="BQ146" s="42" t="n">
        <f aca="false">IF(ISNUMBER(BP146),IF(AND(V146&lt;5*BP146,V146&gt;V145,E146&lt;AJ146),1,0),0)</f>
        <v>0</v>
      </c>
      <c r="BR146" s="44" t="n">
        <f aca="true">AVERAGE(OFFSET(F146,1-MIN(5,ROW()-4),0,MIN(5,ROW()-4),1))</f>
        <v>3865000</v>
      </c>
      <c r="BS146" s="42" t="n">
        <f aca="false">IFERROR(IF(MATCH(G146,周线!$A$5:$A$84,0)&lt;=1,"",INDEX(周线!$R$5:$R$84,MATCH(G146,周线!$A$5:$A$84,0)-1)),"")</f>
        <v>0</v>
      </c>
      <c r="BT146" s="42" t="n">
        <f aca="false">IFERROR(IF(MATCH(G146,周线!$A$5:$A$84,0)&lt;=1,"",INDEX(周线!$S$5:$S$84,MATCH(G146,周线!$A$5:$A$84,0)-1)),"")</f>
        <v>1</v>
      </c>
      <c r="BU146" s="42" t="n">
        <f aca="false">IFERROR(IF(MATCH(G146,周线!$A$5:$A$84,0)&lt;=1,"",INDEX(周线!$U$5:$U$84,MATCH(G146,周线!$A$5:$A$84,0)-1)),"")</f>
        <v>0</v>
      </c>
      <c r="BV146" s="42" t="n">
        <f aca="false">IF(AND(BS146=1,S146&lt;&gt;-1,V146&lt;0,BO146=1,E146&lt;=H146,E146&gt;=AJ146),1,0)</f>
        <v>0</v>
      </c>
      <c r="BW146" s="42" t="n">
        <f aca="false">BL146</f>
        <v>0</v>
      </c>
      <c r="BX146" s="42" t="n">
        <f aca="false">BQ146</f>
        <v>0</v>
      </c>
      <c r="BY146" s="42" t="n">
        <f aca="false">IF(BS146=1,10,0)+IF(BU146=1,5,IF(BU146=-1,0,3))+IF(BT146=1,5,0)+IF(AND(AE146&gt;AF146,AH146&gt;AH145),5,0)</f>
        <v>13</v>
      </c>
      <c r="BZ146" s="42" t="n">
        <f aca="false">IF(AND(E146&lt;=H146,E146&gt;=I146),10,IF(AND(E146&gt;=AJ146,E146&lt;I146),6,0))+IF(AND(V146&lt;0,BO146=1),8,0)+IF(AT146&lt;30,7,IF(AT146&lt;50,3,0))</f>
        <v>0</v>
      </c>
      <c r="CA146" s="42" t="n">
        <f aca="false">IF(AND(BV146=1,BW146=1),25,IF(BW146=1,22,IF(BV146=1,15,IF(BX146=1,12,0))))</f>
        <v>0</v>
      </c>
      <c r="CB146" s="42" t="n">
        <f aca="false">IF(W146&gt;0,6,0)+IF(F146&lt;BR146,4,0)</f>
        <v>6</v>
      </c>
      <c r="CC146" s="42" t="n">
        <f aca="false">IF(BC146&gt;=3,15,IF(BC146&gt;=p_RRmin,10,IF(BC146&gt;=1.5,4,0)))</f>
        <v>15</v>
      </c>
      <c r="CD146" s="42" t="n">
        <f aca="false">BY146+BZ146+CA146+CB146+CC146</f>
        <v>34</v>
      </c>
      <c r="CE146" s="42" t="n">
        <f aca="false">IF(AND(BS146&lt;&gt;1,BW146+BX146=0),1,0)</f>
        <v>1</v>
      </c>
      <c r="CF146" s="42" t="n">
        <f aca="false">IF(BU146=-1,1,0)</f>
        <v>0</v>
      </c>
      <c r="CG146" s="42" t="n">
        <f aca="false">IF(S146=-1,1,0)</f>
        <v>0</v>
      </c>
      <c r="CH146" s="42" t="n">
        <f aca="false">IF(BV146+BW146+BX146=0,1,0)</f>
        <v>1</v>
      </c>
      <c r="CI146" s="42" t="n">
        <f aca="false">IF(BC146&lt;p_RRmin,1,0)</f>
        <v>0</v>
      </c>
      <c r="CJ146" s="46" t="str">
        <f aca="false">IF(SUM(CE146:CI146)=0,IF(CD146&gt;=p_GradeA,"A",IF(CD146&gt;=p_GradeB,"B","C")),IF(AND(CI146=1,SUM(CE146:CH146)=0,CD146&gt;=p_GradeB),"B","C"))</f>
        <v>C</v>
      </c>
    </row>
    <row r="147" customFormat="false" ht="15" hidden="false" customHeight="false" outlineLevel="0" collapsed="false">
      <c r="A147" s="36" t="n">
        <v>45859</v>
      </c>
      <c r="B147" s="37" t="n">
        <v>21.69</v>
      </c>
      <c r="C147" s="37" t="n">
        <v>21.78</v>
      </c>
      <c r="D147" s="37" t="n">
        <v>21.38</v>
      </c>
      <c r="E147" s="37" t="n">
        <v>21.56</v>
      </c>
      <c r="F147" s="38" t="n">
        <v>3541800</v>
      </c>
      <c r="G147" s="39" t="n">
        <f aca="false">A147-WEEKDAY(A147,3)</f>
        <v>45859</v>
      </c>
      <c r="H147" s="40" t="n">
        <f aca="false">2/(p_EmaF+1)*E147+(1-2/(p_EmaF+1))*H146</f>
        <v>21.1517318094596</v>
      </c>
      <c r="I147" s="40" t="n">
        <f aca="false">2/(p_EmaS+1)*E147+(1-2/(p_EmaS+1))*I146</f>
        <v>21.0290576425336</v>
      </c>
      <c r="J147" s="41" t="n">
        <f aca="false">2/(p_MacdF+1)*E147+(1-2/(p_MacdF+1))*J146</f>
        <v>21.1762825498744</v>
      </c>
      <c r="K147" s="41" t="n">
        <f aca="false">2/(p_MacdS+1)*E147+(1-2/(p_MacdS+1))*K146</f>
        <v>21.0290576425336</v>
      </c>
      <c r="L147" s="41" t="n">
        <f aca="false">J147-K147</f>
        <v>0.147224907340735</v>
      </c>
      <c r="M147" s="41" t="n">
        <f aca="false">2/(p_MacdSig+1)*L147+(1-2/(p_MacdSig+1))*M146</f>
        <v>0.0323361708102401</v>
      </c>
      <c r="N147" s="41" t="n">
        <f aca="false">L147-M147</f>
        <v>0.114888736530495</v>
      </c>
      <c r="O147" s="42" t="n">
        <f aca="false">IF(H147&gt;H146,1,0)</f>
        <v>1</v>
      </c>
      <c r="P147" s="42" t="n">
        <f aca="false">IF(H147&lt;H146,1,0)</f>
        <v>0</v>
      </c>
      <c r="Q147" s="42" t="n">
        <f aca="false">IF(N147&gt;N146,1,0)</f>
        <v>0</v>
      </c>
      <c r="R147" s="42" t="n">
        <f aca="false">IF(N147&lt;N146,1,0)</f>
        <v>1</v>
      </c>
      <c r="S147" s="42" t="n">
        <f aca="false">IF(AND(O147=1,Q147=1),1,IF(AND(P147=1,R147=1),-1,0))</f>
        <v>0</v>
      </c>
      <c r="T147" s="43" t="str">
        <f aca="false">IF(S147=1,"绿",IF(S147=-1,"红","蓝"))</f>
        <v>蓝</v>
      </c>
      <c r="U147" s="44" t="n">
        <f aca="false">F147*(E147-E146)</f>
        <v>-460434.000000009</v>
      </c>
      <c r="V147" s="44" t="n">
        <f aca="false">2/(p_FiS+1)*U147+(1-2/(p_FiS+1))*V146</f>
        <v>143678.66916384</v>
      </c>
      <c r="W147" s="44" t="n">
        <f aca="false">2/(p_FiL+1)*U147+(1-2/(p_FiL+1))*W146</f>
        <v>245725.887109506</v>
      </c>
      <c r="X147" s="41" t="n">
        <f aca="false">MAX(C147-D147,ABS(C147-E146),ABS(D147-E146))</f>
        <v>0.400000000000002</v>
      </c>
      <c r="Y147" s="41" t="n">
        <f aca="true">AVERAGE(OFFSET(X147,1-MIN(p_AtrN,ROW()-4),0,MIN(p_AtrN,ROW()-4),1))</f>
        <v>0.461538461538462</v>
      </c>
      <c r="Z147" s="41" t="n">
        <f aca="false">IF(AND(C147-C146&gt;D146-D147,C147-C146&gt;0),C147-C146,0)</f>
        <v>0</v>
      </c>
      <c r="AA147" s="41" t="n">
        <f aca="false">IF(AND(D146-D147&gt;C147-C146,D146-D147&gt;0),D146-D147,0)</f>
        <v>0</v>
      </c>
      <c r="AB147" s="41" t="n">
        <f aca="false">2/(p_AdxN+1)*X147+(1-2/(p_AdxN+1))*AB146</f>
        <v>0.513146118011285</v>
      </c>
      <c r="AC147" s="41" t="n">
        <f aca="false">2/(p_AdxN+1)*Z147+(1-2/(p_AdxN+1))*AC146</f>
        <v>0.165750709977663</v>
      </c>
      <c r="AD147" s="41" t="n">
        <f aca="false">2/(p_AdxN+1)*AA147+(1-2/(p_AdxN+1))*AD146</f>
        <v>0.0479267532400971</v>
      </c>
      <c r="AE147" s="45" t="n">
        <f aca="false">100*AC147/AB147</f>
        <v>32.3008796441909</v>
      </c>
      <c r="AF147" s="45" t="n">
        <f aca="false">100*AD147/AB147</f>
        <v>9.33978676986563</v>
      </c>
      <c r="AG147" s="45" t="n">
        <f aca="false">IFERROR(100*ABS(AE147-AF147)/(AE147+AF147),0)</f>
        <v>55.1410312361724</v>
      </c>
      <c r="AH147" s="45" t="n">
        <f aca="false">2/(p_AdxN+1)*AG147+(1-2/(p_AdxN+1))*AH146</f>
        <v>40.5137930359594</v>
      </c>
      <c r="AI147" s="40" t="n">
        <f aca="false">I147*(1+p_ChPct)</f>
        <v>22.2908011010857</v>
      </c>
      <c r="AJ147" s="40" t="n">
        <f aca="false">I147*(1-p_ChPct)</f>
        <v>19.7673141839816</v>
      </c>
      <c r="AK147" s="40" t="n">
        <f aca="false">I147+1*Y147</f>
        <v>21.4905961040721</v>
      </c>
      <c r="AL147" s="40" t="n">
        <f aca="false">I147+2*Y147</f>
        <v>21.9521345656106</v>
      </c>
      <c r="AM147" s="40" t="n">
        <f aca="false">I147+3*Y147</f>
        <v>22.413673027149</v>
      </c>
      <c r="AN147" s="40" t="n">
        <f aca="false">I147-1*Y147</f>
        <v>20.5675191809952</v>
      </c>
      <c r="AO147" s="40" t="n">
        <f aca="false">I147-2*Y147</f>
        <v>20.1059807194567</v>
      </c>
      <c r="AP147" s="40" t="n">
        <f aca="false">I147-3*Y147</f>
        <v>19.6444422579183</v>
      </c>
      <c r="AQ147" s="40" t="n">
        <f aca="true">MAX(OFFSET(C147,1-MIN(p_StochN,ROW()-4),0,MIN(p_StochN,ROW()-4),1))</f>
        <v>22.05</v>
      </c>
      <c r="AR147" s="40" t="n">
        <f aca="true">MIN(OFFSET(D147,1-MIN(p_StochN,ROW()-4),0,MIN(p_StochN,ROW()-4),1))</f>
        <v>20.71</v>
      </c>
      <c r="AS147" s="45" t="n">
        <f aca="false">IF(AQ147=AR147,50,100*(E147-AR147)/(AQ147-AR147))</f>
        <v>63.4328358208954</v>
      </c>
      <c r="AT147" s="45" t="n">
        <f aca="true">AVERAGE(OFFSET(AS147,1-MIN(p_StochSm,ROW()-4),0,MIN(p_StochSm,ROW()-4),1))</f>
        <v>70.6204272753878</v>
      </c>
      <c r="AU147" s="45" t="n">
        <f aca="true">AVERAGE(OFFSET(AT147,1-MIN(p_StochSm,ROW()-4),0,MIN(p_StochSm,ROW()-4),1))</f>
        <v>55.6868641065305</v>
      </c>
      <c r="AV147" s="41" t="n">
        <f aca="false">MAX(0,H147-D147)</f>
        <v>0</v>
      </c>
      <c r="AW147" s="41" t="n">
        <f aca="true">IF(COUNTIF(OFFSET(AV147,1-MIN(p_PenLb,ROW()-4),0,MIN(p_PenLb,ROW()-4),1),"&gt;0")&gt;0,SUM(OFFSET(AV147,1-MIN(p_PenLb,ROW()-4),0,MIN(p_PenLb,ROW()-4),1))/COUNTIF(OFFSET(AV147,1-MIN(p_PenLb,ROW()-4),0,MIN(p_PenLb,ROW()-4),1),"&gt;0"),0.5*Y147)</f>
        <v>0.55280174688698</v>
      </c>
      <c r="AX147" s="41" t="n">
        <f aca="false">2*H147-H146</f>
        <v>21.219776507883</v>
      </c>
      <c r="AY147" s="40" t="n">
        <f aca="false">ROUND(MAX(AX147-AW147,0.01),2)</f>
        <v>20.67</v>
      </c>
      <c r="AZ147" s="40" t="n">
        <f aca="true">IF(MIN(p_StopLb,ROW()-4)&lt;2,D147,SMALL(OFFSET(D147,1-MIN(p_StopLb,ROW()-4),0,MIN(p_StopLb,ROW()-4),1),2))</f>
        <v>20.71</v>
      </c>
      <c r="BA147" s="40" t="n">
        <f aca="false">IF(MOD(ROUND(ROUNDDOWN(MIN(AZ147-0.01,AY147-p_StopAtr*Y147),2)*100,0),50)=0,ROUNDDOWN(MIN(AZ147-0.01,AY147-p_StopAtr*Y147),2)-0.01,ROUNDDOWN(MIN(AZ147-0.01,AY147-p_StopAtr*Y147),2))</f>
        <v>20.2</v>
      </c>
      <c r="BB147" s="40" t="n">
        <f aca="false">ROUND(AI147,2)</f>
        <v>22.29</v>
      </c>
      <c r="BC147" s="40" t="n">
        <f aca="false">IF(AY147-BA147&gt;0,(BB147-AY147)/(AY147-BA147),0)</f>
        <v>3.44680851063827</v>
      </c>
      <c r="BD147" s="42" t="n">
        <f aca="false">IF(N147&lt;0,1,0)</f>
        <v>0</v>
      </c>
      <c r="BE147" s="41" t="n">
        <f aca="false">IF(AND(BD147=1,BD146=0),N147,IF(BD147=1,MIN(BE146,N147),BE146))</f>
        <v>-0.0583119972977335</v>
      </c>
      <c r="BF147" s="40" t="n">
        <f aca="false">IF(AND(BD147=1,BD146=0),D147,IF(BD147=1,MIN(BF146,D147),BF146))</f>
        <v>19.27</v>
      </c>
      <c r="BG147" s="42" t="n">
        <f aca="false">IF(AND(BD147=1,BD146=0),ROW(),IF(BD147=1,IF(N147&lt;BE146,ROW(),BG146),BG146))</f>
        <v>124</v>
      </c>
      <c r="BH147" s="41" t="n">
        <f aca="false">IF(AND(BD147=1,BD146=0),BE146,BH146)</f>
        <v>-0.392824838841331</v>
      </c>
      <c r="BI147" s="40" t="n">
        <f aca="false">IF(AND(BD147=1,BD146=0),BF146,BI146)</f>
        <v>20.27</v>
      </c>
      <c r="BJ147" s="42" t="n">
        <f aca="false">IF(AND(BD147=1,BD146=0),BG146,BJ146)</f>
        <v>98</v>
      </c>
      <c r="BK147" s="42" t="n">
        <f aca="false">IF(AND(ISNUMBER(BG147),ISNUMBER(BJ147)),BG147-BJ147,"")</f>
        <v>26</v>
      </c>
      <c r="BL147" s="42" t="n">
        <f aca="false">IF(AND(BD147=1,N147&gt;N146,ISNUMBER(BH147),ISNUMBER(BK147)),IF(AND(BE147&gt;BH147,BF147&lt;BI147,BK147&gt;=p_GapMin,BK147&lt;=p_GapMax),1,0),0)</f>
        <v>0</v>
      </c>
      <c r="BM147" s="42" t="n">
        <f aca="false">IF(AND(BL147=1,E147&gt;BI147),1,0)</f>
        <v>0</v>
      </c>
      <c r="BN147" s="42" t="n">
        <f aca="false">IF(BL147=1,IF(BE147&gt;=BH147*0.5,1,0),0)</f>
        <v>0</v>
      </c>
      <c r="BO147" s="42" t="n">
        <f aca="true">IF(V147&gt;MIN(OFFSET(V147,-MIN(p_FiLb-1,ROW()-5),0,MIN(p_FiLb-1,ROW()-5),1)),1,0)</f>
        <v>1</v>
      </c>
      <c r="BP147" s="44" t="n">
        <f aca="true">IF(COUNTIF(OFFSET(V147,1-MIN(100,ROW()-4),0,MIN(100,ROW()-4),1),"&lt;0")&gt;=5,AVERAGEIF(OFFSET(V147,1-MIN(100,ROW()-4),0,MIN(100,ROW()-4),1),"&lt;0"),"")</f>
        <v>-1001661.45666992</v>
      </c>
      <c r="BQ147" s="42" t="n">
        <f aca="false">IF(ISNUMBER(BP147),IF(AND(V147&lt;5*BP147,V147&gt;V146,E147&lt;AJ147),1,0),0)</f>
        <v>0</v>
      </c>
      <c r="BR147" s="44" t="n">
        <f aca="true">AVERAGE(OFFSET(F147,1-MIN(5,ROW()-4),0,MIN(5,ROW()-4),1))</f>
        <v>4011060</v>
      </c>
      <c r="BS147" s="42" t="n">
        <f aca="false">IFERROR(IF(MATCH(G147,周线!$A$5:$A$84,0)&lt;=1,"",INDEX(周线!$R$5:$R$84,MATCH(G147,周线!$A$5:$A$84,0)-1)),"")</f>
        <v>0</v>
      </c>
      <c r="BT147" s="42" t="n">
        <f aca="false">IFERROR(IF(MATCH(G147,周线!$A$5:$A$84,0)&lt;=1,"",INDEX(周线!$S$5:$S$84,MATCH(G147,周线!$A$5:$A$84,0)-1)),"")</f>
        <v>1</v>
      </c>
      <c r="BU147" s="42" t="n">
        <f aca="false">IFERROR(IF(MATCH(G147,周线!$A$5:$A$84,0)&lt;=1,"",INDEX(周线!$U$5:$U$84,MATCH(G147,周线!$A$5:$A$84,0)-1)),"")</f>
        <v>1</v>
      </c>
      <c r="BV147" s="42" t="n">
        <f aca="false">IF(AND(BS147=1,S147&lt;&gt;-1,V147&lt;0,BO147=1,E147&lt;=H147,E147&gt;=AJ147),1,0)</f>
        <v>0</v>
      </c>
      <c r="BW147" s="42" t="n">
        <f aca="false">BL147</f>
        <v>0</v>
      </c>
      <c r="BX147" s="42" t="n">
        <f aca="false">BQ147</f>
        <v>0</v>
      </c>
      <c r="BY147" s="42" t="n">
        <f aca="false">IF(BS147=1,10,0)+IF(BU147=1,5,IF(BU147=-1,0,3))+IF(BT147=1,5,0)+IF(AND(AE147&gt;AF147,AH147&gt;AH146),5,0)</f>
        <v>15</v>
      </c>
      <c r="BZ147" s="42" t="n">
        <f aca="false">IF(AND(E147&lt;=H147,E147&gt;=I147),10,IF(AND(E147&gt;=AJ147,E147&lt;I147),6,0))+IF(AND(V147&lt;0,BO147=1),8,0)+IF(AT147&lt;30,7,IF(AT147&lt;50,3,0))</f>
        <v>0</v>
      </c>
      <c r="CA147" s="42" t="n">
        <f aca="false">IF(AND(BV147=1,BW147=1),25,IF(BW147=1,22,IF(BV147=1,15,IF(BX147=1,12,0))))</f>
        <v>0</v>
      </c>
      <c r="CB147" s="42" t="n">
        <f aca="false">IF(W147&gt;0,6,0)+IF(F147&lt;BR147,4,0)</f>
        <v>10</v>
      </c>
      <c r="CC147" s="42" t="n">
        <f aca="false">IF(BC147&gt;=3,15,IF(BC147&gt;=p_RRmin,10,IF(BC147&gt;=1.5,4,0)))</f>
        <v>15</v>
      </c>
      <c r="CD147" s="42" t="n">
        <f aca="false">BY147+BZ147+CA147+CB147+CC147</f>
        <v>40</v>
      </c>
      <c r="CE147" s="42" t="n">
        <f aca="false">IF(AND(BS147&lt;&gt;1,BW147+BX147=0),1,0)</f>
        <v>1</v>
      </c>
      <c r="CF147" s="42" t="n">
        <f aca="false">IF(BU147=-1,1,0)</f>
        <v>0</v>
      </c>
      <c r="CG147" s="42" t="n">
        <f aca="false">IF(S147=-1,1,0)</f>
        <v>0</v>
      </c>
      <c r="CH147" s="42" t="n">
        <f aca="false">IF(BV147+BW147+BX147=0,1,0)</f>
        <v>1</v>
      </c>
      <c r="CI147" s="42" t="n">
        <f aca="false">IF(BC147&lt;p_RRmin,1,0)</f>
        <v>0</v>
      </c>
      <c r="CJ147" s="46" t="str">
        <f aca="false">IF(SUM(CE147:CI147)=0,IF(CD147&gt;=p_GradeA,"A",IF(CD147&gt;=p_GradeB,"B","C")),IF(AND(CI147=1,SUM(CE147:CH147)=0,CD147&gt;=p_GradeB),"B","C"))</f>
        <v>C</v>
      </c>
    </row>
    <row r="148" customFormat="false" ht="15" hidden="false" customHeight="false" outlineLevel="0" collapsed="false">
      <c r="A148" s="36" t="n">
        <v>45860</v>
      </c>
      <c r="B148" s="37" t="n">
        <v>21.7</v>
      </c>
      <c r="C148" s="37" t="n">
        <v>21.92</v>
      </c>
      <c r="D148" s="37" t="n">
        <v>21.38</v>
      </c>
      <c r="E148" s="37" t="n">
        <v>21.69</v>
      </c>
      <c r="F148" s="38" t="n">
        <v>2598100</v>
      </c>
      <c r="G148" s="39" t="n">
        <f aca="false">A148-WEEKDAY(A148,3)</f>
        <v>45859</v>
      </c>
      <c r="H148" s="40" t="n">
        <f aca="false">2/(p_EmaF+1)*E148+(1-2/(p_EmaF+1))*H147</f>
        <v>21.2286272652511</v>
      </c>
      <c r="I148" s="40" t="n">
        <f aca="false">2/(p_EmaS+1)*E148+(1-2/(p_EmaS+1))*I147</f>
        <v>21.0780163356793</v>
      </c>
      <c r="J148" s="41" t="n">
        <f aca="false">2/(p_MacdF+1)*E148+(1-2/(p_MacdF+1))*J147</f>
        <v>21.2553160037399</v>
      </c>
      <c r="K148" s="41" t="n">
        <f aca="false">2/(p_MacdS+1)*E148+(1-2/(p_MacdS+1))*K147</f>
        <v>21.0780163356793</v>
      </c>
      <c r="L148" s="41" t="n">
        <f aca="false">J148-K148</f>
        <v>0.177299668060563</v>
      </c>
      <c r="M148" s="41" t="n">
        <f aca="false">2/(p_MacdSig+1)*L148+(1-2/(p_MacdSig+1))*M147</f>
        <v>0.0613288702603047</v>
      </c>
      <c r="N148" s="41" t="n">
        <f aca="false">L148-M148</f>
        <v>0.115970797800258</v>
      </c>
      <c r="O148" s="42" t="n">
        <f aca="false">IF(H148&gt;H147,1,0)</f>
        <v>1</v>
      </c>
      <c r="P148" s="42" t="n">
        <f aca="false">IF(H148&lt;H147,1,0)</f>
        <v>0</v>
      </c>
      <c r="Q148" s="42" t="n">
        <f aca="false">IF(N148&gt;N147,1,0)</f>
        <v>1</v>
      </c>
      <c r="R148" s="42" t="n">
        <f aca="false">IF(N148&lt;N147,1,0)</f>
        <v>0</v>
      </c>
      <c r="S148" s="42" t="n">
        <f aca="false">IF(AND(O148=1,Q148=1),1,IF(AND(P148=1,R148=1),-1,0))</f>
        <v>1</v>
      </c>
      <c r="T148" s="43" t="str">
        <f aca="false">IF(S148=1,"绿",IF(S148=-1,"红","蓝"))</f>
        <v>绿</v>
      </c>
      <c r="U148" s="44" t="n">
        <f aca="false">F148*(E148-E147)</f>
        <v>337753.000000007</v>
      </c>
      <c r="V148" s="44" t="n">
        <f aca="false">2/(p_FiS+1)*U148+(1-2/(p_FiS+1))*V147</f>
        <v>273061.556387951</v>
      </c>
      <c r="W148" s="44" t="n">
        <f aca="false">2/(p_FiL+1)*U148+(1-2/(p_FiL+1))*W147</f>
        <v>258872.617522434</v>
      </c>
      <c r="X148" s="41" t="n">
        <f aca="false">MAX(C148-D148,ABS(C148-E147),ABS(D148-E147))</f>
        <v>0.540000000000003</v>
      </c>
      <c r="Y148" s="41" t="n">
        <f aca="true">AVERAGE(OFFSET(X148,1-MIN(p_AtrN,ROW()-4),0,MIN(p_AtrN,ROW()-4),1))</f>
        <v>0.500769230769231</v>
      </c>
      <c r="Z148" s="41" t="n">
        <f aca="false">IF(AND(C148-C147&gt;D147-D148,C148-C147&gt;0),C148-C147,0)</f>
        <v>0.140000000000001</v>
      </c>
      <c r="AA148" s="41" t="n">
        <f aca="false">IF(AND(D147-D148&gt;C148-C147,D147-D148&gt;0),D147-D148,0)</f>
        <v>0</v>
      </c>
      <c r="AB148" s="41" t="n">
        <f aca="false">2/(p_AdxN+1)*X148+(1-2/(p_AdxN+1))*AB147</f>
        <v>0.516982386866816</v>
      </c>
      <c r="AC148" s="41" t="n">
        <f aca="false">2/(p_AdxN+1)*Z148+(1-2/(p_AdxN+1))*AC147</f>
        <v>0.162072037123711</v>
      </c>
      <c r="AD148" s="41" t="n">
        <f aca="false">2/(p_AdxN+1)*AA148+(1-2/(p_AdxN+1))*AD147</f>
        <v>0.0410800742057975</v>
      </c>
      <c r="AE148" s="45" t="n">
        <f aca="false">100*AC148/AB148</f>
        <v>31.3496245212439</v>
      </c>
      <c r="AF148" s="45" t="n">
        <f aca="false">100*AD148/AB148</f>
        <v>7.94612645408759</v>
      </c>
      <c r="AG148" s="45" t="n">
        <f aca="false">IFERROR(100*ABS(AE148-AF148)/(AE148+AF148),0)</f>
        <v>59.5573248666203</v>
      </c>
      <c r="AH148" s="45" t="n">
        <f aca="false">2/(p_AdxN+1)*AG148+(1-2/(p_AdxN+1))*AH147</f>
        <v>43.2342975831967</v>
      </c>
      <c r="AI148" s="40" t="n">
        <f aca="false">I148*(1+p_ChPct)</f>
        <v>22.3426973158201</v>
      </c>
      <c r="AJ148" s="40" t="n">
        <f aca="false">I148*(1-p_ChPct)</f>
        <v>19.8133353555385</v>
      </c>
      <c r="AK148" s="40" t="n">
        <f aca="false">I148+1*Y148</f>
        <v>21.5787855664485</v>
      </c>
      <c r="AL148" s="40" t="n">
        <f aca="false">I148+2*Y148</f>
        <v>22.0795547972178</v>
      </c>
      <c r="AM148" s="40" t="n">
        <f aca="false">I148+3*Y148</f>
        <v>22.580324027987</v>
      </c>
      <c r="AN148" s="40" t="n">
        <f aca="false">I148-1*Y148</f>
        <v>20.5772471049101</v>
      </c>
      <c r="AO148" s="40" t="n">
        <f aca="false">I148-2*Y148</f>
        <v>20.0764778741408</v>
      </c>
      <c r="AP148" s="40" t="n">
        <f aca="false">I148-3*Y148</f>
        <v>19.5757086433716</v>
      </c>
      <c r="AQ148" s="40" t="n">
        <f aca="true">MAX(OFFSET(C148,1-MIN(p_StochN,ROW()-4),0,MIN(p_StochN,ROW()-4),1))</f>
        <v>22.05</v>
      </c>
      <c r="AR148" s="40" t="n">
        <f aca="true">MIN(OFFSET(D148,1-MIN(p_StochN,ROW()-4),0,MIN(p_StochN,ROW()-4),1))</f>
        <v>20.71</v>
      </c>
      <c r="AS148" s="45" t="n">
        <f aca="false">IF(AQ148=AR148,50,100*(E148-AR148)/(AQ148-AR148))</f>
        <v>73.134328358209</v>
      </c>
      <c r="AT148" s="45" t="n">
        <f aca="true">AVERAGE(OFFSET(AS148,1-MIN(p_StochSm,ROW()-4),0,MIN(p_StochSm,ROW()-4),1))</f>
        <v>69.9004975124378</v>
      </c>
      <c r="AU148" s="45" t="n">
        <f aca="true">AVERAGE(OFFSET(AT148,1-MIN(p_StochSm,ROW()-4),0,MIN(p_StochSm,ROW()-4),1))</f>
        <v>64.9009852697298</v>
      </c>
      <c r="AV148" s="41" t="n">
        <f aca="false">MAX(0,H148-D148)</f>
        <v>0</v>
      </c>
      <c r="AW148" s="41" t="n">
        <f aca="true">IF(COUNTIF(OFFSET(AV148,1-MIN(p_PenLb,ROW()-4),0,MIN(p_PenLb,ROW()-4),1),"&gt;0")&gt;0,SUM(OFFSET(AV148,1-MIN(p_PenLb,ROW()-4),0,MIN(p_PenLb,ROW()-4),1))/COUNTIF(OFFSET(AV148,1-MIN(p_PenLb,ROW()-4),0,MIN(p_PenLb,ROW()-4),1),"&gt;0"),0.5*Y148)</f>
        <v>0.568841298903257</v>
      </c>
      <c r="AX148" s="41" t="n">
        <f aca="false">2*H148-H147</f>
        <v>21.3055227210426</v>
      </c>
      <c r="AY148" s="40" t="n">
        <f aca="false">ROUND(MAX(AX148-AW148,0.01),2)</f>
        <v>20.74</v>
      </c>
      <c r="AZ148" s="40" t="n">
        <f aca="true">IF(MIN(p_StopLb,ROW()-4)&lt;2,D148,SMALL(OFFSET(D148,1-MIN(p_StopLb,ROW()-4),0,MIN(p_StopLb,ROW()-4),1),2))</f>
        <v>20.71</v>
      </c>
      <c r="BA148" s="40" t="n">
        <f aca="false">IF(MOD(ROUND(ROUNDDOWN(MIN(AZ148-0.01,AY148-p_StopAtr*Y148),2)*100,0),50)=0,ROUNDDOWN(MIN(AZ148-0.01,AY148-p_StopAtr*Y148),2)-0.01,ROUNDDOWN(MIN(AZ148-0.01,AY148-p_StopAtr*Y148),2))</f>
        <v>20.23</v>
      </c>
      <c r="BB148" s="40" t="n">
        <f aca="false">ROUND(AI148,2)</f>
        <v>22.34</v>
      </c>
      <c r="BC148" s="40" t="n">
        <f aca="false">IF(AY148-BA148&gt;0,(BB148-AY148)/(AY148-BA148),0)</f>
        <v>3.1372549019608</v>
      </c>
      <c r="BD148" s="42" t="n">
        <f aca="false">IF(N148&lt;0,1,0)</f>
        <v>0</v>
      </c>
      <c r="BE148" s="41" t="n">
        <f aca="false">IF(AND(BD148=1,BD147=0),N148,IF(BD148=1,MIN(BE147,N148),BE147))</f>
        <v>-0.0583119972977335</v>
      </c>
      <c r="BF148" s="40" t="n">
        <f aca="false">IF(AND(BD148=1,BD147=0),D148,IF(BD148=1,MIN(BF147,D148),BF147))</f>
        <v>19.27</v>
      </c>
      <c r="BG148" s="42" t="n">
        <f aca="false">IF(AND(BD148=1,BD147=0),ROW(),IF(BD148=1,IF(N148&lt;BE147,ROW(),BG147),BG147))</f>
        <v>124</v>
      </c>
      <c r="BH148" s="41" t="n">
        <f aca="false">IF(AND(BD148=1,BD147=0),BE147,BH147)</f>
        <v>-0.392824838841331</v>
      </c>
      <c r="BI148" s="40" t="n">
        <f aca="false">IF(AND(BD148=1,BD147=0),BF147,BI147)</f>
        <v>20.27</v>
      </c>
      <c r="BJ148" s="42" t="n">
        <f aca="false">IF(AND(BD148=1,BD147=0),BG147,BJ147)</f>
        <v>98</v>
      </c>
      <c r="BK148" s="42" t="n">
        <f aca="false">IF(AND(ISNUMBER(BG148),ISNUMBER(BJ148)),BG148-BJ148,"")</f>
        <v>26</v>
      </c>
      <c r="BL148" s="42" t="n">
        <f aca="false">IF(AND(BD148=1,N148&gt;N147,ISNUMBER(BH148),ISNUMBER(BK148)),IF(AND(BE148&gt;BH148,BF148&lt;BI148,BK148&gt;=p_GapMin,BK148&lt;=p_GapMax),1,0),0)</f>
        <v>0</v>
      </c>
      <c r="BM148" s="42" t="n">
        <f aca="false">IF(AND(BL148=1,E148&gt;BI148),1,0)</f>
        <v>0</v>
      </c>
      <c r="BN148" s="42" t="n">
        <f aca="false">IF(BL148=1,IF(BE148&gt;=BH148*0.5,1,0),0)</f>
        <v>0</v>
      </c>
      <c r="BO148" s="42" t="n">
        <f aca="true">IF(V148&gt;MIN(OFFSET(V148,-MIN(p_FiLb-1,ROW()-5),0,MIN(p_FiLb-1,ROW()-5),1)),1,0)</f>
        <v>1</v>
      </c>
      <c r="BP148" s="44" t="n">
        <f aca="true">IF(COUNTIF(OFFSET(V148,1-MIN(100,ROW()-4),0,MIN(100,ROW()-4),1),"&lt;0")&gt;=5,AVERAGEIF(OFFSET(V148,1-MIN(100,ROW()-4),0,MIN(100,ROW()-4),1),"&lt;0"),"")</f>
        <v>-1011997.63337835</v>
      </c>
      <c r="BQ148" s="42" t="n">
        <f aca="false">IF(ISNUMBER(BP148),IF(AND(V148&lt;5*BP148,V148&gt;V147,E148&lt;AJ148),1,0),0)</f>
        <v>0</v>
      </c>
      <c r="BR148" s="44" t="n">
        <f aca="true">AVERAGE(OFFSET(F148,1-MIN(5,ROW()-4),0,MIN(5,ROW()-4),1))</f>
        <v>3588600</v>
      </c>
      <c r="BS148" s="42" t="n">
        <f aca="false">IFERROR(IF(MATCH(G148,周线!$A$5:$A$84,0)&lt;=1,"",INDEX(周线!$R$5:$R$84,MATCH(G148,周线!$A$5:$A$84,0)-1)),"")</f>
        <v>0</v>
      </c>
      <c r="BT148" s="42" t="n">
        <f aca="false">IFERROR(IF(MATCH(G148,周线!$A$5:$A$84,0)&lt;=1,"",INDEX(周线!$S$5:$S$84,MATCH(G148,周线!$A$5:$A$84,0)-1)),"")</f>
        <v>1</v>
      </c>
      <c r="BU148" s="42" t="n">
        <f aca="false">IFERROR(IF(MATCH(G148,周线!$A$5:$A$84,0)&lt;=1,"",INDEX(周线!$U$5:$U$84,MATCH(G148,周线!$A$5:$A$84,0)-1)),"")</f>
        <v>1</v>
      </c>
      <c r="BV148" s="42" t="n">
        <f aca="false">IF(AND(BS148=1,S148&lt;&gt;-1,V148&lt;0,BO148=1,E148&lt;=H148,E148&gt;=AJ148),1,0)</f>
        <v>0</v>
      </c>
      <c r="BW148" s="42" t="n">
        <f aca="false">BL148</f>
        <v>0</v>
      </c>
      <c r="BX148" s="42" t="n">
        <f aca="false">BQ148</f>
        <v>0</v>
      </c>
      <c r="BY148" s="42" t="n">
        <f aca="false">IF(BS148=1,10,0)+IF(BU148=1,5,IF(BU148=-1,0,3))+IF(BT148=1,5,0)+IF(AND(AE148&gt;AF148,AH148&gt;AH147),5,0)</f>
        <v>15</v>
      </c>
      <c r="BZ148" s="42" t="n">
        <f aca="false">IF(AND(E148&lt;=H148,E148&gt;=I148),10,IF(AND(E148&gt;=AJ148,E148&lt;I148),6,0))+IF(AND(V148&lt;0,BO148=1),8,0)+IF(AT148&lt;30,7,IF(AT148&lt;50,3,0))</f>
        <v>0</v>
      </c>
      <c r="CA148" s="42" t="n">
        <f aca="false">IF(AND(BV148=1,BW148=1),25,IF(BW148=1,22,IF(BV148=1,15,IF(BX148=1,12,0))))</f>
        <v>0</v>
      </c>
      <c r="CB148" s="42" t="n">
        <f aca="false">IF(W148&gt;0,6,0)+IF(F148&lt;BR148,4,0)</f>
        <v>10</v>
      </c>
      <c r="CC148" s="42" t="n">
        <f aca="false">IF(BC148&gt;=3,15,IF(BC148&gt;=p_RRmin,10,IF(BC148&gt;=1.5,4,0)))</f>
        <v>15</v>
      </c>
      <c r="CD148" s="42" t="n">
        <f aca="false">BY148+BZ148+CA148+CB148+CC148</f>
        <v>40</v>
      </c>
      <c r="CE148" s="42" t="n">
        <f aca="false">IF(AND(BS148&lt;&gt;1,BW148+BX148=0),1,0)</f>
        <v>1</v>
      </c>
      <c r="CF148" s="42" t="n">
        <f aca="false">IF(BU148=-1,1,0)</f>
        <v>0</v>
      </c>
      <c r="CG148" s="42" t="n">
        <f aca="false">IF(S148=-1,1,0)</f>
        <v>0</v>
      </c>
      <c r="CH148" s="42" t="n">
        <f aca="false">IF(BV148+BW148+BX148=0,1,0)</f>
        <v>1</v>
      </c>
      <c r="CI148" s="42" t="n">
        <f aca="false">IF(BC148&lt;p_RRmin,1,0)</f>
        <v>0</v>
      </c>
      <c r="CJ148" s="46" t="str">
        <f aca="false">IF(SUM(CE148:CI148)=0,IF(CD148&gt;=p_GradeA,"A",IF(CD148&gt;=p_GradeB,"B","C")),IF(AND(CI148=1,SUM(CE148:CH148)=0,CD148&gt;=p_GradeB),"B","C"))</f>
        <v>C</v>
      </c>
    </row>
    <row r="149" customFormat="false" ht="15" hidden="false" customHeight="false" outlineLevel="0" collapsed="false">
      <c r="A149" s="36" t="n">
        <v>45861</v>
      </c>
      <c r="B149" s="37" t="n">
        <v>21.75</v>
      </c>
      <c r="C149" s="37" t="n">
        <v>22.15</v>
      </c>
      <c r="D149" s="37" t="n">
        <v>21.66</v>
      </c>
      <c r="E149" s="37" t="n">
        <v>22.04</v>
      </c>
      <c r="F149" s="38" t="n">
        <v>5020000</v>
      </c>
      <c r="G149" s="39" t="n">
        <f aca="false">A149-WEEKDAY(A149,3)</f>
        <v>45859</v>
      </c>
      <c r="H149" s="40" t="n">
        <f aca="false">2/(p_EmaF+1)*E149+(1-2/(p_EmaF+1))*H148</f>
        <v>21.3445376559295</v>
      </c>
      <c r="I149" s="40" t="n">
        <f aca="false">2/(p_EmaS+1)*E149+(1-2/(p_EmaS+1))*I148</f>
        <v>21.1492743848882</v>
      </c>
      <c r="J149" s="41" t="n">
        <f aca="false">2/(p_MacdF+1)*E149+(1-2/(p_MacdF+1))*J148</f>
        <v>21.3760366185491</v>
      </c>
      <c r="K149" s="41" t="n">
        <f aca="false">2/(p_MacdS+1)*E149+(1-2/(p_MacdS+1))*K148</f>
        <v>21.1492743848882</v>
      </c>
      <c r="L149" s="41" t="n">
        <f aca="false">J149-K149</f>
        <v>0.226762233660875</v>
      </c>
      <c r="M149" s="41" t="n">
        <f aca="false">2/(p_MacdSig+1)*L149+(1-2/(p_MacdSig+1))*M148</f>
        <v>0.0944155429404187</v>
      </c>
      <c r="N149" s="41" t="n">
        <f aca="false">L149-M149</f>
        <v>0.132346690720456</v>
      </c>
      <c r="O149" s="42" t="n">
        <f aca="false">IF(H149&gt;H148,1,0)</f>
        <v>1</v>
      </c>
      <c r="P149" s="42" t="n">
        <f aca="false">IF(H149&lt;H148,1,0)</f>
        <v>0</v>
      </c>
      <c r="Q149" s="42" t="n">
        <f aca="false">IF(N149&gt;N148,1,0)</f>
        <v>1</v>
      </c>
      <c r="R149" s="42" t="n">
        <f aca="false">IF(N149&lt;N148,1,0)</f>
        <v>0</v>
      </c>
      <c r="S149" s="42" t="n">
        <f aca="false">IF(AND(O149=1,Q149=1),1,IF(AND(P149=1,R149=1),-1,0))</f>
        <v>1</v>
      </c>
      <c r="T149" s="43" t="str">
        <f aca="false">IF(S149=1,"绿",IF(S149=-1,"红","蓝"))</f>
        <v>绿</v>
      </c>
      <c r="U149" s="44" t="n">
        <f aca="false">F149*(E149-E148)</f>
        <v>1756999.99999999</v>
      </c>
      <c r="V149" s="44" t="n">
        <f aca="false">2/(p_FiS+1)*U149+(1-2/(p_FiS+1))*V148</f>
        <v>1262353.85212931</v>
      </c>
      <c r="W149" s="44" t="n">
        <f aca="false">2/(p_FiL+1)*U149+(1-2/(p_FiL+1))*W148</f>
        <v>472890.815019228</v>
      </c>
      <c r="X149" s="41" t="n">
        <f aca="false">MAX(C149-D149,ABS(C149-E148),ABS(D149-E148))</f>
        <v>0.489999999999998</v>
      </c>
      <c r="Y149" s="41" t="n">
        <f aca="true">AVERAGE(OFFSET(X149,1-MIN(p_AtrN,ROW()-4),0,MIN(p_AtrN,ROW()-4),1))</f>
        <v>0.516153846153847</v>
      </c>
      <c r="Z149" s="41" t="n">
        <f aca="false">IF(AND(C149-C148&gt;D148-D149,C149-C148&gt;0),C149-C148,0)</f>
        <v>0.229999999999997</v>
      </c>
      <c r="AA149" s="41" t="n">
        <f aca="false">IF(AND(D148-D149&gt;C149-C148,D148-D149&gt;0),D148-D149,0)</f>
        <v>0</v>
      </c>
      <c r="AB149" s="41" t="n">
        <f aca="false">2/(p_AdxN+1)*X149+(1-2/(p_AdxN+1))*AB148</f>
        <v>0.513127760171557</v>
      </c>
      <c r="AC149" s="41" t="n">
        <f aca="false">2/(p_AdxN+1)*Z149+(1-2/(p_AdxN+1))*AC148</f>
        <v>0.171776031820323</v>
      </c>
      <c r="AD149" s="41" t="n">
        <f aca="false">2/(p_AdxN+1)*AA149+(1-2/(p_AdxN+1))*AD148</f>
        <v>0.0352114921763979</v>
      </c>
      <c r="AE149" s="45" t="n">
        <f aca="false">100*AC149/AB149</f>
        <v>33.4762694894723</v>
      </c>
      <c r="AF149" s="45" t="n">
        <f aca="false">100*AD149/AB149</f>
        <v>6.86212965064012</v>
      </c>
      <c r="AG149" s="45" t="n">
        <f aca="false">IFERROR(100*ABS(AE149-AF149)/(AE149+AF149),0)</f>
        <v>65.9771840384393</v>
      </c>
      <c r="AH149" s="45" t="n">
        <f aca="false">2/(p_AdxN+1)*AG149+(1-2/(p_AdxN+1))*AH148</f>
        <v>46.4832813625171</v>
      </c>
      <c r="AI149" s="40" t="n">
        <f aca="false">I149*(1+p_ChPct)</f>
        <v>22.4182308479815</v>
      </c>
      <c r="AJ149" s="40" t="n">
        <f aca="false">I149*(1-p_ChPct)</f>
        <v>19.8803179217949</v>
      </c>
      <c r="AK149" s="40" t="n">
        <f aca="false">I149+1*Y149</f>
        <v>21.6654282310421</v>
      </c>
      <c r="AL149" s="40" t="n">
        <f aca="false">I149+2*Y149</f>
        <v>22.1815820771959</v>
      </c>
      <c r="AM149" s="40" t="n">
        <f aca="false">I149+3*Y149</f>
        <v>22.6977359233498</v>
      </c>
      <c r="AN149" s="40" t="n">
        <f aca="false">I149-1*Y149</f>
        <v>20.6331205387344</v>
      </c>
      <c r="AO149" s="40" t="n">
        <f aca="false">I149-2*Y149</f>
        <v>20.1169666925805</v>
      </c>
      <c r="AP149" s="40" t="n">
        <f aca="false">I149-3*Y149</f>
        <v>19.6008128464267</v>
      </c>
      <c r="AQ149" s="40" t="n">
        <f aca="true">MAX(OFFSET(C149,1-MIN(p_StochN,ROW()-4),0,MIN(p_StochN,ROW()-4),1))</f>
        <v>22.15</v>
      </c>
      <c r="AR149" s="40" t="n">
        <f aca="true">MIN(OFFSET(D149,1-MIN(p_StochN,ROW()-4),0,MIN(p_StochN,ROW()-4),1))</f>
        <v>20.71</v>
      </c>
      <c r="AS149" s="45" t="n">
        <f aca="false">IF(AQ149=AR149,50,100*(E149-AR149)/(AQ149-AR149))</f>
        <v>92.3611111111111</v>
      </c>
      <c r="AT149" s="45" t="n">
        <f aca="true">AVERAGE(OFFSET(AS149,1-MIN(p_StochSm,ROW()-4),0,MIN(p_StochSm,ROW()-4),1))</f>
        <v>76.3094250967385</v>
      </c>
      <c r="AU149" s="45" t="n">
        <f aca="true">AVERAGE(OFFSET(AT149,1-MIN(p_StochSm,ROW()-4),0,MIN(p_StochSm,ROW()-4),1))</f>
        <v>72.2767832948547</v>
      </c>
      <c r="AV149" s="41" t="n">
        <f aca="false">MAX(0,H149-D149)</f>
        <v>0</v>
      </c>
      <c r="AW149" s="41" t="n">
        <f aca="true">IF(COUNTIF(OFFSET(AV149,1-MIN(p_PenLb,ROW()-4),0,MIN(p_PenLb,ROW()-4),1),"&gt;0")&gt;0,SUM(OFFSET(AV149,1-MIN(p_PenLb,ROW()-4),0,MIN(p_PenLb,ROW()-4),1))/COUNTIF(OFFSET(AV149,1-MIN(p_PenLb,ROW()-4),0,MIN(p_PenLb,ROW()-4),1),"&gt;0"),0.5*Y149)</f>
        <v>0.586213989901231</v>
      </c>
      <c r="AX149" s="41" t="n">
        <f aca="false">2*H149-H148</f>
        <v>21.4604480466079</v>
      </c>
      <c r="AY149" s="40" t="n">
        <f aca="false">ROUND(MAX(AX149-AW149,0.01),2)</f>
        <v>20.87</v>
      </c>
      <c r="AZ149" s="40" t="n">
        <f aca="true">IF(MIN(p_StopLb,ROW()-4)&lt;2,D149,SMALL(OFFSET(D149,1-MIN(p_StopLb,ROW()-4),0,MIN(p_StopLb,ROW()-4),1),2))</f>
        <v>20.71</v>
      </c>
      <c r="BA149" s="40" t="n">
        <f aca="false">IF(MOD(ROUND(ROUNDDOWN(MIN(AZ149-0.01,AY149-p_StopAtr*Y149),2)*100,0),50)=0,ROUNDDOWN(MIN(AZ149-0.01,AY149-p_StopAtr*Y149),2)-0.01,ROUNDDOWN(MIN(AZ149-0.01,AY149-p_StopAtr*Y149),2))</f>
        <v>20.35</v>
      </c>
      <c r="BB149" s="40" t="n">
        <f aca="false">ROUND(AI149,2)</f>
        <v>22.42</v>
      </c>
      <c r="BC149" s="40" t="n">
        <f aca="false">IF(AY149-BA149&gt;0,(BB149-AY149)/(AY149-BA149),0)</f>
        <v>2.98076923076923</v>
      </c>
      <c r="BD149" s="42" t="n">
        <f aca="false">IF(N149&lt;0,1,0)</f>
        <v>0</v>
      </c>
      <c r="BE149" s="41" t="n">
        <f aca="false">IF(AND(BD149=1,BD148=0),N149,IF(BD149=1,MIN(BE148,N149),BE148))</f>
        <v>-0.0583119972977335</v>
      </c>
      <c r="BF149" s="40" t="n">
        <f aca="false">IF(AND(BD149=1,BD148=0),D149,IF(BD149=1,MIN(BF148,D149),BF148))</f>
        <v>19.27</v>
      </c>
      <c r="BG149" s="42" t="n">
        <f aca="false">IF(AND(BD149=1,BD148=0),ROW(),IF(BD149=1,IF(N149&lt;BE148,ROW(),BG148),BG148))</f>
        <v>124</v>
      </c>
      <c r="BH149" s="41" t="n">
        <f aca="false">IF(AND(BD149=1,BD148=0),BE148,BH148)</f>
        <v>-0.392824838841331</v>
      </c>
      <c r="BI149" s="40" t="n">
        <f aca="false">IF(AND(BD149=1,BD148=0),BF148,BI148)</f>
        <v>20.27</v>
      </c>
      <c r="BJ149" s="42" t="n">
        <f aca="false">IF(AND(BD149=1,BD148=0),BG148,BJ148)</f>
        <v>98</v>
      </c>
      <c r="BK149" s="42" t="n">
        <f aca="false">IF(AND(ISNUMBER(BG149),ISNUMBER(BJ149)),BG149-BJ149,"")</f>
        <v>26</v>
      </c>
      <c r="BL149" s="42" t="n">
        <f aca="false">IF(AND(BD149=1,N149&gt;N148,ISNUMBER(BH149),ISNUMBER(BK149)),IF(AND(BE149&gt;BH149,BF149&lt;BI149,BK149&gt;=p_GapMin,BK149&lt;=p_GapMax),1,0),0)</f>
        <v>0</v>
      </c>
      <c r="BM149" s="42" t="n">
        <f aca="false">IF(AND(BL149=1,E149&gt;BI149),1,0)</f>
        <v>0</v>
      </c>
      <c r="BN149" s="42" t="n">
        <f aca="false">IF(BL149=1,IF(BE149&gt;=BH149*0.5,1,0),0)</f>
        <v>0</v>
      </c>
      <c r="BO149" s="42" t="n">
        <f aca="true">IF(V149&gt;MIN(OFFSET(V149,-MIN(p_FiLb-1,ROW()-5),0,MIN(p_FiLb-1,ROW()-5),1)),1,0)</f>
        <v>1</v>
      </c>
      <c r="BP149" s="44" t="n">
        <f aca="true">IF(COUNTIF(OFFSET(V149,1-MIN(100,ROW()-4),0,MIN(100,ROW()-4),1),"&lt;0")&gt;=5,AVERAGEIF(OFFSET(V149,1-MIN(100,ROW()-4),0,MIN(100,ROW()-4),1),"&lt;0"),"")</f>
        <v>-1008549.55907968</v>
      </c>
      <c r="BQ149" s="42" t="n">
        <f aca="false">IF(ISNUMBER(BP149),IF(AND(V149&lt;5*BP149,V149&gt;V148,E149&lt;AJ149),1,0),0)</f>
        <v>0</v>
      </c>
      <c r="BR149" s="44" t="n">
        <f aca="true">AVERAGE(OFFSET(F149,1-MIN(5,ROW()-4),0,MIN(5,ROW()-4),1))</f>
        <v>3843520</v>
      </c>
      <c r="BS149" s="42" t="n">
        <f aca="false">IFERROR(IF(MATCH(G149,周线!$A$5:$A$84,0)&lt;=1,"",INDEX(周线!$R$5:$R$84,MATCH(G149,周线!$A$5:$A$84,0)-1)),"")</f>
        <v>0</v>
      </c>
      <c r="BT149" s="42" t="n">
        <f aca="false">IFERROR(IF(MATCH(G149,周线!$A$5:$A$84,0)&lt;=1,"",INDEX(周线!$S$5:$S$84,MATCH(G149,周线!$A$5:$A$84,0)-1)),"")</f>
        <v>1</v>
      </c>
      <c r="BU149" s="42" t="n">
        <f aca="false">IFERROR(IF(MATCH(G149,周线!$A$5:$A$84,0)&lt;=1,"",INDEX(周线!$U$5:$U$84,MATCH(G149,周线!$A$5:$A$84,0)-1)),"")</f>
        <v>1</v>
      </c>
      <c r="BV149" s="42" t="n">
        <f aca="false">IF(AND(BS149=1,S149&lt;&gt;-1,V149&lt;0,BO149=1,E149&lt;=H149,E149&gt;=AJ149),1,0)</f>
        <v>0</v>
      </c>
      <c r="BW149" s="42" t="n">
        <f aca="false">BL149</f>
        <v>0</v>
      </c>
      <c r="BX149" s="42" t="n">
        <f aca="false">BQ149</f>
        <v>0</v>
      </c>
      <c r="BY149" s="42" t="n">
        <f aca="false">IF(BS149=1,10,0)+IF(BU149=1,5,IF(BU149=-1,0,3))+IF(BT149=1,5,0)+IF(AND(AE149&gt;AF149,AH149&gt;AH148),5,0)</f>
        <v>15</v>
      </c>
      <c r="BZ149" s="42" t="n">
        <f aca="false">IF(AND(E149&lt;=H149,E149&gt;=I149),10,IF(AND(E149&gt;=AJ149,E149&lt;I149),6,0))+IF(AND(V149&lt;0,BO149=1),8,0)+IF(AT149&lt;30,7,IF(AT149&lt;50,3,0))</f>
        <v>0</v>
      </c>
      <c r="CA149" s="42" t="n">
        <f aca="false">IF(AND(BV149=1,BW149=1),25,IF(BW149=1,22,IF(BV149=1,15,IF(BX149=1,12,0))))</f>
        <v>0</v>
      </c>
      <c r="CB149" s="42" t="n">
        <f aca="false">IF(W149&gt;0,6,0)+IF(F149&lt;BR149,4,0)</f>
        <v>6</v>
      </c>
      <c r="CC149" s="42" t="n">
        <f aca="false">IF(BC149&gt;=3,15,IF(BC149&gt;=p_RRmin,10,IF(BC149&gt;=1.5,4,0)))</f>
        <v>10</v>
      </c>
      <c r="CD149" s="42" t="n">
        <f aca="false">BY149+BZ149+CA149+CB149+CC149</f>
        <v>31</v>
      </c>
      <c r="CE149" s="42" t="n">
        <f aca="false">IF(AND(BS149&lt;&gt;1,BW149+BX149=0),1,0)</f>
        <v>1</v>
      </c>
      <c r="CF149" s="42" t="n">
        <f aca="false">IF(BU149=-1,1,0)</f>
        <v>0</v>
      </c>
      <c r="CG149" s="42" t="n">
        <f aca="false">IF(S149=-1,1,0)</f>
        <v>0</v>
      </c>
      <c r="CH149" s="42" t="n">
        <f aca="false">IF(BV149+BW149+BX149=0,1,0)</f>
        <v>1</v>
      </c>
      <c r="CI149" s="42" t="n">
        <f aca="false">IF(BC149&lt;p_RRmin,1,0)</f>
        <v>0</v>
      </c>
      <c r="CJ149" s="46" t="str">
        <f aca="false">IF(SUM(CE149:CI149)=0,IF(CD149&gt;=p_GradeA,"A",IF(CD149&gt;=p_GradeB,"B","C")),IF(AND(CI149=1,SUM(CE149:CH149)=0,CD149&gt;=p_GradeB),"B","C"))</f>
        <v>C</v>
      </c>
    </row>
    <row r="150" customFormat="false" ht="15" hidden="false" customHeight="false" outlineLevel="0" collapsed="false">
      <c r="A150" s="36" t="n">
        <v>45862</v>
      </c>
      <c r="B150" s="37" t="n">
        <v>22.13</v>
      </c>
      <c r="C150" s="37" t="n">
        <v>22.21</v>
      </c>
      <c r="D150" s="37" t="n">
        <v>21.93</v>
      </c>
      <c r="E150" s="37" t="n">
        <v>21.97</v>
      </c>
      <c r="F150" s="38" t="n">
        <v>3395500</v>
      </c>
      <c r="G150" s="39" t="n">
        <f aca="false">A150-WEEKDAY(A150,3)</f>
        <v>45859</v>
      </c>
      <c r="H150" s="40" t="n">
        <f aca="false">2/(p_EmaF+1)*E150+(1-2/(p_EmaF+1))*H149</f>
        <v>21.4338894193682</v>
      </c>
      <c r="I150" s="40" t="n">
        <f aca="false">2/(p_EmaS+1)*E150+(1-2/(p_EmaS+1))*I149</f>
        <v>21.2100688748965</v>
      </c>
      <c r="J150" s="41" t="n">
        <f aca="false">2/(p_MacdF+1)*E150+(1-2/(p_MacdF+1))*J149</f>
        <v>21.4674156003108</v>
      </c>
      <c r="K150" s="41" t="n">
        <f aca="false">2/(p_MacdS+1)*E150+(1-2/(p_MacdS+1))*K149</f>
        <v>21.2100688748965</v>
      </c>
      <c r="L150" s="41" t="n">
        <f aca="false">J150-K150</f>
        <v>0.257346725414273</v>
      </c>
      <c r="M150" s="41" t="n">
        <f aca="false">2/(p_MacdSig+1)*L150+(1-2/(p_MacdSig+1))*M149</f>
        <v>0.12700177943519</v>
      </c>
      <c r="N150" s="41" t="n">
        <f aca="false">L150-M150</f>
        <v>0.130344945979083</v>
      </c>
      <c r="O150" s="42" t="n">
        <f aca="false">IF(H150&gt;H149,1,0)</f>
        <v>1</v>
      </c>
      <c r="P150" s="42" t="n">
        <f aca="false">IF(H150&lt;H149,1,0)</f>
        <v>0</v>
      </c>
      <c r="Q150" s="42" t="n">
        <f aca="false">IF(N150&gt;N149,1,0)</f>
        <v>0</v>
      </c>
      <c r="R150" s="42" t="n">
        <f aca="false">IF(N150&lt;N149,1,0)</f>
        <v>1</v>
      </c>
      <c r="S150" s="42" t="n">
        <f aca="false">IF(AND(O150=1,Q150=1),1,IF(AND(P150=1,R150=1),-1,0))</f>
        <v>0</v>
      </c>
      <c r="T150" s="43" t="str">
        <f aca="false">IF(S150=1,"绿",IF(S150=-1,"红","蓝"))</f>
        <v>蓝</v>
      </c>
      <c r="U150" s="44" t="n">
        <f aca="false">F150*(E150-E149)</f>
        <v>-237685.000000001</v>
      </c>
      <c r="V150" s="44" t="n">
        <f aca="false">2/(p_FiS+1)*U150+(1-2/(p_FiS+1))*V149</f>
        <v>262327.950709769</v>
      </c>
      <c r="W150" s="44" t="n">
        <f aca="false">2/(p_FiL+1)*U150+(1-2/(p_FiL+1))*W149</f>
        <v>371379.984302195</v>
      </c>
      <c r="X150" s="41" t="n">
        <f aca="false">MAX(C150-D150,ABS(C150-E149),ABS(D150-E149))</f>
        <v>0.280000000000001</v>
      </c>
      <c r="Y150" s="41" t="n">
        <f aca="true">AVERAGE(OFFSET(X150,1-MIN(p_AtrN,ROW()-4),0,MIN(p_AtrN,ROW()-4),1))</f>
        <v>0.498461538461539</v>
      </c>
      <c r="Z150" s="41" t="n">
        <f aca="false">IF(AND(C150-C149&gt;D149-D150,C150-C149&gt;0),C150-C149,0)</f>
        <v>0.0600000000000023</v>
      </c>
      <c r="AA150" s="41" t="n">
        <f aca="false">IF(AND(D149-D150&gt;C150-C149,D149-D150&gt;0),D149-D150,0)</f>
        <v>0</v>
      </c>
      <c r="AB150" s="41" t="n">
        <f aca="false">2/(p_AdxN+1)*X150+(1-2/(p_AdxN+1))*AB149</f>
        <v>0.479823794432763</v>
      </c>
      <c r="AC150" s="41" t="n">
        <f aca="false">2/(p_AdxN+1)*Z150+(1-2/(p_AdxN+1))*AC149</f>
        <v>0.155808027274563</v>
      </c>
      <c r="AD150" s="41" t="n">
        <f aca="false">2/(p_AdxN+1)*AA150+(1-2/(p_AdxN+1))*AD149</f>
        <v>0.0301812790083411</v>
      </c>
      <c r="AE150" s="45" t="n">
        <f aca="false">100*AC150/AB150</f>
        <v>32.4719259616452</v>
      </c>
      <c r="AF150" s="45" t="n">
        <f aca="false">100*AD150/AB150</f>
        <v>6.29007551491286</v>
      </c>
      <c r="AG150" s="45" t="n">
        <f aca="false">IFERROR(100*ABS(AE150-AF150)/(AE150+AF150),0)</f>
        <v>67.5451458887287</v>
      </c>
      <c r="AH150" s="45" t="n">
        <f aca="false">2/(p_AdxN+1)*AG150+(1-2/(p_AdxN+1))*AH149</f>
        <v>49.4921191519759</v>
      </c>
      <c r="AI150" s="40" t="n">
        <f aca="false">I150*(1+p_ChPct)</f>
        <v>22.4826730073903</v>
      </c>
      <c r="AJ150" s="40" t="n">
        <f aca="false">I150*(1-p_ChPct)</f>
        <v>19.9374647424027</v>
      </c>
      <c r="AK150" s="40" t="n">
        <f aca="false">I150+1*Y150</f>
        <v>21.7085304133581</v>
      </c>
      <c r="AL150" s="40" t="n">
        <f aca="false">I150+2*Y150</f>
        <v>22.2069919518196</v>
      </c>
      <c r="AM150" s="40" t="n">
        <f aca="false">I150+3*Y150</f>
        <v>22.7054534902811</v>
      </c>
      <c r="AN150" s="40" t="n">
        <f aca="false">I150-1*Y150</f>
        <v>20.711607336435</v>
      </c>
      <c r="AO150" s="40" t="n">
        <f aca="false">I150-2*Y150</f>
        <v>20.2131457979734</v>
      </c>
      <c r="AP150" s="40" t="n">
        <f aca="false">I150-3*Y150</f>
        <v>19.7146842595119</v>
      </c>
      <c r="AQ150" s="40" t="n">
        <f aca="true">MAX(OFFSET(C150,1-MIN(p_StochN,ROW()-4),0,MIN(p_StochN,ROW()-4),1))</f>
        <v>22.21</v>
      </c>
      <c r="AR150" s="40" t="n">
        <f aca="true">MIN(OFFSET(D150,1-MIN(p_StochN,ROW()-4),0,MIN(p_StochN,ROW()-4),1))</f>
        <v>21.18</v>
      </c>
      <c r="AS150" s="45" t="n">
        <f aca="false">IF(AQ150=AR150,50,100*(E150-AR150)/(AQ150-AR150))</f>
        <v>76.6990291262134</v>
      </c>
      <c r="AT150" s="45" t="n">
        <f aca="true">AVERAGE(OFFSET(AS150,1-MIN(p_StochSm,ROW()-4),0,MIN(p_StochSm,ROW()-4),1))</f>
        <v>80.7314895318445</v>
      </c>
      <c r="AU150" s="45" t="n">
        <f aca="true">AVERAGE(OFFSET(AT150,1-MIN(p_StochSm,ROW()-4),0,MIN(p_StochSm,ROW()-4),1))</f>
        <v>75.6471373803403</v>
      </c>
      <c r="AV150" s="41" t="n">
        <f aca="false">MAX(0,H150-D150)</f>
        <v>0</v>
      </c>
      <c r="AW150" s="41" t="n">
        <f aca="true">IF(COUNTIF(OFFSET(AV150,1-MIN(p_PenLb,ROW()-4),0,MIN(p_PenLb,ROW()-4),1),"&gt;0")&gt;0,SUM(OFFSET(AV150,1-MIN(p_PenLb,ROW()-4),0,MIN(p_PenLb,ROW()-4),1))/COUNTIF(OFFSET(AV150,1-MIN(p_PenLb,ROW()-4),0,MIN(p_PenLb,ROW()-4),1),"&gt;0"),0.5*Y150)</f>
        <v>0.56480742398768</v>
      </c>
      <c r="AX150" s="41" t="n">
        <f aca="false">2*H150-H149</f>
        <v>21.5232411828068</v>
      </c>
      <c r="AY150" s="40" t="n">
        <f aca="false">ROUND(MAX(AX150-AW150,0.01),2)</f>
        <v>20.96</v>
      </c>
      <c r="AZ150" s="40" t="n">
        <f aca="true">IF(MIN(p_StopLb,ROW()-4)&lt;2,D150,SMALL(OFFSET(D150,1-MIN(p_StopLb,ROW()-4),0,MIN(p_StopLb,ROW()-4),1),2))</f>
        <v>20.71</v>
      </c>
      <c r="BA150" s="40" t="n">
        <f aca="false">IF(MOD(ROUND(ROUNDDOWN(MIN(AZ150-0.01,AY150-p_StopAtr*Y150),2)*100,0),50)=0,ROUNDDOWN(MIN(AZ150-0.01,AY150-p_StopAtr*Y150),2)-0.01,ROUNDDOWN(MIN(AZ150-0.01,AY150-p_StopAtr*Y150),2))</f>
        <v>20.46</v>
      </c>
      <c r="BB150" s="40" t="n">
        <f aca="false">ROUND(AI150,2)</f>
        <v>22.48</v>
      </c>
      <c r="BC150" s="40" t="n">
        <f aca="false">IF(AY150-BA150&gt;0,(BB150-AY150)/(AY150-BA150),0)</f>
        <v>3.04</v>
      </c>
      <c r="BD150" s="42" t="n">
        <f aca="false">IF(N150&lt;0,1,0)</f>
        <v>0</v>
      </c>
      <c r="BE150" s="41" t="n">
        <f aca="false">IF(AND(BD150=1,BD149=0),N150,IF(BD150=1,MIN(BE149,N150),BE149))</f>
        <v>-0.0583119972977335</v>
      </c>
      <c r="BF150" s="40" t="n">
        <f aca="false">IF(AND(BD150=1,BD149=0),D150,IF(BD150=1,MIN(BF149,D150),BF149))</f>
        <v>19.27</v>
      </c>
      <c r="BG150" s="42" t="n">
        <f aca="false">IF(AND(BD150=1,BD149=0),ROW(),IF(BD150=1,IF(N150&lt;BE149,ROW(),BG149),BG149))</f>
        <v>124</v>
      </c>
      <c r="BH150" s="41" t="n">
        <f aca="false">IF(AND(BD150=1,BD149=0),BE149,BH149)</f>
        <v>-0.392824838841331</v>
      </c>
      <c r="BI150" s="40" t="n">
        <f aca="false">IF(AND(BD150=1,BD149=0),BF149,BI149)</f>
        <v>20.27</v>
      </c>
      <c r="BJ150" s="42" t="n">
        <f aca="false">IF(AND(BD150=1,BD149=0),BG149,BJ149)</f>
        <v>98</v>
      </c>
      <c r="BK150" s="42" t="n">
        <f aca="false">IF(AND(ISNUMBER(BG150),ISNUMBER(BJ150)),BG150-BJ150,"")</f>
        <v>26</v>
      </c>
      <c r="BL150" s="42" t="n">
        <f aca="false">IF(AND(BD150=1,N150&gt;N149,ISNUMBER(BH150),ISNUMBER(BK150)),IF(AND(BE150&gt;BH150,BF150&lt;BI150,BK150&gt;=p_GapMin,BK150&lt;=p_GapMax),1,0),0)</f>
        <v>0</v>
      </c>
      <c r="BM150" s="42" t="n">
        <f aca="false">IF(AND(BL150=1,E150&gt;BI150),1,0)</f>
        <v>0</v>
      </c>
      <c r="BN150" s="42" t="n">
        <f aca="false">IF(BL150=1,IF(BE150&gt;=BH150*0.5,1,0),0)</f>
        <v>0</v>
      </c>
      <c r="BO150" s="42" t="n">
        <f aca="true">IF(V150&gt;MIN(OFFSET(V150,-MIN(p_FiLb-1,ROW()-5),0,MIN(p_FiLb-1,ROW()-5),1)),1,0)</f>
        <v>1</v>
      </c>
      <c r="BP150" s="44" t="n">
        <f aca="true">IF(COUNTIF(OFFSET(V150,1-MIN(100,ROW()-4),0,MIN(100,ROW()-4),1),"&lt;0")&gt;=5,AVERAGEIF(OFFSET(V150,1-MIN(100,ROW()-4),0,MIN(100,ROW()-4),1),"&lt;0"),"")</f>
        <v>-1020801.55411053</v>
      </c>
      <c r="BQ150" s="42" t="n">
        <f aca="false">IF(ISNUMBER(BP150),IF(AND(V150&lt;5*BP150,V150&gt;V149,E150&lt;AJ150),1,0),0)</f>
        <v>0</v>
      </c>
      <c r="BR150" s="44" t="n">
        <f aca="true">AVERAGE(OFFSET(F150,1-MIN(5,ROW()-4),0,MIN(5,ROW()-4),1))</f>
        <v>3805560</v>
      </c>
      <c r="BS150" s="42" t="n">
        <f aca="false">IFERROR(IF(MATCH(G150,周线!$A$5:$A$84,0)&lt;=1,"",INDEX(周线!$R$5:$R$84,MATCH(G150,周线!$A$5:$A$84,0)-1)),"")</f>
        <v>0</v>
      </c>
      <c r="BT150" s="42" t="n">
        <f aca="false">IFERROR(IF(MATCH(G150,周线!$A$5:$A$84,0)&lt;=1,"",INDEX(周线!$S$5:$S$84,MATCH(G150,周线!$A$5:$A$84,0)-1)),"")</f>
        <v>1</v>
      </c>
      <c r="BU150" s="42" t="n">
        <f aca="false">IFERROR(IF(MATCH(G150,周线!$A$5:$A$84,0)&lt;=1,"",INDEX(周线!$U$5:$U$84,MATCH(G150,周线!$A$5:$A$84,0)-1)),"")</f>
        <v>1</v>
      </c>
      <c r="BV150" s="42" t="n">
        <f aca="false">IF(AND(BS150=1,S150&lt;&gt;-1,V150&lt;0,BO150=1,E150&lt;=H150,E150&gt;=AJ150),1,0)</f>
        <v>0</v>
      </c>
      <c r="BW150" s="42" t="n">
        <f aca="false">BL150</f>
        <v>0</v>
      </c>
      <c r="BX150" s="42" t="n">
        <f aca="false">BQ150</f>
        <v>0</v>
      </c>
      <c r="BY150" s="42" t="n">
        <f aca="false">IF(BS150=1,10,0)+IF(BU150=1,5,IF(BU150=-1,0,3))+IF(BT150=1,5,0)+IF(AND(AE150&gt;AF150,AH150&gt;AH149),5,0)</f>
        <v>15</v>
      </c>
      <c r="BZ150" s="42" t="n">
        <f aca="false">IF(AND(E150&lt;=H150,E150&gt;=I150),10,IF(AND(E150&gt;=AJ150,E150&lt;I150),6,0))+IF(AND(V150&lt;0,BO150=1),8,0)+IF(AT150&lt;30,7,IF(AT150&lt;50,3,0))</f>
        <v>0</v>
      </c>
      <c r="CA150" s="42" t="n">
        <f aca="false">IF(AND(BV150=1,BW150=1),25,IF(BW150=1,22,IF(BV150=1,15,IF(BX150=1,12,0))))</f>
        <v>0</v>
      </c>
      <c r="CB150" s="42" t="n">
        <f aca="false">IF(W150&gt;0,6,0)+IF(F150&lt;BR150,4,0)</f>
        <v>10</v>
      </c>
      <c r="CC150" s="42" t="n">
        <f aca="false">IF(BC150&gt;=3,15,IF(BC150&gt;=p_RRmin,10,IF(BC150&gt;=1.5,4,0)))</f>
        <v>15</v>
      </c>
      <c r="CD150" s="42" t="n">
        <f aca="false">BY150+BZ150+CA150+CB150+CC150</f>
        <v>40</v>
      </c>
      <c r="CE150" s="42" t="n">
        <f aca="false">IF(AND(BS150&lt;&gt;1,BW150+BX150=0),1,0)</f>
        <v>1</v>
      </c>
      <c r="CF150" s="42" t="n">
        <f aca="false">IF(BU150=-1,1,0)</f>
        <v>0</v>
      </c>
      <c r="CG150" s="42" t="n">
        <f aca="false">IF(S150=-1,1,0)</f>
        <v>0</v>
      </c>
      <c r="CH150" s="42" t="n">
        <f aca="false">IF(BV150+BW150+BX150=0,1,0)</f>
        <v>1</v>
      </c>
      <c r="CI150" s="42" t="n">
        <f aca="false">IF(BC150&lt;p_RRmin,1,0)</f>
        <v>0</v>
      </c>
      <c r="CJ150" s="46" t="str">
        <f aca="false">IF(SUM(CE150:CI150)=0,IF(CD150&gt;=p_GradeA,"A",IF(CD150&gt;=p_GradeB,"B","C")),IF(AND(CI150=1,SUM(CE150:CH150)=0,CD150&gt;=p_GradeB),"B","C"))</f>
        <v>C</v>
      </c>
    </row>
    <row r="151" customFormat="false" ht="15" hidden="false" customHeight="false" outlineLevel="0" collapsed="false">
      <c r="A151" s="36" t="n">
        <v>45863</v>
      </c>
      <c r="B151" s="37" t="n">
        <v>21.89</v>
      </c>
      <c r="C151" s="37" t="n">
        <v>23.15</v>
      </c>
      <c r="D151" s="37" t="n">
        <v>21.7</v>
      </c>
      <c r="E151" s="37" t="n">
        <v>22.76</v>
      </c>
      <c r="F151" s="38" t="n">
        <v>6675800</v>
      </c>
      <c r="G151" s="39" t="n">
        <f aca="false">A151-WEEKDAY(A151,3)</f>
        <v>45859</v>
      </c>
      <c r="H151" s="40" t="n">
        <f aca="false">2/(p_EmaF+1)*E151+(1-2/(p_EmaF+1))*H150</f>
        <v>21.6233337880299</v>
      </c>
      <c r="I151" s="40" t="n">
        <f aca="false">2/(p_EmaS+1)*E151+(1-2/(p_EmaS+1))*I150</f>
        <v>21.3248785878671</v>
      </c>
      <c r="J151" s="41" t="n">
        <f aca="false">2/(p_MacdF+1)*E151+(1-2/(p_MacdF+1))*J150</f>
        <v>21.6662747387245</v>
      </c>
      <c r="K151" s="41" t="n">
        <f aca="false">2/(p_MacdS+1)*E151+(1-2/(p_MacdS+1))*K150</f>
        <v>21.3248785878671</v>
      </c>
      <c r="L151" s="41" t="n">
        <f aca="false">J151-K151</f>
        <v>0.341396150857371</v>
      </c>
      <c r="M151" s="41" t="n">
        <f aca="false">2/(p_MacdSig+1)*L151+(1-2/(p_MacdSig+1))*M150</f>
        <v>0.169880653719626</v>
      </c>
      <c r="N151" s="41" t="n">
        <f aca="false">L151-M151</f>
        <v>0.171515497137745</v>
      </c>
      <c r="O151" s="42" t="n">
        <f aca="false">IF(H151&gt;H150,1,0)</f>
        <v>1</v>
      </c>
      <c r="P151" s="42" t="n">
        <f aca="false">IF(H151&lt;H150,1,0)</f>
        <v>0</v>
      </c>
      <c r="Q151" s="42" t="n">
        <f aca="false">IF(N151&gt;N150,1,0)</f>
        <v>1</v>
      </c>
      <c r="R151" s="42" t="n">
        <f aca="false">IF(N151&lt;N150,1,0)</f>
        <v>0</v>
      </c>
      <c r="S151" s="42" t="n">
        <f aca="false">IF(AND(O151=1,Q151=1),1,IF(AND(P151=1,R151=1),-1,0))</f>
        <v>1</v>
      </c>
      <c r="T151" s="43" t="str">
        <f aca="false">IF(S151=1,"绿",IF(S151=-1,"红","蓝"))</f>
        <v>绿</v>
      </c>
      <c r="U151" s="44" t="n">
        <f aca="false">F151*(E151-E150)</f>
        <v>5273882.00000002</v>
      </c>
      <c r="V151" s="44" t="n">
        <f aca="false">2/(p_FiS+1)*U151+(1-2/(p_FiS+1))*V150</f>
        <v>3603363.98356994</v>
      </c>
      <c r="W151" s="44" t="n">
        <f aca="false">2/(p_FiL+1)*U151+(1-2/(p_FiL+1))*W150</f>
        <v>1071737.41511617</v>
      </c>
      <c r="X151" s="41" t="n">
        <f aca="false">MAX(C151-D151,ABS(C151-E150),ABS(D151-E150))</f>
        <v>1.45</v>
      </c>
      <c r="Y151" s="41" t="n">
        <f aca="true">AVERAGE(OFFSET(X151,1-MIN(p_AtrN,ROW()-4),0,MIN(p_AtrN,ROW()-4),1))</f>
        <v>0.587692307692308</v>
      </c>
      <c r="Z151" s="41" t="n">
        <f aca="false">IF(AND(C151-C150&gt;D150-D151,C151-C150&gt;0),C151-C150,0)</f>
        <v>0.939999999999998</v>
      </c>
      <c r="AA151" s="41" t="n">
        <f aca="false">IF(AND(D150-D151&gt;C151-C150,D150-D151&gt;0),D150-D151,0)</f>
        <v>0</v>
      </c>
      <c r="AB151" s="41" t="n">
        <f aca="false">2/(p_AdxN+1)*X151+(1-2/(p_AdxN+1))*AB150</f>
        <v>0.618420395228083</v>
      </c>
      <c r="AC151" s="41" t="n">
        <f aca="false">2/(p_AdxN+1)*Z151+(1-2/(p_AdxN+1))*AC150</f>
        <v>0.267835451949625</v>
      </c>
      <c r="AD151" s="41" t="n">
        <f aca="false">2/(p_AdxN+1)*AA151+(1-2/(p_AdxN+1))*AD150</f>
        <v>0.0258696677214352</v>
      </c>
      <c r="AE151" s="45" t="n">
        <f aca="false">100*AC151/AB151</f>
        <v>43.3096084825669</v>
      </c>
      <c r="AF151" s="45" t="n">
        <f aca="false">100*AD151/AB151</f>
        <v>4.18318475927594</v>
      </c>
      <c r="AG151" s="45" t="n">
        <f aca="false">IFERROR(100*ABS(AE151-AF151)/(AE151+AF151),0)</f>
        <v>82.3839177536923</v>
      </c>
      <c r="AH151" s="45" t="n">
        <f aca="false">2/(p_AdxN+1)*AG151+(1-2/(p_AdxN+1))*AH150</f>
        <v>54.1909475236497</v>
      </c>
      <c r="AI151" s="40" t="n">
        <f aca="false">I151*(1+p_ChPct)</f>
        <v>22.6043713031392</v>
      </c>
      <c r="AJ151" s="40" t="n">
        <f aca="false">I151*(1-p_ChPct)</f>
        <v>20.0453858725951</v>
      </c>
      <c r="AK151" s="40" t="n">
        <f aca="false">I151+1*Y151</f>
        <v>21.9125708955595</v>
      </c>
      <c r="AL151" s="40" t="n">
        <f aca="false">I151+2*Y151</f>
        <v>22.5002632032518</v>
      </c>
      <c r="AM151" s="40" t="n">
        <f aca="false">I151+3*Y151</f>
        <v>23.0879555109441</v>
      </c>
      <c r="AN151" s="40" t="n">
        <f aca="false">I151-1*Y151</f>
        <v>20.7371862801748</v>
      </c>
      <c r="AO151" s="40" t="n">
        <f aca="false">I151-2*Y151</f>
        <v>20.1494939724825</v>
      </c>
      <c r="AP151" s="40" t="n">
        <f aca="false">I151-3*Y151</f>
        <v>19.5618016647902</v>
      </c>
      <c r="AQ151" s="40" t="n">
        <f aca="true">MAX(OFFSET(C151,1-MIN(p_StochN,ROW()-4),0,MIN(p_StochN,ROW()-4),1))</f>
        <v>23.15</v>
      </c>
      <c r="AR151" s="40" t="n">
        <f aca="true">MIN(OFFSET(D151,1-MIN(p_StochN,ROW()-4),0,MIN(p_StochN,ROW()-4),1))</f>
        <v>21.38</v>
      </c>
      <c r="AS151" s="45" t="n">
        <f aca="false">IF(AQ151=AR151,50,100*(E151-AR151)/(AQ151-AR151))</f>
        <v>77.9661016949154</v>
      </c>
      <c r="AT151" s="45" t="n">
        <f aca="true">AVERAGE(OFFSET(AS151,1-MIN(p_StochSm,ROW()-4),0,MIN(p_StochSm,ROW()-4),1))</f>
        <v>82.34208064408</v>
      </c>
      <c r="AU151" s="45" t="n">
        <f aca="true">AVERAGE(OFFSET(AT151,1-MIN(p_StochSm,ROW()-4),0,MIN(p_StochSm,ROW()-4),1))</f>
        <v>79.7943317575544</v>
      </c>
      <c r="AV151" s="41" t="n">
        <f aca="false">MAX(0,H151-D151)</f>
        <v>0</v>
      </c>
      <c r="AW151" s="41" t="n">
        <f aca="true">IF(COUNTIF(OFFSET(AV151,1-MIN(p_PenLb,ROW()-4),0,MIN(p_PenLb,ROW()-4),1),"&gt;0")&gt;0,SUM(OFFSET(AV151,1-MIN(p_PenLb,ROW()-4),0,MIN(p_PenLb,ROW()-4),1))/COUNTIF(OFFSET(AV151,1-MIN(p_PenLb,ROW()-4),0,MIN(p_PenLb,ROW()-4),1),"&gt;0"),0.5*Y151)</f>
        <v>0.5344392116144</v>
      </c>
      <c r="AX151" s="41" t="n">
        <f aca="false">2*H151-H150</f>
        <v>21.8127781566915</v>
      </c>
      <c r="AY151" s="40" t="n">
        <f aca="false">ROUND(MAX(AX151-AW151,0.01),2)</f>
        <v>21.28</v>
      </c>
      <c r="AZ151" s="40" t="n">
        <f aca="true">IF(MIN(p_StopLb,ROW()-4)&lt;2,D151,SMALL(OFFSET(D151,1-MIN(p_StopLb,ROW()-4),0,MIN(p_StopLb,ROW()-4),1),2))</f>
        <v>20.71</v>
      </c>
      <c r="BA151" s="40" t="n">
        <f aca="false">IF(MOD(ROUND(ROUNDDOWN(MIN(AZ151-0.01,AY151-p_StopAtr*Y151),2)*100,0),50)=0,ROUNDDOWN(MIN(AZ151-0.01,AY151-p_StopAtr*Y151),2)-0.01,ROUNDDOWN(MIN(AZ151-0.01,AY151-p_StopAtr*Y151),2))</f>
        <v>20.69</v>
      </c>
      <c r="BB151" s="40" t="n">
        <f aca="false">ROUND(AI151,2)</f>
        <v>22.6</v>
      </c>
      <c r="BC151" s="40" t="n">
        <f aca="false">IF(AY151-BA151&gt;0,(BB151-AY151)/(AY151-BA151),0)</f>
        <v>2.23728813559322</v>
      </c>
      <c r="BD151" s="42" t="n">
        <f aca="false">IF(N151&lt;0,1,0)</f>
        <v>0</v>
      </c>
      <c r="BE151" s="41" t="n">
        <f aca="false">IF(AND(BD151=1,BD150=0),N151,IF(BD151=1,MIN(BE150,N151),BE150))</f>
        <v>-0.0583119972977335</v>
      </c>
      <c r="BF151" s="40" t="n">
        <f aca="false">IF(AND(BD151=1,BD150=0),D151,IF(BD151=1,MIN(BF150,D151),BF150))</f>
        <v>19.27</v>
      </c>
      <c r="BG151" s="42" t="n">
        <f aca="false">IF(AND(BD151=1,BD150=0),ROW(),IF(BD151=1,IF(N151&lt;BE150,ROW(),BG150),BG150))</f>
        <v>124</v>
      </c>
      <c r="BH151" s="41" t="n">
        <f aca="false">IF(AND(BD151=1,BD150=0),BE150,BH150)</f>
        <v>-0.392824838841331</v>
      </c>
      <c r="BI151" s="40" t="n">
        <f aca="false">IF(AND(BD151=1,BD150=0),BF150,BI150)</f>
        <v>20.27</v>
      </c>
      <c r="BJ151" s="42" t="n">
        <f aca="false">IF(AND(BD151=1,BD150=0),BG150,BJ150)</f>
        <v>98</v>
      </c>
      <c r="BK151" s="42" t="n">
        <f aca="false">IF(AND(ISNUMBER(BG151),ISNUMBER(BJ151)),BG151-BJ151,"")</f>
        <v>26</v>
      </c>
      <c r="BL151" s="42" t="n">
        <f aca="false">IF(AND(BD151=1,N151&gt;N150,ISNUMBER(BH151),ISNUMBER(BK151)),IF(AND(BE151&gt;BH151,BF151&lt;BI151,BK151&gt;=p_GapMin,BK151&lt;=p_GapMax),1,0),0)</f>
        <v>0</v>
      </c>
      <c r="BM151" s="42" t="n">
        <f aca="false">IF(AND(BL151=1,E151&gt;BI151),1,0)</f>
        <v>0</v>
      </c>
      <c r="BN151" s="42" t="n">
        <f aca="false">IF(BL151=1,IF(BE151&gt;=BH151*0.5,1,0),0)</f>
        <v>0</v>
      </c>
      <c r="BO151" s="42" t="n">
        <f aca="true">IF(V151&gt;MIN(OFFSET(V151,-MIN(p_FiLb-1,ROW()-5),0,MIN(p_FiLb-1,ROW()-5),1)),1,0)</f>
        <v>1</v>
      </c>
      <c r="BP151" s="44" t="n">
        <f aca="true">IF(COUNTIF(OFFSET(V151,1-MIN(100,ROW()-4),0,MIN(100,ROW()-4),1),"&lt;0")&gt;=5,AVERAGEIF(OFFSET(V151,1-MIN(100,ROW()-4),0,MIN(100,ROW()-4),1),"&lt;0"),"")</f>
        <v>-996081.383054713</v>
      </c>
      <c r="BQ151" s="42" t="n">
        <f aca="false">IF(ISNUMBER(BP151),IF(AND(V151&lt;5*BP151,V151&gt;V150,E151&lt;AJ151),1,0),0)</f>
        <v>0</v>
      </c>
      <c r="BR151" s="44" t="n">
        <f aca="true">AVERAGE(OFFSET(F151,1-MIN(5,ROW()-4),0,MIN(5,ROW()-4),1))</f>
        <v>4246240</v>
      </c>
      <c r="BS151" s="42" t="n">
        <f aca="false">IFERROR(IF(MATCH(G151,周线!$A$5:$A$84,0)&lt;=1,"",INDEX(周线!$R$5:$R$84,MATCH(G151,周线!$A$5:$A$84,0)-1)),"")</f>
        <v>0</v>
      </c>
      <c r="BT151" s="42" t="n">
        <f aca="false">IFERROR(IF(MATCH(G151,周线!$A$5:$A$84,0)&lt;=1,"",INDEX(周线!$S$5:$S$84,MATCH(G151,周线!$A$5:$A$84,0)-1)),"")</f>
        <v>1</v>
      </c>
      <c r="BU151" s="42" t="n">
        <f aca="false">IFERROR(IF(MATCH(G151,周线!$A$5:$A$84,0)&lt;=1,"",INDEX(周线!$U$5:$U$84,MATCH(G151,周线!$A$5:$A$84,0)-1)),"")</f>
        <v>1</v>
      </c>
      <c r="BV151" s="42" t="n">
        <f aca="false">IF(AND(BS151=1,S151&lt;&gt;-1,V151&lt;0,BO151=1,E151&lt;=H151,E151&gt;=AJ151),1,0)</f>
        <v>0</v>
      </c>
      <c r="BW151" s="42" t="n">
        <f aca="false">BL151</f>
        <v>0</v>
      </c>
      <c r="BX151" s="42" t="n">
        <f aca="false">BQ151</f>
        <v>0</v>
      </c>
      <c r="BY151" s="42" t="n">
        <f aca="false">IF(BS151=1,10,0)+IF(BU151=1,5,IF(BU151=-1,0,3))+IF(BT151=1,5,0)+IF(AND(AE151&gt;AF151,AH151&gt;AH150),5,0)</f>
        <v>15</v>
      </c>
      <c r="BZ151" s="42" t="n">
        <f aca="false">IF(AND(E151&lt;=H151,E151&gt;=I151),10,IF(AND(E151&gt;=AJ151,E151&lt;I151),6,0))+IF(AND(V151&lt;0,BO151=1),8,0)+IF(AT151&lt;30,7,IF(AT151&lt;50,3,0))</f>
        <v>0</v>
      </c>
      <c r="CA151" s="42" t="n">
        <f aca="false">IF(AND(BV151=1,BW151=1),25,IF(BW151=1,22,IF(BV151=1,15,IF(BX151=1,12,0))))</f>
        <v>0</v>
      </c>
      <c r="CB151" s="42" t="n">
        <f aca="false">IF(W151&gt;0,6,0)+IF(F151&lt;BR151,4,0)</f>
        <v>6</v>
      </c>
      <c r="CC151" s="42" t="n">
        <f aca="false">IF(BC151&gt;=3,15,IF(BC151&gt;=p_RRmin,10,IF(BC151&gt;=1.5,4,0)))</f>
        <v>10</v>
      </c>
      <c r="CD151" s="42" t="n">
        <f aca="false">BY151+BZ151+CA151+CB151+CC151</f>
        <v>31</v>
      </c>
      <c r="CE151" s="42" t="n">
        <f aca="false">IF(AND(BS151&lt;&gt;1,BW151+BX151=0),1,0)</f>
        <v>1</v>
      </c>
      <c r="CF151" s="42" t="n">
        <f aca="false">IF(BU151=-1,1,0)</f>
        <v>0</v>
      </c>
      <c r="CG151" s="42" t="n">
        <f aca="false">IF(S151=-1,1,0)</f>
        <v>0</v>
      </c>
      <c r="CH151" s="42" t="n">
        <f aca="false">IF(BV151+BW151+BX151=0,1,0)</f>
        <v>1</v>
      </c>
      <c r="CI151" s="42" t="n">
        <f aca="false">IF(BC151&lt;p_RRmin,1,0)</f>
        <v>0</v>
      </c>
      <c r="CJ151" s="46" t="str">
        <f aca="false">IF(SUM(CE151:CI151)=0,IF(CD151&gt;=p_GradeA,"A",IF(CD151&gt;=p_GradeB,"B","C")),IF(AND(CI151=1,SUM(CE151:CH151)=0,CD151&gt;=p_GradeB),"B","C"))</f>
        <v>C</v>
      </c>
    </row>
    <row r="152" customFormat="false" ht="15" hidden="false" customHeight="false" outlineLevel="0" collapsed="false">
      <c r="A152" s="36" t="n">
        <v>45866</v>
      </c>
      <c r="B152" s="37" t="n">
        <v>22.71</v>
      </c>
      <c r="C152" s="37" t="n">
        <v>22.94</v>
      </c>
      <c r="D152" s="37" t="n">
        <v>22.63</v>
      </c>
      <c r="E152" s="37" t="n">
        <v>22.9</v>
      </c>
      <c r="F152" s="38" t="n">
        <v>4458200</v>
      </c>
      <c r="G152" s="39" t="n">
        <f aca="false">A152-WEEKDAY(A152,3)</f>
        <v>45866</v>
      </c>
      <c r="H152" s="40" t="n">
        <f aca="false">2/(p_EmaF+1)*E152+(1-2/(p_EmaF+1))*H151</f>
        <v>21.8057146754542</v>
      </c>
      <c r="I152" s="40" t="n">
        <f aca="false">2/(p_EmaS+1)*E152+(1-2/(p_EmaS+1))*I151</f>
        <v>21.4415542480251</v>
      </c>
      <c r="J152" s="41" t="n">
        <f aca="false">2/(p_MacdF+1)*E152+(1-2/(p_MacdF+1))*J151</f>
        <v>21.8560786250746</v>
      </c>
      <c r="K152" s="41" t="n">
        <f aca="false">2/(p_MacdS+1)*E152+(1-2/(p_MacdS+1))*K151</f>
        <v>21.4415542480251</v>
      </c>
      <c r="L152" s="41" t="n">
        <f aca="false">J152-K152</f>
        <v>0.414524377049457</v>
      </c>
      <c r="M152" s="41" t="n">
        <f aca="false">2/(p_MacdSig+1)*L152+(1-2/(p_MacdSig+1))*M151</f>
        <v>0.218809398385592</v>
      </c>
      <c r="N152" s="41" t="n">
        <f aca="false">L152-M152</f>
        <v>0.195714978663865</v>
      </c>
      <c r="O152" s="42" t="n">
        <f aca="false">IF(H152&gt;H151,1,0)</f>
        <v>1</v>
      </c>
      <c r="P152" s="42" t="n">
        <f aca="false">IF(H152&lt;H151,1,0)</f>
        <v>0</v>
      </c>
      <c r="Q152" s="42" t="n">
        <f aca="false">IF(N152&gt;N151,1,0)</f>
        <v>1</v>
      </c>
      <c r="R152" s="42" t="n">
        <f aca="false">IF(N152&lt;N151,1,0)</f>
        <v>0</v>
      </c>
      <c r="S152" s="42" t="n">
        <f aca="false">IF(AND(O152=1,Q152=1),1,IF(AND(P152=1,R152=1),-1,0))</f>
        <v>1</v>
      </c>
      <c r="T152" s="43" t="str">
        <f aca="false">IF(S152=1,"绿",IF(S152=-1,"红","蓝"))</f>
        <v>绿</v>
      </c>
      <c r="U152" s="44" t="n">
        <f aca="false">F152*(E152-E151)</f>
        <v>624147.999999987</v>
      </c>
      <c r="V152" s="44" t="n">
        <f aca="false">2/(p_FiS+1)*U152+(1-2/(p_FiS+1))*V151</f>
        <v>1617219.9945233</v>
      </c>
      <c r="W152" s="44" t="n">
        <f aca="false">2/(p_FiL+1)*U152+(1-2/(p_FiL+1))*W151</f>
        <v>1007796.07009957</v>
      </c>
      <c r="X152" s="41" t="n">
        <f aca="false">MAX(C152-D152,ABS(C152-E151),ABS(D152-E151))</f>
        <v>0.310000000000002</v>
      </c>
      <c r="Y152" s="41" t="n">
        <f aca="true">AVERAGE(OFFSET(X152,1-MIN(p_AtrN,ROW()-4),0,MIN(p_AtrN,ROW()-4),1))</f>
        <v>0.554615384615385</v>
      </c>
      <c r="Z152" s="41" t="n">
        <f aca="false">IF(AND(C152-C151&gt;D151-D152,C152-C151&gt;0),C152-C151,0)</f>
        <v>0</v>
      </c>
      <c r="AA152" s="41" t="n">
        <f aca="false">IF(AND(D151-D152&gt;C152-C151,D151-D152&gt;0),D151-D152,0)</f>
        <v>0</v>
      </c>
      <c r="AB152" s="41" t="n">
        <f aca="false">2/(p_AdxN+1)*X152+(1-2/(p_AdxN+1))*AB151</f>
        <v>0.574360338766928</v>
      </c>
      <c r="AC152" s="41" t="n">
        <f aca="false">2/(p_AdxN+1)*Z152+(1-2/(p_AdxN+1))*AC151</f>
        <v>0.22957324452825</v>
      </c>
      <c r="AD152" s="41" t="n">
        <f aca="false">2/(p_AdxN+1)*AA152+(1-2/(p_AdxN+1))*AD151</f>
        <v>0.0221740009040873</v>
      </c>
      <c r="AE152" s="45" t="n">
        <f aca="false">100*AC152/AB152</f>
        <v>39.9702467306695</v>
      </c>
      <c r="AF152" s="45" t="n">
        <f aca="false">100*AD152/AB152</f>
        <v>3.86064277204303</v>
      </c>
      <c r="AG152" s="45" t="n">
        <f aca="false">IFERROR(100*ABS(AE152-AF152)/(AE152+AF152),0)</f>
        <v>82.3839177536923</v>
      </c>
      <c r="AH152" s="45" t="n">
        <f aca="false">2/(p_AdxN+1)*AG152+(1-2/(p_AdxN+1))*AH151</f>
        <v>58.21851469937</v>
      </c>
      <c r="AI152" s="40" t="n">
        <f aca="false">I152*(1+p_ChPct)</f>
        <v>22.7280475029066</v>
      </c>
      <c r="AJ152" s="40" t="n">
        <f aca="false">I152*(1-p_ChPct)</f>
        <v>20.1550609931436</v>
      </c>
      <c r="AK152" s="40" t="n">
        <f aca="false">I152+1*Y152</f>
        <v>21.9961696326405</v>
      </c>
      <c r="AL152" s="40" t="n">
        <f aca="false">I152+2*Y152</f>
        <v>22.5507850172559</v>
      </c>
      <c r="AM152" s="40" t="n">
        <f aca="false">I152+3*Y152</f>
        <v>23.1054004018713</v>
      </c>
      <c r="AN152" s="40" t="n">
        <f aca="false">I152-1*Y152</f>
        <v>20.8869388634097</v>
      </c>
      <c r="AO152" s="40" t="n">
        <f aca="false">I152-2*Y152</f>
        <v>20.3323234787944</v>
      </c>
      <c r="AP152" s="40" t="n">
        <f aca="false">I152-3*Y152</f>
        <v>19.777708094179</v>
      </c>
      <c r="AQ152" s="40" t="n">
        <f aca="true">MAX(OFFSET(C152,1-MIN(p_StochN,ROW()-4),0,MIN(p_StochN,ROW()-4),1))</f>
        <v>23.15</v>
      </c>
      <c r="AR152" s="40" t="n">
        <f aca="true">MIN(OFFSET(D152,1-MIN(p_StochN,ROW()-4),0,MIN(p_StochN,ROW()-4),1))</f>
        <v>21.38</v>
      </c>
      <c r="AS152" s="45" t="n">
        <f aca="false">IF(AQ152=AR152,50,100*(E152-AR152)/(AQ152-AR152))</f>
        <v>85.8757062146893</v>
      </c>
      <c r="AT152" s="45" t="n">
        <f aca="true">AVERAGE(OFFSET(AS152,1-MIN(p_StochSm,ROW()-4),0,MIN(p_StochSm,ROW()-4),1))</f>
        <v>80.1802790119394</v>
      </c>
      <c r="AU152" s="45" t="n">
        <f aca="true">AVERAGE(OFFSET(AT152,1-MIN(p_StochSm,ROW()-4),0,MIN(p_StochSm,ROW()-4),1))</f>
        <v>81.0846163959546</v>
      </c>
      <c r="AV152" s="41" t="n">
        <f aca="false">MAX(0,H152-D152)</f>
        <v>0</v>
      </c>
      <c r="AW152" s="41" t="n">
        <f aca="true">IF(COUNTIF(OFFSET(AV152,1-MIN(p_PenLb,ROW()-4),0,MIN(p_PenLb,ROW()-4),1),"&gt;0")&gt;0,SUM(OFFSET(AV152,1-MIN(p_PenLb,ROW()-4),0,MIN(p_PenLb,ROW()-4),1))/COUNTIF(OFFSET(AV152,1-MIN(p_PenLb,ROW()-4),0,MIN(p_PenLb,ROW()-4),1),"&gt;0"),0.5*Y152)</f>
        <v>0.465246260836639</v>
      </c>
      <c r="AX152" s="41" t="n">
        <f aca="false">2*H152-H151</f>
        <v>21.9880955628785</v>
      </c>
      <c r="AY152" s="40" t="n">
        <f aca="false">ROUND(MAX(AX152-AW152,0.01),2)</f>
        <v>21.52</v>
      </c>
      <c r="AZ152" s="40" t="n">
        <f aca="true">IF(MIN(p_StopLb,ROW()-4)&lt;2,D152,SMALL(OFFSET(D152,1-MIN(p_StopLb,ROW()-4),0,MIN(p_StopLb,ROW()-4),1),2))</f>
        <v>20.71</v>
      </c>
      <c r="BA152" s="40" t="n">
        <f aca="false">IF(MOD(ROUND(ROUNDDOWN(MIN(AZ152-0.01,AY152-p_StopAtr*Y152),2)*100,0),50)=0,ROUNDDOWN(MIN(AZ152-0.01,AY152-p_StopAtr*Y152),2)-0.01,ROUNDDOWN(MIN(AZ152-0.01,AY152-p_StopAtr*Y152),2))</f>
        <v>20.7</v>
      </c>
      <c r="BB152" s="40" t="n">
        <f aca="false">ROUND(AI152,2)</f>
        <v>22.73</v>
      </c>
      <c r="BC152" s="40" t="n">
        <f aca="false">IF(AY152-BA152&gt;0,(BB152-AY152)/(AY152-BA152),0)</f>
        <v>1.47560975609756</v>
      </c>
      <c r="BD152" s="42" t="n">
        <f aca="false">IF(N152&lt;0,1,0)</f>
        <v>0</v>
      </c>
      <c r="BE152" s="41" t="n">
        <f aca="false">IF(AND(BD152=1,BD151=0),N152,IF(BD152=1,MIN(BE151,N152),BE151))</f>
        <v>-0.0583119972977335</v>
      </c>
      <c r="BF152" s="40" t="n">
        <f aca="false">IF(AND(BD152=1,BD151=0),D152,IF(BD152=1,MIN(BF151,D152),BF151))</f>
        <v>19.27</v>
      </c>
      <c r="BG152" s="42" t="n">
        <f aca="false">IF(AND(BD152=1,BD151=0),ROW(),IF(BD152=1,IF(N152&lt;BE151,ROW(),BG151),BG151))</f>
        <v>124</v>
      </c>
      <c r="BH152" s="41" t="n">
        <f aca="false">IF(AND(BD152=1,BD151=0),BE151,BH151)</f>
        <v>-0.392824838841331</v>
      </c>
      <c r="BI152" s="40" t="n">
        <f aca="false">IF(AND(BD152=1,BD151=0),BF151,BI151)</f>
        <v>20.27</v>
      </c>
      <c r="BJ152" s="42" t="n">
        <f aca="false">IF(AND(BD152=1,BD151=0),BG151,BJ151)</f>
        <v>98</v>
      </c>
      <c r="BK152" s="42" t="n">
        <f aca="false">IF(AND(ISNUMBER(BG152),ISNUMBER(BJ152)),BG152-BJ152,"")</f>
        <v>26</v>
      </c>
      <c r="BL152" s="42" t="n">
        <f aca="false">IF(AND(BD152=1,N152&gt;N151,ISNUMBER(BH152),ISNUMBER(BK152)),IF(AND(BE152&gt;BH152,BF152&lt;BI152,BK152&gt;=p_GapMin,BK152&lt;=p_GapMax),1,0),0)</f>
        <v>0</v>
      </c>
      <c r="BM152" s="42" t="n">
        <f aca="false">IF(AND(BL152=1,E152&gt;BI152),1,0)</f>
        <v>0</v>
      </c>
      <c r="BN152" s="42" t="n">
        <f aca="false">IF(BL152=1,IF(BE152&gt;=BH152*0.5,1,0),0)</f>
        <v>0</v>
      </c>
      <c r="BO152" s="42" t="n">
        <f aca="true">IF(V152&gt;MIN(OFFSET(V152,-MIN(p_FiLb-1,ROW()-5),0,MIN(p_FiLb-1,ROW()-5),1)),1,0)</f>
        <v>1</v>
      </c>
      <c r="BP152" s="44" t="n">
        <f aca="true">IF(COUNTIF(OFFSET(V152,1-MIN(100,ROW()-4),0,MIN(100,ROW()-4),1),"&lt;0")&gt;=5,AVERAGEIF(OFFSET(V152,1-MIN(100,ROW()-4),0,MIN(100,ROW()-4),1),"&lt;0"),"")</f>
        <v>-1002566.8706472</v>
      </c>
      <c r="BQ152" s="42" t="n">
        <f aca="false">IF(ISNUMBER(BP152),IF(AND(V152&lt;5*BP152,V152&gt;V151,E152&lt;AJ152),1,0),0)</f>
        <v>0</v>
      </c>
      <c r="BR152" s="44" t="n">
        <f aca="true">AVERAGE(OFFSET(F152,1-MIN(5,ROW()-4),0,MIN(5,ROW()-4),1))</f>
        <v>4429520</v>
      </c>
      <c r="BS152" s="42" t="n">
        <f aca="false">IFERROR(IF(MATCH(G152,周线!$A$5:$A$84,0)&lt;=1,"",INDEX(周线!$R$5:$R$84,MATCH(G152,周线!$A$5:$A$84,0)-1)),"")</f>
        <v>1</v>
      </c>
      <c r="BT152" s="42" t="n">
        <f aca="false">IFERROR(IF(MATCH(G152,周线!$A$5:$A$84,0)&lt;=1,"",INDEX(周线!$S$5:$S$84,MATCH(G152,周线!$A$5:$A$84,0)-1)),"")</f>
        <v>1</v>
      </c>
      <c r="BU152" s="42" t="n">
        <f aca="false">IFERROR(IF(MATCH(G152,周线!$A$5:$A$84,0)&lt;=1,"",INDEX(周线!$U$5:$U$84,MATCH(G152,周线!$A$5:$A$84,0)-1)),"")</f>
        <v>1</v>
      </c>
      <c r="BV152" s="42" t="n">
        <f aca="false">IF(AND(BS152=1,S152&lt;&gt;-1,V152&lt;0,BO152=1,E152&lt;=H152,E152&gt;=AJ152),1,0)</f>
        <v>0</v>
      </c>
      <c r="BW152" s="42" t="n">
        <f aca="false">BL152</f>
        <v>0</v>
      </c>
      <c r="BX152" s="42" t="n">
        <f aca="false">BQ152</f>
        <v>0</v>
      </c>
      <c r="BY152" s="42" t="n">
        <f aca="false">IF(BS152=1,10,0)+IF(BU152=1,5,IF(BU152=-1,0,3))+IF(BT152=1,5,0)+IF(AND(AE152&gt;AF152,AH152&gt;AH151),5,0)</f>
        <v>25</v>
      </c>
      <c r="BZ152" s="42" t="n">
        <f aca="false">IF(AND(E152&lt;=H152,E152&gt;=I152),10,IF(AND(E152&gt;=AJ152,E152&lt;I152),6,0))+IF(AND(V152&lt;0,BO152=1),8,0)+IF(AT152&lt;30,7,IF(AT152&lt;50,3,0))</f>
        <v>0</v>
      </c>
      <c r="CA152" s="42" t="n">
        <f aca="false">IF(AND(BV152=1,BW152=1),25,IF(BW152=1,22,IF(BV152=1,15,IF(BX152=1,12,0))))</f>
        <v>0</v>
      </c>
      <c r="CB152" s="42" t="n">
        <f aca="false">IF(W152&gt;0,6,0)+IF(F152&lt;BR152,4,0)</f>
        <v>6</v>
      </c>
      <c r="CC152" s="42" t="n">
        <f aca="false">IF(BC152&gt;=3,15,IF(BC152&gt;=p_RRmin,10,IF(BC152&gt;=1.5,4,0)))</f>
        <v>0</v>
      </c>
      <c r="CD152" s="42" t="n">
        <f aca="false">BY152+BZ152+CA152+CB152+CC152</f>
        <v>31</v>
      </c>
      <c r="CE152" s="42" t="n">
        <f aca="false">IF(AND(BS152&lt;&gt;1,BW152+BX152=0),1,0)</f>
        <v>0</v>
      </c>
      <c r="CF152" s="42" t="n">
        <f aca="false">IF(BU152=-1,1,0)</f>
        <v>0</v>
      </c>
      <c r="CG152" s="42" t="n">
        <f aca="false">IF(S152=-1,1,0)</f>
        <v>0</v>
      </c>
      <c r="CH152" s="42" t="n">
        <f aca="false">IF(BV152+BW152+BX152=0,1,0)</f>
        <v>1</v>
      </c>
      <c r="CI152" s="42" t="n">
        <f aca="false">IF(BC152&lt;p_RRmin,1,0)</f>
        <v>1</v>
      </c>
      <c r="CJ152" s="46" t="str">
        <f aca="false">IF(SUM(CE152:CI152)=0,IF(CD152&gt;=p_GradeA,"A",IF(CD152&gt;=p_GradeB,"B","C")),IF(AND(CI152=1,SUM(CE152:CH152)=0,CD152&gt;=p_GradeB),"B","C"))</f>
        <v>C</v>
      </c>
    </row>
    <row r="153" customFormat="false" ht="15" hidden="false" customHeight="false" outlineLevel="0" collapsed="false">
      <c r="A153" s="36" t="n">
        <v>45867</v>
      </c>
      <c r="B153" s="37" t="n">
        <v>22.83</v>
      </c>
      <c r="C153" s="37" t="n">
        <v>23.67</v>
      </c>
      <c r="D153" s="37" t="n">
        <v>22.78</v>
      </c>
      <c r="E153" s="37" t="n">
        <v>23.61</v>
      </c>
      <c r="F153" s="38" t="n">
        <v>4541700</v>
      </c>
      <c r="G153" s="39" t="n">
        <f aca="false">A153-WEEKDAY(A153,3)</f>
        <v>45866</v>
      </c>
      <c r="H153" s="40" t="n">
        <f aca="false">2/(p_EmaF+1)*E153+(1-2/(p_EmaF+1))*H152</f>
        <v>22.0634697218179</v>
      </c>
      <c r="I153" s="40" t="n">
        <f aca="false">2/(p_EmaS+1)*E153+(1-2/(p_EmaS+1))*I152</f>
        <v>21.6021798592825</v>
      </c>
      <c r="J153" s="41" t="n">
        <f aca="false">2/(p_MacdF+1)*E153+(1-2/(p_MacdF+1))*J152</f>
        <v>22.1259126827554</v>
      </c>
      <c r="K153" s="41" t="n">
        <f aca="false">2/(p_MacdS+1)*E153+(1-2/(p_MacdS+1))*K152</f>
        <v>21.6021798592825</v>
      </c>
      <c r="L153" s="41" t="n">
        <f aca="false">J153-K153</f>
        <v>0.523732823472891</v>
      </c>
      <c r="M153" s="41" t="n">
        <f aca="false">2/(p_MacdSig+1)*L153+(1-2/(p_MacdSig+1))*M152</f>
        <v>0.279794083403052</v>
      </c>
      <c r="N153" s="41" t="n">
        <f aca="false">L153-M153</f>
        <v>0.243938740069839</v>
      </c>
      <c r="O153" s="42" t="n">
        <f aca="false">IF(H153&gt;H152,1,0)</f>
        <v>1</v>
      </c>
      <c r="P153" s="42" t="n">
        <f aca="false">IF(H153&lt;H152,1,0)</f>
        <v>0</v>
      </c>
      <c r="Q153" s="42" t="n">
        <f aca="false">IF(N153&gt;N152,1,0)</f>
        <v>1</v>
      </c>
      <c r="R153" s="42" t="n">
        <f aca="false">IF(N153&lt;N152,1,0)</f>
        <v>0</v>
      </c>
      <c r="S153" s="42" t="n">
        <f aca="false">IF(AND(O153=1,Q153=1),1,IF(AND(P153=1,R153=1),-1,0))</f>
        <v>1</v>
      </c>
      <c r="T153" s="43" t="str">
        <f aca="false">IF(S153=1,"绿",IF(S153=-1,"红","蓝"))</f>
        <v>绿</v>
      </c>
      <c r="U153" s="44" t="n">
        <f aca="false">F153*(E153-E152)</f>
        <v>3224607</v>
      </c>
      <c r="V153" s="44" t="n">
        <f aca="false">2/(p_FiS+1)*U153+(1-2/(p_FiS+1))*V152</f>
        <v>2688811.33150777</v>
      </c>
      <c r="W153" s="44" t="n">
        <f aca="false">2/(p_FiL+1)*U153+(1-2/(p_FiL+1))*W152</f>
        <v>1324483.34579963</v>
      </c>
      <c r="X153" s="41" t="n">
        <f aca="false">MAX(C153-D153,ABS(C153-E152),ABS(D153-E152))</f>
        <v>0.890000000000001</v>
      </c>
      <c r="Y153" s="41" t="n">
        <f aca="true">AVERAGE(OFFSET(X153,1-MIN(p_AtrN,ROW()-4),0,MIN(p_AtrN,ROW()-4),1))</f>
        <v>0.577692307692308</v>
      </c>
      <c r="Z153" s="41" t="n">
        <f aca="false">IF(AND(C153-C152&gt;D152-D153,C153-C152&gt;0),C153-C152,0)</f>
        <v>0.73</v>
      </c>
      <c r="AA153" s="41" t="n">
        <f aca="false">IF(AND(D152-D153&gt;C153-C152,D152-D153&gt;0),D152-D153,0)</f>
        <v>0</v>
      </c>
      <c r="AB153" s="41" t="n">
        <f aca="false">2/(p_AdxN+1)*X153+(1-2/(p_AdxN+1))*AB152</f>
        <v>0.619451718943082</v>
      </c>
      <c r="AC153" s="41" t="n">
        <f aca="false">2/(p_AdxN+1)*Z153+(1-2/(p_AdxN+1))*AC152</f>
        <v>0.301062781024215</v>
      </c>
      <c r="AD153" s="41" t="n">
        <f aca="false">2/(p_AdxN+1)*AA153+(1-2/(p_AdxN+1))*AD152</f>
        <v>0.0190062864892177</v>
      </c>
      <c r="AE153" s="45" t="n">
        <f aca="false">100*AC153/AB153</f>
        <v>48.6014925485868</v>
      </c>
      <c r="AF153" s="45" t="n">
        <f aca="false">100*AD153/AB153</f>
        <v>3.06824340105901</v>
      </c>
      <c r="AG153" s="45" t="n">
        <f aca="false">IFERROR(100*ABS(AE153-AF153)/(AE153+AF153),0)</f>
        <v>88.1236342912643</v>
      </c>
      <c r="AH153" s="45" t="n">
        <f aca="false">2/(p_AdxN+1)*AG153+(1-2/(p_AdxN+1))*AH152</f>
        <v>62.4906746410692</v>
      </c>
      <c r="AI153" s="40" t="n">
        <f aca="false">I153*(1+p_ChPct)</f>
        <v>22.8983106508395</v>
      </c>
      <c r="AJ153" s="40" t="n">
        <f aca="false">I153*(1-p_ChPct)</f>
        <v>20.3060490677256</v>
      </c>
      <c r="AK153" s="40" t="n">
        <f aca="false">I153+1*Y153</f>
        <v>22.1798721669748</v>
      </c>
      <c r="AL153" s="40" t="n">
        <f aca="false">I153+2*Y153</f>
        <v>22.7575644746671</v>
      </c>
      <c r="AM153" s="40" t="n">
        <f aca="false">I153+3*Y153</f>
        <v>23.3352567823595</v>
      </c>
      <c r="AN153" s="40" t="n">
        <f aca="false">I153-1*Y153</f>
        <v>21.0244875515902</v>
      </c>
      <c r="AO153" s="40" t="n">
        <f aca="false">I153-2*Y153</f>
        <v>20.4467952438979</v>
      </c>
      <c r="AP153" s="40" t="n">
        <f aca="false">I153-3*Y153</f>
        <v>19.8691029362056</v>
      </c>
      <c r="AQ153" s="40" t="n">
        <f aca="true">MAX(OFFSET(C153,1-MIN(p_StochN,ROW()-4),0,MIN(p_StochN,ROW()-4),1))</f>
        <v>23.67</v>
      </c>
      <c r="AR153" s="40" t="n">
        <f aca="true">MIN(OFFSET(D153,1-MIN(p_StochN,ROW()-4),0,MIN(p_StochN,ROW()-4),1))</f>
        <v>21.66</v>
      </c>
      <c r="AS153" s="45" t="n">
        <f aca="false">IF(AQ153=AR153,50,100*(E153-AR153)/(AQ153-AR153))</f>
        <v>97.0149253731342</v>
      </c>
      <c r="AT153" s="45" t="n">
        <f aca="true">AVERAGE(OFFSET(AS153,1-MIN(p_StochSm,ROW()-4),0,MIN(p_StochSm,ROW()-4),1))</f>
        <v>86.9522444275796</v>
      </c>
      <c r="AU153" s="45" t="n">
        <f aca="true">AVERAGE(OFFSET(AT153,1-MIN(p_StochSm,ROW()-4),0,MIN(p_StochSm,ROW()-4),1))</f>
        <v>83.1582013611997</v>
      </c>
      <c r="AV153" s="41" t="n">
        <f aca="false">MAX(0,H153-D153)</f>
        <v>0</v>
      </c>
      <c r="AW153" s="41" t="n">
        <f aca="true">IF(COUNTIF(OFFSET(AV153,1-MIN(p_PenLb,ROW()-4),0,MIN(p_PenLb,ROW()-4),1),"&gt;0")&gt;0,SUM(OFFSET(AV153,1-MIN(p_PenLb,ROW()-4),0,MIN(p_PenLb,ROW()-4),1))/COUNTIF(OFFSET(AV153,1-MIN(p_PenLb,ROW()-4),0,MIN(p_PenLb,ROW()-4),1),"&gt;0"),0.5*Y153)</f>
        <v>0.403464729966728</v>
      </c>
      <c r="AX153" s="41" t="n">
        <f aca="false">2*H153-H152</f>
        <v>22.3212247681815</v>
      </c>
      <c r="AY153" s="40" t="n">
        <f aca="false">ROUND(MAX(AX153-AW153,0.01),2)</f>
        <v>21.92</v>
      </c>
      <c r="AZ153" s="40" t="n">
        <f aca="true">IF(MIN(p_StopLb,ROW()-4)&lt;2,D153,SMALL(OFFSET(D153,1-MIN(p_StopLb,ROW()-4),0,MIN(p_StopLb,ROW()-4),1),2))</f>
        <v>20.71</v>
      </c>
      <c r="BA153" s="40" t="n">
        <f aca="false">IF(MOD(ROUND(ROUNDDOWN(MIN(AZ153-0.01,AY153-p_StopAtr*Y153),2)*100,0),50)=0,ROUNDDOWN(MIN(AZ153-0.01,AY153-p_StopAtr*Y153),2)-0.01,ROUNDDOWN(MIN(AZ153-0.01,AY153-p_StopAtr*Y153),2))</f>
        <v>20.7</v>
      </c>
      <c r="BB153" s="40" t="n">
        <f aca="false">ROUND(AI153,2)</f>
        <v>22.9</v>
      </c>
      <c r="BC153" s="40" t="n">
        <f aca="false">IF(AY153-BA153&gt;0,(BB153-AY153)/(AY153-BA153),0)</f>
        <v>0.803278688524586</v>
      </c>
      <c r="BD153" s="42" t="n">
        <f aca="false">IF(N153&lt;0,1,0)</f>
        <v>0</v>
      </c>
      <c r="BE153" s="41" t="n">
        <f aca="false">IF(AND(BD153=1,BD152=0),N153,IF(BD153=1,MIN(BE152,N153),BE152))</f>
        <v>-0.0583119972977335</v>
      </c>
      <c r="BF153" s="40" t="n">
        <f aca="false">IF(AND(BD153=1,BD152=0),D153,IF(BD153=1,MIN(BF152,D153),BF152))</f>
        <v>19.27</v>
      </c>
      <c r="BG153" s="42" t="n">
        <f aca="false">IF(AND(BD153=1,BD152=0),ROW(),IF(BD153=1,IF(N153&lt;BE152,ROW(),BG152),BG152))</f>
        <v>124</v>
      </c>
      <c r="BH153" s="41" t="n">
        <f aca="false">IF(AND(BD153=1,BD152=0),BE152,BH152)</f>
        <v>-0.392824838841331</v>
      </c>
      <c r="BI153" s="40" t="n">
        <f aca="false">IF(AND(BD153=1,BD152=0),BF152,BI152)</f>
        <v>20.27</v>
      </c>
      <c r="BJ153" s="42" t="n">
        <f aca="false">IF(AND(BD153=1,BD152=0),BG152,BJ152)</f>
        <v>98</v>
      </c>
      <c r="BK153" s="42" t="n">
        <f aca="false">IF(AND(ISNUMBER(BG153),ISNUMBER(BJ153)),BG153-BJ153,"")</f>
        <v>26</v>
      </c>
      <c r="BL153" s="42" t="n">
        <f aca="false">IF(AND(BD153=1,N153&gt;N152,ISNUMBER(BH153),ISNUMBER(BK153)),IF(AND(BE153&gt;BH153,BF153&lt;BI153,BK153&gt;=p_GapMin,BK153&lt;=p_GapMax),1,0),0)</f>
        <v>0</v>
      </c>
      <c r="BM153" s="42" t="n">
        <f aca="false">IF(AND(BL153=1,E153&gt;BI153),1,0)</f>
        <v>0</v>
      </c>
      <c r="BN153" s="42" t="n">
        <f aca="false">IF(BL153=1,IF(BE153&gt;=BH153*0.5,1,0),0)</f>
        <v>0</v>
      </c>
      <c r="BO153" s="42" t="n">
        <f aca="true">IF(V153&gt;MIN(OFFSET(V153,-MIN(p_FiLb-1,ROW()-5),0,MIN(p_FiLb-1,ROW()-5),1)),1,0)</f>
        <v>1</v>
      </c>
      <c r="BP153" s="44" t="n">
        <f aca="true">IF(COUNTIF(OFFSET(V153,1-MIN(100,ROW()-4),0,MIN(100,ROW()-4),1),"&lt;0")&gt;=5,AVERAGEIF(OFFSET(V153,1-MIN(100,ROW()-4),0,MIN(100,ROW()-4),1),"&lt;0"),"")</f>
        <v>-1002566.8706472</v>
      </c>
      <c r="BQ153" s="42" t="n">
        <f aca="false">IF(ISNUMBER(BP153),IF(AND(V153&lt;5*BP153,V153&gt;V152,E153&lt;AJ153),1,0),0)</f>
        <v>0</v>
      </c>
      <c r="BR153" s="44" t="n">
        <f aca="true">AVERAGE(OFFSET(F153,1-MIN(5,ROW()-4),0,MIN(5,ROW()-4),1))</f>
        <v>4818240</v>
      </c>
      <c r="BS153" s="42" t="n">
        <f aca="false">IFERROR(IF(MATCH(G153,周线!$A$5:$A$84,0)&lt;=1,"",INDEX(周线!$R$5:$R$84,MATCH(G153,周线!$A$5:$A$84,0)-1)),"")</f>
        <v>1</v>
      </c>
      <c r="BT153" s="42" t="n">
        <f aca="false">IFERROR(IF(MATCH(G153,周线!$A$5:$A$84,0)&lt;=1,"",INDEX(周线!$S$5:$S$84,MATCH(G153,周线!$A$5:$A$84,0)-1)),"")</f>
        <v>1</v>
      </c>
      <c r="BU153" s="42" t="n">
        <f aca="false">IFERROR(IF(MATCH(G153,周线!$A$5:$A$84,0)&lt;=1,"",INDEX(周线!$U$5:$U$84,MATCH(G153,周线!$A$5:$A$84,0)-1)),"")</f>
        <v>1</v>
      </c>
      <c r="BV153" s="42" t="n">
        <f aca="false">IF(AND(BS153=1,S153&lt;&gt;-1,V153&lt;0,BO153=1,E153&lt;=H153,E153&gt;=AJ153),1,0)</f>
        <v>0</v>
      </c>
      <c r="BW153" s="42" t="n">
        <f aca="false">BL153</f>
        <v>0</v>
      </c>
      <c r="BX153" s="42" t="n">
        <f aca="false">BQ153</f>
        <v>0</v>
      </c>
      <c r="BY153" s="42" t="n">
        <f aca="false">IF(BS153=1,10,0)+IF(BU153=1,5,IF(BU153=-1,0,3))+IF(BT153=1,5,0)+IF(AND(AE153&gt;AF153,AH153&gt;AH152),5,0)</f>
        <v>25</v>
      </c>
      <c r="BZ153" s="42" t="n">
        <f aca="false">IF(AND(E153&lt;=H153,E153&gt;=I153),10,IF(AND(E153&gt;=AJ153,E153&lt;I153),6,0))+IF(AND(V153&lt;0,BO153=1),8,0)+IF(AT153&lt;30,7,IF(AT153&lt;50,3,0))</f>
        <v>0</v>
      </c>
      <c r="CA153" s="42" t="n">
        <f aca="false">IF(AND(BV153=1,BW153=1),25,IF(BW153=1,22,IF(BV153=1,15,IF(BX153=1,12,0))))</f>
        <v>0</v>
      </c>
      <c r="CB153" s="42" t="n">
        <f aca="false">IF(W153&gt;0,6,0)+IF(F153&lt;BR153,4,0)</f>
        <v>10</v>
      </c>
      <c r="CC153" s="42" t="n">
        <f aca="false">IF(BC153&gt;=3,15,IF(BC153&gt;=p_RRmin,10,IF(BC153&gt;=1.5,4,0)))</f>
        <v>0</v>
      </c>
      <c r="CD153" s="42" t="n">
        <f aca="false">BY153+BZ153+CA153+CB153+CC153</f>
        <v>35</v>
      </c>
      <c r="CE153" s="42" t="n">
        <f aca="false">IF(AND(BS153&lt;&gt;1,BW153+BX153=0),1,0)</f>
        <v>0</v>
      </c>
      <c r="CF153" s="42" t="n">
        <f aca="false">IF(BU153=-1,1,0)</f>
        <v>0</v>
      </c>
      <c r="CG153" s="42" t="n">
        <f aca="false">IF(S153=-1,1,0)</f>
        <v>0</v>
      </c>
      <c r="CH153" s="42" t="n">
        <f aca="false">IF(BV153+BW153+BX153=0,1,0)</f>
        <v>1</v>
      </c>
      <c r="CI153" s="42" t="n">
        <f aca="false">IF(BC153&lt;p_RRmin,1,0)</f>
        <v>1</v>
      </c>
      <c r="CJ153" s="46" t="str">
        <f aca="false">IF(SUM(CE153:CI153)=0,IF(CD153&gt;=p_GradeA,"A",IF(CD153&gt;=p_GradeB,"B","C")),IF(AND(CI153=1,SUM(CE153:CH153)=0,CD153&gt;=p_GradeB),"B","C"))</f>
        <v>C</v>
      </c>
    </row>
    <row r="154" customFormat="false" ht="15" hidden="false" customHeight="false" outlineLevel="0" collapsed="false">
      <c r="A154" s="36" t="n">
        <v>45868</v>
      </c>
      <c r="B154" s="37" t="n">
        <v>23.52</v>
      </c>
      <c r="C154" s="37" t="n">
        <v>23.64</v>
      </c>
      <c r="D154" s="37" t="n">
        <v>23.08</v>
      </c>
      <c r="E154" s="37" t="n">
        <v>23.23</v>
      </c>
      <c r="F154" s="38" t="n">
        <v>4807000</v>
      </c>
      <c r="G154" s="39" t="n">
        <f aca="false">A154-WEEKDAY(A154,3)</f>
        <v>45866</v>
      </c>
      <c r="H154" s="40" t="n">
        <f aca="false">2/(p_EmaF+1)*E154+(1-2/(p_EmaF+1))*H153</f>
        <v>22.2301169044153</v>
      </c>
      <c r="I154" s="40" t="n">
        <f aca="false">2/(p_EmaS+1)*E154+(1-2/(p_EmaS+1))*I153</f>
        <v>21.7227591289653</v>
      </c>
      <c r="J154" s="41" t="n">
        <f aca="false">2/(p_MacdF+1)*E154+(1-2/(p_MacdF+1))*J153</f>
        <v>22.2957722700238</v>
      </c>
      <c r="K154" s="41" t="n">
        <f aca="false">2/(p_MacdS+1)*E154+(1-2/(p_MacdS+1))*K153</f>
        <v>21.7227591289653</v>
      </c>
      <c r="L154" s="41" t="n">
        <f aca="false">J154-K154</f>
        <v>0.573013141058514</v>
      </c>
      <c r="M154" s="41" t="n">
        <f aca="false">2/(p_MacdSig+1)*L154+(1-2/(p_MacdSig+1))*M153</f>
        <v>0.338437894934144</v>
      </c>
      <c r="N154" s="41" t="n">
        <f aca="false">L154-M154</f>
        <v>0.23457524612437</v>
      </c>
      <c r="O154" s="42" t="n">
        <f aca="false">IF(H154&gt;H153,1,0)</f>
        <v>1</v>
      </c>
      <c r="P154" s="42" t="n">
        <f aca="false">IF(H154&lt;H153,1,0)</f>
        <v>0</v>
      </c>
      <c r="Q154" s="42" t="n">
        <f aca="false">IF(N154&gt;N153,1,0)</f>
        <v>0</v>
      </c>
      <c r="R154" s="42" t="n">
        <f aca="false">IF(N154&lt;N153,1,0)</f>
        <v>1</v>
      </c>
      <c r="S154" s="42" t="n">
        <f aca="false">IF(AND(O154=1,Q154=1),1,IF(AND(P154=1,R154=1),-1,0))</f>
        <v>0</v>
      </c>
      <c r="T154" s="43" t="str">
        <f aca="false">IF(S154=1,"绿",IF(S154=-1,"红","蓝"))</f>
        <v>蓝</v>
      </c>
      <c r="U154" s="44" t="n">
        <f aca="false">F154*(E154-E153)</f>
        <v>-1826660</v>
      </c>
      <c r="V154" s="44" t="n">
        <f aca="false">2/(p_FiS+1)*U154+(1-2/(p_FiS+1))*V153</f>
        <v>-321502.889497406</v>
      </c>
      <c r="W154" s="44" t="n">
        <f aca="false">2/(p_FiL+1)*U154+(1-2/(p_FiL+1))*W153</f>
        <v>874320.010685401</v>
      </c>
      <c r="X154" s="41" t="n">
        <f aca="false">MAX(C154-D154,ABS(C154-E153),ABS(D154-E153))</f>
        <v>0.560000000000002</v>
      </c>
      <c r="Y154" s="41" t="n">
        <f aca="true">AVERAGE(OFFSET(X154,1-MIN(p_AtrN,ROW()-4),0,MIN(p_AtrN,ROW()-4),1))</f>
        <v>0.604615384615385</v>
      </c>
      <c r="Z154" s="41" t="n">
        <f aca="false">IF(AND(C154-C153&gt;D153-D154,C154-C153&gt;0),C154-C153,0)</f>
        <v>0</v>
      </c>
      <c r="AA154" s="41" t="n">
        <f aca="false">IF(AND(D153-D154&gt;C154-C153,D153-D154&gt;0),D153-D154,0)</f>
        <v>0</v>
      </c>
      <c r="AB154" s="41" t="n">
        <f aca="false">2/(p_AdxN+1)*X154+(1-2/(p_AdxN+1))*AB153</f>
        <v>0.610958616236927</v>
      </c>
      <c r="AC154" s="41" t="n">
        <f aca="false">2/(p_AdxN+1)*Z154+(1-2/(p_AdxN+1))*AC153</f>
        <v>0.25805381230647</v>
      </c>
      <c r="AD154" s="41" t="n">
        <f aca="false">2/(p_AdxN+1)*AA154+(1-2/(p_AdxN+1))*AD153</f>
        <v>0.0162911027050437</v>
      </c>
      <c r="AE154" s="45" t="n">
        <f aca="false">100*AC154/AB154</f>
        <v>42.2375272970039</v>
      </c>
      <c r="AF154" s="45" t="n">
        <f aca="false">100*AD154/AB154</f>
        <v>2.66648219242498</v>
      </c>
      <c r="AG154" s="45" t="n">
        <f aca="false">IFERROR(100*ABS(AE154-AF154)/(AE154+AF154),0)</f>
        <v>88.1236342912643</v>
      </c>
      <c r="AH154" s="45" t="n">
        <f aca="false">2/(p_AdxN+1)*AG154+(1-2/(p_AdxN+1))*AH153</f>
        <v>66.1525260196685</v>
      </c>
      <c r="AI154" s="40" t="n">
        <f aca="false">I154*(1+p_ChPct)</f>
        <v>23.0261246767032</v>
      </c>
      <c r="AJ154" s="40" t="n">
        <f aca="false">I154*(1-p_ChPct)</f>
        <v>20.4193935812274</v>
      </c>
      <c r="AK154" s="40" t="n">
        <f aca="false">I154+1*Y154</f>
        <v>22.3273745135807</v>
      </c>
      <c r="AL154" s="40" t="n">
        <f aca="false">I154+2*Y154</f>
        <v>22.9319898981961</v>
      </c>
      <c r="AM154" s="40" t="n">
        <f aca="false">I154+3*Y154</f>
        <v>23.5366052828115</v>
      </c>
      <c r="AN154" s="40" t="n">
        <f aca="false">I154-1*Y154</f>
        <v>21.1181437443499</v>
      </c>
      <c r="AO154" s="40" t="n">
        <f aca="false">I154-2*Y154</f>
        <v>20.5135283597345</v>
      </c>
      <c r="AP154" s="40" t="n">
        <f aca="false">I154-3*Y154</f>
        <v>19.9089129751192</v>
      </c>
      <c r="AQ154" s="40" t="n">
        <f aca="true">MAX(OFFSET(C154,1-MIN(p_StochN,ROW()-4),0,MIN(p_StochN,ROW()-4),1))</f>
        <v>23.67</v>
      </c>
      <c r="AR154" s="40" t="n">
        <f aca="true">MIN(OFFSET(D154,1-MIN(p_StochN,ROW()-4),0,MIN(p_StochN,ROW()-4),1))</f>
        <v>21.7</v>
      </c>
      <c r="AS154" s="45" t="n">
        <f aca="false">IF(AQ154=AR154,50,100*(E154-AR154)/(AQ154-AR154))</f>
        <v>77.6649746192893</v>
      </c>
      <c r="AT154" s="45" t="n">
        <f aca="true">AVERAGE(OFFSET(AS154,1-MIN(p_StochSm,ROW()-4),0,MIN(p_StochSm,ROW()-4),1))</f>
        <v>86.8518687357043</v>
      </c>
      <c r="AU154" s="45" t="n">
        <f aca="true">AVERAGE(OFFSET(AT154,1-MIN(p_StochSm,ROW()-4),0,MIN(p_StochSm,ROW()-4),1))</f>
        <v>84.6614640584078</v>
      </c>
      <c r="AV154" s="41" t="n">
        <f aca="false">MAX(0,H154-D154)</f>
        <v>0</v>
      </c>
      <c r="AW154" s="41" t="n">
        <f aca="true">IF(COUNTIF(OFFSET(AV154,1-MIN(p_PenLb,ROW()-4),0,MIN(p_PenLb,ROW()-4),1),"&gt;0")&gt;0,SUM(OFFSET(AV154,1-MIN(p_PenLb,ROW()-4),0,MIN(p_PenLb,ROW()-4),1))/COUNTIF(OFFSET(AV154,1-MIN(p_PenLb,ROW()-4),0,MIN(p_PenLb,ROW()-4),1),"&gt;0"),0.5*Y154)</f>
        <v>0.345891112548803</v>
      </c>
      <c r="AX154" s="41" t="n">
        <f aca="false">2*H154-H153</f>
        <v>22.3967640870128</v>
      </c>
      <c r="AY154" s="40" t="n">
        <f aca="false">ROUND(MAX(AX154-AW154,0.01),2)</f>
        <v>22.05</v>
      </c>
      <c r="AZ154" s="40" t="n">
        <f aca="true">IF(MIN(p_StopLb,ROW()-4)&lt;2,D154,SMALL(OFFSET(D154,1-MIN(p_StopLb,ROW()-4),0,MIN(p_StopLb,ROW()-4),1),2))</f>
        <v>21.18</v>
      </c>
      <c r="BA154" s="40" t="n">
        <f aca="false">IF(MOD(ROUND(ROUNDDOWN(MIN(AZ154-0.01,AY154-p_StopAtr*Y154),2)*100,0),50)=0,ROUNDDOWN(MIN(AZ154-0.01,AY154-p_StopAtr*Y154),2)-0.01,ROUNDDOWN(MIN(AZ154-0.01,AY154-p_StopAtr*Y154),2))</f>
        <v>21.17</v>
      </c>
      <c r="BB154" s="40" t="n">
        <f aca="false">ROUND(AI154,2)</f>
        <v>23.03</v>
      </c>
      <c r="BC154" s="40" t="n">
        <f aca="false">IF(AY154-BA154&gt;0,(BB154-AY154)/(AY154-BA154),0)</f>
        <v>1.11363636363637</v>
      </c>
      <c r="BD154" s="42" t="n">
        <f aca="false">IF(N154&lt;0,1,0)</f>
        <v>0</v>
      </c>
      <c r="BE154" s="41" t="n">
        <f aca="false">IF(AND(BD154=1,BD153=0),N154,IF(BD154=1,MIN(BE153,N154),BE153))</f>
        <v>-0.0583119972977335</v>
      </c>
      <c r="BF154" s="40" t="n">
        <f aca="false">IF(AND(BD154=1,BD153=0),D154,IF(BD154=1,MIN(BF153,D154),BF153))</f>
        <v>19.27</v>
      </c>
      <c r="BG154" s="42" t="n">
        <f aca="false">IF(AND(BD154=1,BD153=0),ROW(),IF(BD154=1,IF(N154&lt;BE153,ROW(),BG153),BG153))</f>
        <v>124</v>
      </c>
      <c r="BH154" s="41" t="n">
        <f aca="false">IF(AND(BD154=1,BD153=0),BE153,BH153)</f>
        <v>-0.392824838841331</v>
      </c>
      <c r="BI154" s="40" t="n">
        <f aca="false">IF(AND(BD154=1,BD153=0),BF153,BI153)</f>
        <v>20.27</v>
      </c>
      <c r="BJ154" s="42" t="n">
        <f aca="false">IF(AND(BD154=1,BD153=0),BG153,BJ153)</f>
        <v>98</v>
      </c>
      <c r="BK154" s="42" t="n">
        <f aca="false">IF(AND(ISNUMBER(BG154),ISNUMBER(BJ154)),BG154-BJ154,"")</f>
        <v>26</v>
      </c>
      <c r="BL154" s="42" t="n">
        <f aca="false">IF(AND(BD154=1,N154&gt;N153,ISNUMBER(BH154),ISNUMBER(BK154)),IF(AND(BE154&gt;BH154,BF154&lt;BI154,BK154&gt;=p_GapMin,BK154&lt;=p_GapMax),1,0),0)</f>
        <v>0</v>
      </c>
      <c r="BM154" s="42" t="n">
        <f aca="false">IF(AND(BL154=1,E154&gt;BI154),1,0)</f>
        <v>0</v>
      </c>
      <c r="BN154" s="42" t="n">
        <f aca="false">IF(BL154=1,IF(BE154&gt;=BH154*0.5,1,0),0)</f>
        <v>0</v>
      </c>
      <c r="BO154" s="42" t="n">
        <f aca="true">IF(V154&gt;MIN(OFFSET(V154,-MIN(p_FiLb-1,ROW()-5),0,MIN(p_FiLb-1,ROW()-5),1)),1,0)</f>
        <v>1</v>
      </c>
      <c r="BP154" s="44" t="n">
        <f aca="true">IF(COUNTIF(OFFSET(V154,1-MIN(100,ROW()-4),0,MIN(100,ROW()-4),1),"&lt;0")&gt;=5,AVERAGEIF(OFFSET(V154,1-MIN(100,ROW()-4),0,MIN(100,ROW()-4),1),"&lt;0"),"")</f>
        <v>-988667.605725779</v>
      </c>
      <c r="BQ154" s="42" t="n">
        <f aca="false">IF(ISNUMBER(BP154),IF(AND(V154&lt;5*BP154,V154&gt;V153,E154&lt;AJ154),1,0),0)</f>
        <v>0</v>
      </c>
      <c r="BR154" s="44" t="n">
        <f aca="true">AVERAGE(OFFSET(F154,1-MIN(5,ROW()-4),0,MIN(5,ROW()-4),1))</f>
        <v>4775640</v>
      </c>
      <c r="BS154" s="42" t="n">
        <f aca="false">IFERROR(IF(MATCH(G154,周线!$A$5:$A$84,0)&lt;=1,"",INDEX(周线!$R$5:$R$84,MATCH(G154,周线!$A$5:$A$84,0)-1)),"")</f>
        <v>1</v>
      </c>
      <c r="BT154" s="42" t="n">
        <f aca="false">IFERROR(IF(MATCH(G154,周线!$A$5:$A$84,0)&lt;=1,"",INDEX(周线!$S$5:$S$84,MATCH(G154,周线!$A$5:$A$84,0)-1)),"")</f>
        <v>1</v>
      </c>
      <c r="BU154" s="42" t="n">
        <f aca="false">IFERROR(IF(MATCH(G154,周线!$A$5:$A$84,0)&lt;=1,"",INDEX(周线!$U$5:$U$84,MATCH(G154,周线!$A$5:$A$84,0)-1)),"")</f>
        <v>1</v>
      </c>
      <c r="BV154" s="42" t="n">
        <f aca="false">IF(AND(BS154=1,S154&lt;&gt;-1,V154&lt;0,BO154=1,E154&lt;=H154,E154&gt;=AJ154),1,0)</f>
        <v>0</v>
      </c>
      <c r="BW154" s="42" t="n">
        <f aca="false">BL154</f>
        <v>0</v>
      </c>
      <c r="BX154" s="42" t="n">
        <f aca="false">BQ154</f>
        <v>0</v>
      </c>
      <c r="BY154" s="42" t="n">
        <f aca="false">IF(BS154=1,10,0)+IF(BU154=1,5,IF(BU154=-1,0,3))+IF(BT154=1,5,0)+IF(AND(AE154&gt;AF154,AH154&gt;AH153),5,0)</f>
        <v>25</v>
      </c>
      <c r="BZ154" s="42" t="n">
        <f aca="false">IF(AND(E154&lt;=H154,E154&gt;=I154),10,IF(AND(E154&gt;=AJ154,E154&lt;I154),6,0))+IF(AND(V154&lt;0,BO154=1),8,0)+IF(AT154&lt;30,7,IF(AT154&lt;50,3,0))</f>
        <v>8</v>
      </c>
      <c r="CA154" s="42" t="n">
        <f aca="false">IF(AND(BV154=1,BW154=1),25,IF(BW154=1,22,IF(BV154=1,15,IF(BX154=1,12,0))))</f>
        <v>0</v>
      </c>
      <c r="CB154" s="42" t="n">
        <f aca="false">IF(W154&gt;0,6,0)+IF(F154&lt;BR154,4,0)</f>
        <v>6</v>
      </c>
      <c r="CC154" s="42" t="n">
        <f aca="false">IF(BC154&gt;=3,15,IF(BC154&gt;=p_RRmin,10,IF(BC154&gt;=1.5,4,0)))</f>
        <v>0</v>
      </c>
      <c r="CD154" s="42" t="n">
        <f aca="false">BY154+BZ154+CA154+CB154+CC154</f>
        <v>39</v>
      </c>
      <c r="CE154" s="42" t="n">
        <f aca="false">IF(AND(BS154&lt;&gt;1,BW154+BX154=0),1,0)</f>
        <v>0</v>
      </c>
      <c r="CF154" s="42" t="n">
        <f aca="false">IF(BU154=-1,1,0)</f>
        <v>0</v>
      </c>
      <c r="CG154" s="42" t="n">
        <f aca="false">IF(S154=-1,1,0)</f>
        <v>0</v>
      </c>
      <c r="CH154" s="42" t="n">
        <f aca="false">IF(BV154+BW154+BX154=0,1,0)</f>
        <v>1</v>
      </c>
      <c r="CI154" s="42" t="n">
        <f aca="false">IF(BC154&lt;p_RRmin,1,0)</f>
        <v>1</v>
      </c>
      <c r="CJ154" s="46" t="str">
        <f aca="false">IF(SUM(CE154:CI154)=0,IF(CD154&gt;=p_GradeA,"A",IF(CD154&gt;=p_GradeB,"B","C")),IF(AND(CI154=1,SUM(CE154:CH154)=0,CD154&gt;=p_GradeB),"B","C"))</f>
        <v>C</v>
      </c>
    </row>
    <row r="155" customFormat="false" ht="15" hidden="false" customHeight="false" outlineLevel="0" collapsed="false">
      <c r="A155" s="36" t="n">
        <v>45869</v>
      </c>
      <c r="B155" s="37" t="n">
        <v>23.19</v>
      </c>
      <c r="C155" s="37" t="n">
        <v>23.23</v>
      </c>
      <c r="D155" s="37" t="n">
        <v>22.88</v>
      </c>
      <c r="E155" s="37" t="n">
        <v>22.92</v>
      </c>
      <c r="F155" s="38" t="n">
        <v>5080200</v>
      </c>
      <c r="G155" s="39" t="n">
        <f aca="false">A155-WEEKDAY(A155,3)</f>
        <v>45866</v>
      </c>
      <c r="H155" s="40" t="n">
        <f aca="false">2/(p_EmaF+1)*E155+(1-2/(p_EmaF+1))*H154</f>
        <v>22.328671632356</v>
      </c>
      <c r="I155" s="40" t="n">
        <f aca="false">2/(p_EmaS+1)*E155+(1-2/(p_EmaS+1))*I154</f>
        <v>21.8114436379308</v>
      </c>
      <c r="J155" s="41" t="n">
        <f aca="false">2/(p_MacdF+1)*E155+(1-2/(p_MacdF+1))*J154</f>
        <v>22.3918073054048</v>
      </c>
      <c r="K155" s="41" t="n">
        <f aca="false">2/(p_MacdS+1)*E155+(1-2/(p_MacdS+1))*K154</f>
        <v>21.8114436379308</v>
      </c>
      <c r="L155" s="41" t="n">
        <f aca="false">J155-K155</f>
        <v>0.580363667473932</v>
      </c>
      <c r="M155" s="41" t="n">
        <f aca="false">2/(p_MacdSig+1)*L155+(1-2/(p_MacdSig+1))*M154</f>
        <v>0.386823049442102</v>
      </c>
      <c r="N155" s="41" t="n">
        <f aca="false">L155-M155</f>
        <v>0.193540618031831</v>
      </c>
      <c r="O155" s="42" t="n">
        <f aca="false">IF(H155&gt;H154,1,0)</f>
        <v>1</v>
      </c>
      <c r="P155" s="42" t="n">
        <f aca="false">IF(H155&lt;H154,1,0)</f>
        <v>0</v>
      </c>
      <c r="Q155" s="42" t="n">
        <f aca="false">IF(N155&gt;N154,1,0)</f>
        <v>0</v>
      </c>
      <c r="R155" s="42" t="n">
        <f aca="false">IF(N155&lt;N154,1,0)</f>
        <v>1</v>
      </c>
      <c r="S155" s="42" t="n">
        <f aca="false">IF(AND(O155=1,Q155=1),1,IF(AND(P155=1,R155=1),-1,0))</f>
        <v>0</v>
      </c>
      <c r="T155" s="43" t="str">
        <f aca="false">IF(S155=1,"绿",IF(S155=-1,"红","蓝"))</f>
        <v>蓝</v>
      </c>
      <c r="U155" s="44" t="n">
        <f aca="false">F155*(E155-E154)</f>
        <v>-1574861.99999999</v>
      </c>
      <c r="V155" s="44" t="n">
        <f aca="false">2/(p_FiS+1)*U155+(1-2/(p_FiS+1))*V154</f>
        <v>-1157075.62983246</v>
      </c>
      <c r="W155" s="44" t="n">
        <f aca="false">2/(p_FiL+1)*U155+(1-2/(p_FiL+1))*W154</f>
        <v>524436.866301774</v>
      </c>
      <c r="X155" s="41" t="n">
        <f aca="false">MAX(C155-D155,ABS(C155-E154),ABS(D155-E154))</f>
        <v>0.350000000000001</v>
      </c>
      <c r="Y155" s="41" t="n">
        <f aca="true">AVERAGE(OFFSET(X155,1-MIN(p_AtrN,ROW()-4),0,MIN(p_AtrN,ROW()-4),1))</f>
        <v>0.606153846153847</v>
      </c>
      <c r="Z155" s="41" t="n">
        <f aca="false">IF(AND(C155-C154&gt;D154-D155,C155-C154&gt;0),C155-C154,0)</f>
        <v>0</v>
      </c>
      <c r="AA155" s="41" t="n">
        <f aca="false">IF(AND(D154-D155&gt;C155-C154,D154-D155&gt;0),D154-D155,0)</f>
        <v>0.199999999999999</v>
      </c>
      <c r="AB155" s="41" t="n">
        <f aca="false">2/(p_AdxN+1)*X155+(1-2/(p_AdxN+1))*AB154</f>
        <v>0.573678813917366</v>
      </c>
      <c r="AC155" s="41" t="n">
        <f aca="false">2/(p_AdxN+1)*Z155+(1-2/(p_AdxN+1))*AC154</f>
        <v>0.221188981976974</v>
      </c>
      <c r="AD155" s="41" t="n">
        <f aca="false">2/(p_AdxN+1)*AA155+(1-2/(p_AdxN+1))*AD154</f>
        <v>0.0425352308900374</v>
      </c>
      <c r="AE155" s="45" t="n">
        <f aca="false">100*AC155/AB155</f>
        <v>38.5562402882869</v>
      </c>
      <c r="AF155" s="45" t="n">
        <f aca="false">100*AD155/AB155</f>
        <v>7.41446779245437</v>
      </c>
      <c r="AG155" s="45" t="n">
        <f aca="false">IFERROR(100*ABS(AE155-AF155)/(AE155+AF155),0)</f>
        <v>67.7426426435204</v>
      </c>
      <c r="AH155" s="45" t="n">
        <f aca="false">2/(p_AdxN+1)*AG155+(1-2/(p_AdxN+1))*AH154</f>
        <v>66.3796855373617</v>
      </c>
      <c r="AI155" s="40" t="n">
        <f aca="false">I155*(1+p_ChPct)</f>
        <v>23.1201302562067</v>
      </c>
      <c r="AJ155" s="40" t="n">
        <f aca="false">I155*(1-p_ChPct)</f>
        <v>20.502757019655</v>
      </c>
      <c r="AK155" s="40" t="n">
        <f aca="false">I155+1*Y155</f>
        <v>22.4175974840847</v>
      </c>
      <c r="AL155" s="40" t="n">
        <f aca="false">I155+2*Y155</f>
        <v>23.0237513302385</v>
      </c>
      <c r="AM155" s="40" t="n">
        <f aca="false">I155+3*Y155</f>
        <v>23.6299051763924</v>
      </c>
      <c r="AN155" s="40" t="n">
        <f aca="false">I155-1*Y155</f>
        <v>21.205289791777</v>
      </c>
      <c r="AO155" s="40" t="n">
        <f aca="false">I155-2*Y155</f>
        <v>20.5991359456231</v>
      </c>
      <c r="AP155" s="40" t="n">
        <f aca="false">I155-3*Y155</f>
        <v>19.9929820994693</v>
      </c>
      <c r="AQ155" s="40" t="n">
        <f aca="true">MAX(OFFSET(C155,1-MIN(p_StochN,ROW()-4),0,MIN(p_StochN,ROW()-4),1))</f>
        <v>23.67</v>
      </c>
      <c r="AR155" s="40" t="n">
        <f aca="true">MIN(OFFSET(D155,1-MIN(p_StochN,ROW()-4),0,MIN(p_StochN,ROW()-4),1))</f>
        <v>21.7</v>
      </c>
      <c r="AS155" s="45" t="n">
        <f aca="false">IF(AQ155=AR155,50,100*(E155-AR155)/(AQ155-AR155))</f>
        <v>61.9289340101523</v>
      </c>
      <c r="AT155" s="45" t="n">
        <f aca="true">AVERAGE(OFFSET(AS155,1-MIN(p_StochSm,ROW()-4),0,MIN(p_StochSm,ROW()-4),1))</f>
        <v>78.869611334192</v>
      </c>
      <c r="AU155" s="45" t="n">
        <f aca="true">AVERAGE(OFFSET(AT155,1-MIN(p_StochSm,ROW()-4),0,MIN(p_StochSm,ROW()-4),1))</f>
        <v>84.224574832492</v>
      </c>
      <c r="AV155" s="41" t="n">
        <f aca="false">MAX(0,H155-D155)</f>
        <v>0</v>
      </c>
      <c r="AW155" s="41" t="n">
        <f aca="true">IF(COUNTIF(OFFSET(AV155,1-MIN(p_PenLb,ROW()-4),0,MIN(p_PenLb,ROW()-4),1),"&gt;0")&gt;0,SUM(OFFSET(AV155,1-MIN(p_PenLb,ROW()-4),0,MIN(p_PenLb,ROW()-4),1))/COUNTIF(OFFSET(AV155,1-MIN(p_PenLb,ROW()-4),0,MIN(p_PenLb,ROW()-4),1),"&gt;0"),0.5*Y155)</f>
        <v>0.291932008054654</v>
      </c>
      <c r="AX155" s="41" t="n">
        <f aca="false">2*H155-H154</f>
        <v>22.4272263602967</v>
      </c>
      <c r="AY155" s="40" t="n">
        <f aca="false">ROUND(MAX(AX155-AW155,0.01),2)</f>
        <v>22.14</v>
      </c>
      <c r="AZ155" s="40" t="n">
        <f aca="true">IF(MIN(p_StopLb,ROW()-4)&lt;2,D155,SMALL(OFFSET(D155,1-MIN(p_StopLb,ROW()-4),0,MIN(p_StopLb,ROW()-4),1),2))</f>
        <v>21.38</v>
      </c>
      <c r="BA155" s="40" t="n">
        <f aca="false">IF(MOD(ROUND(ROUNDDOWN(MIN(AZ155-0.01,AY155-p_StopAtr*Y155),2)*100,0),50)=0,ROUNDDOWN(MIN(AZ155-0.01,AY155-p_StopAtr*Y155),2)-0.01,ROUNDDOWN(MIN(AZ155-0.01,AY155-p_StopAtr*Y155),2))</f>
        <v>21.37</v>
      </c>
      <c r="BB155" s="40" t="n">
        <f aca="false">ROUND(AI155,2)</f>
        <v>23.12</v>
      </c>
      <c r="BC155" s="40" t="n">
        <f aca="false">IF(AY155-BA155&gt;0,(BB155-AY155)/(AY155-BA155),0)</f>
        <v>1.27272727272727</v>
      </c>
      <c r="BD155" s="42" t="n">
        <f aca="false">IF(N155&lt;0,1,0)</f>
        <v>0</v>
      </c>
      <c r="BE155" s="41" t="n">
        <f aca="false">IF(AND(BD155=1,BD154=0),N155,IF(BD155=1,MIN(BE154,N155),BE154))</f>
        <v>-0.0583119972977335</v>
      </c>
      <c r="BF155" s="40" t="n">
        <f aca="false">IF(AND(BD155=1,BD154=0),D155,IF(BD155=1,MIN(BF154,D155),BF154))</f>
        <v>19.27</v>
      </c>
      <c r="BG155" s="42" t="n">
        <f aca="false">IF(AND(BD155=1,BD154=0),ROW(),IF(BD155=1,IF(N155&lt;BE154,ROW(),BG154),BG154))</f>
        <v>124</v>
      </c>
      <c r="BH155" s="41" t="n">
        <f aca="false">IF(AND(BD155=1,BD154=0),BE154,BH154)</f>
        <v>-0.392824838841331</v>
      </c>
      <c r="BI155" s="40" t="n">
        <f aca="false">IF(AND(BD155=1,BD154=0),BF154,BI154)</f>
        <v>20.27</v>
      </c>
      <c r="BJ155" s="42" t="n">
        <f aca="false">IF(AND(BD155=1,BD154=0),BG154,BJ154)</f>
        <v>98</v>
      </c>
      <c r="BK155" s="42" t="n">
        <f aca="false">IF(AND(ISNUMBER(BG155),ISNUMBER(BJ155)),BG155-BJ155,"")</f>
        <v>26</v>
      </c>
      <c r="BL155" s="42" t="n">
        <f aca="false">IF(AND(BD155=1,N155&gt;N154,ISNUMBER(BH155),ISNUMBER(BK155)),IF(AND(BE155&gt;BH155,BF155&lt;BI155,BK155&gt;=p_GapMin,BK155&lt;=p_GapMax),1,0),0)</f>
        <v>0</v>
      </c>
      <c r="BM155" s="42" t="n">
        <f aca="false">IF(AND(BL155=1,E155&gt;BI155),1,0)</f>
        <v>0</v>
      </c>
      <c r="BN155" s="42" t="n">
        <f aca="false">IF(BL155=1,IF(BE155&gt;=BH155*0.5,1,0),0)</f>
        <v>0</v>
      </c>
      <c r="BO155" s="42" t="n">
        <f aca="true">IF(V155&gt;MIN(OFFSET(V155,-MIN(p_FiLb-1,ROW()-5),0,MIN(p_FiLb-1,ROW()-5),1)),1,0)</f>
        <v>0</v>
      </c>
      <c r="BP155" s="44" t="n">
        <f aca="true">IF(COUNTIF(OFFSET(V155,1-MIN(100,ROW()-4),0,MIN(100,ROW()-4),1),"&lt;0")&gt;=5,AVERAGEIF(OFFSET(V155,1-MIN(100,ROW()-4),0,MIN(100,ROW()-4),1),"&lt;0"),"")</f>
        <v>-992035.766207913</v>
      </c>
      <c r="BQ155" s="42" t="n">
        <f aca="false">IF(ISNUMBER(BP155),IF(AND(V155&lt;5*BP155,V155&gt;V154,E155&lt;AJ155),1,0),0)</f>
        <v>0</v>
      </c>
      <c r="BR155" s="44" t="n">
        <f aca="true">AVERAGE(OFFSET(F155,1-MIN(5,ROW()-4),0,MIN(5,ROW()-4),1))</f>
        <v>5112580</v>
      </c>
      <c r="BS155" s="42" t="n">
        <f aca="false">IFERROR(IF(MATCH(G155,周线!$A$5:$A$84,0)&lt;=1,"",INDEX(周线!$R$5:$R$84,MATCH(G155,周线!$A$5:$A$84,0)-1)),"")</f>
        <v>1</v>
      </c>
      <c r="BT155" s="42" t="n">
        <f aca="false">IFERROR(IF(MATCH(G155,周线!$A$5:$A$84,0)&lt;=1,"",INDEX(周线!$S$5:$S$84,MATCH(G155,周线!$A$5:$A$84,0)-1)),"")</f>
        <v>1</v>
      </c>
      <c r="BU155" s="42" t="n">
        <f aca="false">IFERROR(IF(MATCH(G155,周线!$A$5:$A$84,0)&lt;=1,"",INDEX(周线!$U$5:$U$84,MATCH(G155,周线!$A$5:$A$84,0)-1)),"")</f>
        <v>1</v>
      </c>
      <c r="BV155" s="42" t="n">
        <f aca="false">IF(AND(BS155=1,S155&lt;&gt;-1,V155&lt;0,BO155=1,E155&lt;=H155,E155&gt;=AJ155),1,0)</f>
        <v>0</v>
      </c>
      <c r="BW155" s="42" t="n">
        <f aca="false">BL155</f>
        <v>0</v>
      </c>
      <c r="BX155" s="42" t="n">
        <f aca="false">BQ155</f>
        <v>0</v>
      </c>
      <c r="BY155" s="42" t="n">
        <f aca="false">IF(BS155=1,10,0)+IF(BU155=1,5,IF(BU155=-1,0,3))+IF(BT155=1,5,0)+IF(AND(AE155&gt;AF155,AH155&gt;AH154),5,0)</f>
        <v>25</v>
      </c>
      <c r="BZ155" s="42" t="n">
        <f aca="false">IF(AND(E155&lt;=H155,E155&gt;=I155),10,IF(AND(E155&gt;=AJ155,E155&lt;I155),6,0))+IF(AND(V155&lt;0,BO155=1),8,0)+IF(AT155&lt;30,7,IF(AT155&lt;50,3,0))</f>
        <v>0</v>
      </c>
      <c r="CA155" s="42" t="n">
        <f aca="false">IF(AND(BV155=1,BW155=1),25,IF(BW155=1,22,IF(BV155=1,15,IF(BX155=1,12,0))))</f>
        <v>0</v>
      </c>
      <c r="CB155" s="42" t="n">
        <f aca="false">IF(W155&gt;0,6,0)+IF(F155&lt;BR155,4,0)</f>
        <v>10</v>
      </c>
      <c r="CC155" s="42" t="n">
        <f aca="false">IF(BC155&gt;=3,15,IF(BC155&gt;=p_RRmin,10,IF(BC155&gt;=1.5,4,0)))</f>
        <v>0</v>
      </c>
      <c r="CD155" s="42" t="n">
        <f aca="false">BY155+BZ155+CA155+CB155+CC155</f>
        <v>35</v>
      </c>
      <c r="CE155" s="42" t="n">
        <f aca="false">IF(AND(BS155&lt;&gt;1,BW155+BX155=0),1,0)</f>
        <v>0</v>
      </c>
      <c r="CF155" s="42" t="n">
        <f aca="false">IF(BU155=-1,1,0)</f>
        <v>0</v>
      </c>
      <c r="CG155" s="42" t="n">
        <f aca="false">IF(S155=-1,1,0)</f>
        <v>0</v>
      </c>
      <c r="CH155" s="42" t="n">
        <f aca="false">IF(BV155+BW155+BX155=0,1,0)</f>
        <v>1</v>
      </c>
      <c r="CI155" s="42" t="n">
        <f aca="false">IF(BC155&lt;p_RRmin,1,0)</f>
        <v>1</v>
      </c>
      <c r="CJ155" s="46" t="str">
        <f aca="false">IF(SUM(CE155:CI155)=0,IF(CD155&gt;=p_GradeA,"A",IF(CD155&gt;=p_GradeB,"B","C")),IF(AND(CI155=1,SUM(CE155:CH155)=0,CD155&gt;=p_GradeB),"B","C"))</f>
        <v>C</v>
      </c>
    </row>
    <row r="156" customFormat="false" ht="15" hidden="false" customHeight="false" outlineLevel="0" collapsed="false">
      <c r="A156" s="36" t="n">
        <v>45870</v>
      </c>
      <c r="B156" s="37" t="n">
        <v>22.85</v>
      </c>
      <c r="C156" s="37" t="n">
        <v>22.88</v>
      </c>
      <c r="D156" s="37" t="n">
        <v>22.74</v>
      </c>
      <c r="E156" s="37" t="n">
        <v>22.75</v>
      </c>
      <c r="F156" s="38" t="n">
        <v>4247000</v>
      </c>
      <c r="G156" s="39" t="n">
        <f aca="false">A156-WEEKDAY(A156,3)</f>
        <v>45866</v>
      </c>
      <c r="H156" s="40" t="n">
        <f aca="false">2/(p_EmaF+1)*E156+(1-2/(p_EmaF+1))*H155</f>
        <v>22.3888613991623</v>
      </c>
      <c r="I156" s="40" t="n">
        <f aca="false">2/(p_EmaS+1)*E156+(1-2/(p_EmaS+1))*I155</f>
        <v>21.8809663314174</v>
      </c>
      <c r="J156" s="41" t="n">
        <f aca="false">2/(p_MacdF+1)*E156+(1-2/(p_MacdF+1))*J155</f>
        <v>22.446913873804</v>
      </c>
      <c r="K156" s="41" t="n">
        <f aca="false">2/(p_MacdS+1)*E156+(1-2/(p_MacdS+1))*K155</f>
        <v>21.8809663314174</v>
      </c>
      <c r="L156" s="41" t="n">
        <f aca="false">J156-K156</f>
        <v>0.565947542386596</v>
      </c>
      <c r="M156" s="41" t="n">
        <f aca="false">2/(p_MacdSig+1)*L156+(1-2/(p_MacdSig+1))*M155</f>
        <v>0.422647948031001</v>
      </c>
      <c r="N156" s="41" t="n">
        <f aca="false">L156-M156</f>
        <v>0.143299594355595</v>
      </c>
      <c r="O156" s="42" t="n">
        <f aca="false">IF(H156&gt;H155,1,0)</f>
        <v>1</v>
      </c>
      <c r="P156" s="42" t="n">
        <f aca="false">IF(H156&lt;H155,1,0)</f>
        <v>0</v>
      </c>
      <c r="Q156" s="42" t="n">
        <f aca="false">IF(N156&gt;N155,1,0)</f>
        <v>0</v>
      </c>
      <c r="R156" s="42" t="n">
        <f aca="false">IF(N156&lt;N155,1,0)</f>
        <v>1</v>
      </c>
      <c r="S156" s="42" t="n">
        <f aca="false">IF(AND(O156=1,Q156=1),1,IF(AND(P156=1,R156=1),-1,0))</f>
        <v>0</v>
      </c>
      <c r="T156" s="43" t="str">
        <f aca="false">IF(S156=1,"绿",IF(S156=-1,"红","蓝"))</f>
        <v>蓝</v>
      </c>
      <c r="U156" s="44" t="n">
        <f aca="false">F156*(E156-E155)</f>
        <v>-721990.000000007</v>
      </c>
      <c r="V156" s="44" t="n">
        <f aca="false">2/(p_FiS+1)*U156+(1-2/(p_FiS+1))*V155</f>
        <v>-867018.543277493</v>
      </c>
      <c r="W156" s="44" t="n">
        <f aca="false">2/(p_FiL+1)*U156+(1-2/(p_FiL+1))*W155</f>
        <v>346375.885401519</v>
      </c>
      <c r="X156" s="41" t="n">
        <f aca="false">MAX(C156-D156,ABS(C156-E155),ABS(D156-E155))</f>
        <v>0.180000000000003</v>
      </c>
      <c r="Y156" s="41" t="n">
        <f aca="true">AVERAGE(OFFSET(X156,1-MIN(p_AtrN,ROW()-4),0,MIN(p_AtrN,ROW()-4),1))</f>
        <v>0.570000000000001</v>
      </c>
      <c r="Z156" s="41" t="n">
        <f aca="false">IF(AND(C156-C155&gt;D155-D156,C156-C155&gt;0),C156-C155,0)</f>
        <v>0</v>
      </c>
      <c r="AA156" s="41" t="n">
        <f aca="false">IF(AND(D155-D156&gt;C156-C155,D155-D156&gt;0),D155-D156,0)</f>
        <v>0.140000000000001</v>
      </c>
      <c r="AB156" s="41" t="n">
        <f aca="false">2/(p_AdxN+1)*X156+(1-2/(p_AdxN+1))*AB155</f>
        <v>0.517438983357743</v>
      </c>
      <c r="AC156" s="41" t="n">
        <f aca="false">2/(p_AdxN+1)*Z156+(1-2/(p_AdxN+1))*AC155</f>
        <v>0.189590555980263</v>
      </c>
      <c r="AD156" s="41" t="n">
        <f aca="false">2/(p_AdxN+1)*AA156+(1-2/(p_AdxN+1))*AD155</f>
        <v>0.0564587693343178</v>
      </c>
      <c r="AE156" s="45" t="n">
        <f aca="false">100*AC156/AB156</f>
        <v>36.6401763450408</v>
      </c>
      <c r="AF156" s="45" t="n">
        <f aca="false">100*AD156/AB156</f>
        <v>10.9111936189941</v>
      </c>
      <c r="AG156" s="45" t="n">
        <f aca="false">IFERROR(100*ABS(AE156-AF156)/(AE156+AF156),0)</f>
        <v>54.1077633420586</v>
      </c>
      <c r="AH156" s="45" t="n">
        <f aca="false">2/(p_AdxN+1)*AG156+(1-2/(p_AdxN+1))*AH155</f>
        <v>64.6265537951755</v>
      </c>
      <c r="AI156" s="40" t="n">
        <f aca="false">I156*(1+p_ChPct)</f>
        <v>23.1938243113025</v>
      </c>
      <c r="AJ156" s="40" t="n">
        <f aca="false">I156*(1-p_ChPct)</f>
        <v>20.5681083515324</v>
      </c>
      <c r="AK156" s="40" t="n">
        <f aca="false">I156+1*Y156</f>
        <v>22.4509663314174</v>
      </c>
      <c r="AL156" s="40" t="n">
        <f aca="false">I156+2*Y156</f>
        <v>23.0209663314174</v>
      </c>
      <c r="AM156" s="40" t="n">
        <f aca="false">I156+3*Y156</f>
        <v>23.5909663314174</v>
      </c>
      <c r="AN156" s="40" t="n">
        <f aca="false">I156-1*Y156</f>
        <v>21.3109663314174</v>
      </c>
      <c r="AO156" s="40" t="n">
        <f aca="false">I156-2*Y156</f>
        <v>20.7409663314174</v>
      </c>
      <c r="AP156" s="40" t="n">
        <f aca="false">I156-3*Y156</f>
        <v>20.1709663314174</v>
      </c>
      <c r="AQ156" s="40" t="n">
        <f aca="true">MAX(OFFSET(C156,1-MIN(p_StochN,ROW()-4),0,MIN(p_StochN,ROW()-4),1))</f>
        <v>23.67</v>
      </c>
      <c r="AR156" s="40" t="n">
        <f aca="true">MIN(OFFSET(D156,1-MIN(p_StochN,ROW()-4),0,MIN(p_StochN,ROW()-4),1))</f>
        <v>22.63</v>
      </c>
      <c r="AS156" s="45" t="n">
        <f aca="false">IF(AQ156=AR156,50,100*(E156-AR156)/(AQ156-AR156))</f>
        <v>11.5384615384616</v>
      </c>
      <c r="AT156" s="45" t="n">
        <f aca="true">AVERAGE(OFFSET(AS156,1-MIN(p_StochSm,ROW()-4),0,MIN(p_StochSm,ROW()-4),1))</f>
        <v>50.3774567226344</v>
      </c>
      <c r="AU156" s="45" t="n">
        <f aca="true">AVERAGE(OFFSET(AT156,1-MIN(p_StochSm,ROW()-4),0,MIN(p_StochSm,ROW()-4),1))</f>
        <v>72.0329789308435</v>
      </c>
      <c r="AV156" s="41" t="n">
        <f aca="false">MAX(0,H156-D156)</f>
        <v>0</v>
      </c>
      <c r="AW156" s="41" t="n">
        <f aca="true">IF(COUNTIF(OFFSET(AV156,1-MIN(p_PenLb,ROW()-4),0,MIN(p_PenLb,ROW()-4),1),"&gt;0")&gt;0,SUM(OFFSET(AV156,1-MIN(p_PenLb,ROW()-4),0,MIN(p_PenLb,ROW()-4),1))/COUNTIF(OFFSET(AV156,1-MIN(p_PenLb,ROW()-4),0,MIN(p_PenLb,ROW()-4),1),"&gt;0"),0.5*Y156)</f>
        <v>0.26245881497574</v>
      </c>
      <c r="AX156" s="41" t="n">
        <f aca="false">2*H156-H155</f>
        <v>22.4490511659686</v>
      </c>
      <c r="AY156" s="40" t="n">
        <f aca="false">ROUND(MAX(AX156-AW156,0.01),2)</f>
        <v>22.19</v>
      </c>
      <c r="AZ156" s="40" t="n">
        <f aca="true">IF(MIN(p_StopLb,ROW()-4)&lt;2,D156,SMALL(OFFSET(D156,1-MIN(p_StopLb,ROW()-4),0,MIN(p_StopLb,ROW()-4),1),2))</f>
        <v>21.38</v>
      </c>
      <c r="BA156" s="40" t="n">
        <f aca="false">IF(MOD(ROUND(ROUNDDOWN(MIN(AZ156-0.01,AY156-p_StopAtr*Y156),2)*100,0),50)=0,ROUNDDOWN(MIN(AZ156-0.01,AY156-p_StopAtr*Y156),2)-0.01,ROUNDDOWN(MIN(AZ156-0.01,AY156-p_StopAtr*Y156),2))</f>
        <v>21.37</v>
      </c>
      <c r="BB156" s="40" t="n">
        <f aca="false">ROUND(AI156,2)</f>
        <v>23.19</v>
      </c>
      <c r="BC156" s="40" t="n">
        <f aca="false">IF(AY156-BA156&gt;0,(BB156-AY156)/(AY156-BA156),0)</f>
        <v>1.21951219512195</v>
      </c>
      <c r="BD156" s="42" t="n">
        <f aca="false">IF(N156&lt;0,1,0)</f>
        <v>0</v>
      </c>
      <c r="BE156" s="41" t="n">
        <f aca="false">IF(AND(BD156=1,BD155=0),N156,IF(BD156=1,MIN(BE155,N156),BE155))</f>
        <v>-0.0583119972977335</v>
      </c>
      <c r="BF156" s="40" t="n">
        <f aca="false">IF(AND(BD156=1,BD155=0),D156,IF(BD156=1,MIN(BF155,D156),BF155))</f>
        <v>19.27</v>
      </c>
      <c r="BG156" s="42" t="n">
        <f aca="false">IF(AND(BD156=1,BD155=0),ROW(),IF(BD156=1,IF(N156&lt;BE155,ROW(),BG155),BG155))</f>
        <v>124</v>
      </c>
      <c r="BH156" s="41" t="n">
        <f aca="false">IF(AND(BD156=1,BD155=0),BE155,BH155)</f>
        <v>-0.392824838841331</v>
      </c>
      <c r="BI156" s="40" t="n">
        <f aca="false">IF(AND(BD156=1,BD155=0),BF155,BI155)</f>
        <v>20.27</v>
      </c>
      <c r="BJ156" s="42" t="n">
        <f aca="false">IF(AND(BD156=1,BD155=0),BG155,BJ155)</f>
        <v>98</v>
      </c>
      <c r="BK156" s="42" t="n">
        <f aca="false">IF(AND(ISNUMBER(BG156),ISNUMBER(BJ156)),BG156-BJ156,"")</f>
        <v>26</v>
      </c>
      <c r="BL156" s="42" t="n">
        <f aca="false">IF(AND(BD156=1,N156&gt;N155,ISNUMBER(BH156),ISNUMBER(BK156)),IF(AND(BE156&gt;BH156,BF156&lt;BI156,BK156&gt;=p_GapMin,BK156&lt;=p_GapMax),1,0),0)</f>
        <v>0</v>
      </c>
      <c r="BM156" s="42" t="n">
        <f aca="false">IF(AND(BL156=1,E156&gt;BI156),1,0)</f>
        <v>0</v>
      </c>
      <c r="BN156" s="42" t="n">
        <f aca="false">IF(BL156=1,IF(BE156&gt;=BH156*0.5,1,0),0)</f>
        <v>0</v>
      </c>
      <c r="BO156" s="42" t="n">
        <f aca="true">IF(V156&gt;MIN(OFFSET(V156,-MIN(p_FiLb-1,ROW()-5),0,MIN(p_FiLb-1,ROW()-5),1)),1,0)</f>
        <v>1</v>
      </c>
      <c r="BP156" s="44" t="n">
        <f aca="true">IF(COUNTIF(OFFSET(V156,1-MIN(100,ROW()-4),0,MIN(100,ROW()-4),1),"&lt;0")&gt;=5,AVERAGEIF(OFFSET(V156,1-MIN(100,ROW()-4),0,MIN(100,ROW()-4),1),"&lt;0"),"")</f>
        <v>-989584.448111238</v>
      </c>
      <c r="BQ156" s="42" t="n">
        <f aca="false">IF(ISNUMBER(BP156),IF(AND(V156&lt;5*BP156,V156&gt;V155,E156&lt;AJ156),1,0),0)</f>
        <v>0</v>
      </c>
      <c r="BR156" s="44" t="n">
        <f aca="true">AVERAGE(OFFSET(F156,1-MIN(5,ROW()-4),0,MIN(5,ROW()-4),1))</f>
        <v>4626820</v>
      </c>
      <c r="BS156" s="42" t="n">
        <f aca="false">IFERROR(IF(MATCH(G156,周线!$A$5:$A$84,0)&lt;=1,"",INDEX(周线!$R$5:$R$84,MATCH(G156,周线!$A$5:$A$84,0)-1)),"")</f>
        <v>1</v>
      </c>
      <c r="BT156" s="42" t="n">
        <f aca="false">IFERROR(IF(MATCH(G156,周线!$A$5:$A$84,0)&lt;=1,"",INDEX(周线!$S$5:$S$84,MATCH(G156,周线!$A$5:$A$84,0)-1)),"")</f>
        <v>1</v>
      </c>
      <c r="BU156" s="42" t="n">
        <f aca="false">IFERROR(IF(MATCH(G156,周线!$A$5:$A$84,0)&lt;=1,"",INDEX(周线!$U$5:$U$84,MATCH(G156,周线!$A$5:$A$84,0)-1)),"")</f>
        <v>1</v>
      </c>
      <c r="BV156" s="42" t="n">
        <f aca="false">IF(AND(BS156=1,S156&lt;&gt;-1,V156&lt;0,BO156=1,E156&lt;=H156,E156&gt;=AJ156),1,0)</f>
        <v>0</v>
      </c>
      <c r="BW156" s="42" t="n">
        <f aca="false">BL156</f>
        <v>0</v>
      </c>
      <c r="BX156" s="42" t="n">
        <f aca="false">BQ156</f>
        <v>0</v>
      </c>
      <c r="BY156" s="42" t="n">
        <f aca="false">IF(BS156=1,10,0)+IF(BU156=1,5,IF(BU156=-1,0,3))+IF(BT156=1,5,0)+IF(AND(AE156&gt;AF156,AH156&gt;AH155),5,0)</f>
        <v>20</v>
      </c>
      <c r="BZ156" s="42" t="n">
        <f aca="false">IF(AND(E156&lt;=H156,E156&gt;=I156),10,IF(AND(E156&gt;=AJ156,E156&lt;I156),6,0))+IF(AND(V156&lt;0,BO156=1),8,0)+IF(AT156&lt;30,7,IF(AT156&lt;50,3,0))</f>
        <v>8</v>
      </c>
      <c r="CA156" s="42" t="n">
        <f aca="false">IF(AND(BV156=1,BW156=1),25,IF(BW156=1,22,IF(BV156=1,15,IF(BX156=1,12,0))))</f>
        <v>0</v>
      </c>
      <c r="CB156" s="42" t="n">
        <f aca="false">IF(W156&gt;0,6,0)+IF(F156&lt;BR156,4,0)</f>
        <v>10</v>
      </c>
      <c r="CC156" s="42" t="n">
        <f aca="false">IF(BC156&gt;=3,15,IF(BC156&gt;=p_RRmin,10,IF(BC156&gt;=1.5,4,0)))</f>
        <v>0</v>
      </c>
      <c r="CD156" s="42" t="n">
        <f aca="false">BY156+BZ156+CA156+CB156+CC156</f>
        <v>38</v>
      </c>
      <c r="CE156" s="42" t="n">
        <f aca="false">IF(AND(BS156&lt;&gt;1,BW156+BX156=0),1,0)</f>
        <v>0</v>
      </c>
      <c r="CF156" s="42" t="n">
        <f aca="false">IF(BU156=-1,1,0)</f>
        <v>0</v>
      </c>
      <c r="CG156" s="42" t="n">
        <f aca="false">IF(S156=-1,1,0)</f>
        <v>0</v>
      </c>
      <c r="CH156" s="42" t="n">
        <f aca="false">IF(BV156+BW156+BX156=0,1,0)</f>
        <v>1</v>
      </c>
      <c r="CI156" s="42" t="n">
        <f aca="false">IF(BC156&lt;p_RRmin,1,0)</f>
        <v>1</v>
      </c>
      <c r="CJ156" s="46" t="str">
        <f aca="false">IF(SUM(CE156:CI156)=0,IF(CD156&gt;=p_GradeA,"A",IF(CD156&gt;=p_GradeB,"B","C")),IF(AND(CI156=1,SUM(CE156:CH156)=0,CD156&gt;=p_GradeB),"B","C"))</f>
        <v>C</v>
      </c>
    </row>
    <row r="157" customFormat="false" ht="15" hidden="false" customHeight="false" outlineLevel="0" collapsed="false">
      <c r="A157" s="36" t="n">
        <v>45873</v>
      </c>
      <c r="B157" s="37" t="n">
        <v>22.74</v>
      </c>
      <c r="C157" s="37" t="n">
        <v>23.12</v>
      </c>
      <c r="D157" s="37" t="n">
        <v>22.61</v>
      </c>
      <c r="E157" s="37" t="n">
        <v>22.95</v>
      </c>
      <c r="F157" s="38" t="n">
        <v>3208200</v>
      </c>
      <c r="G157" s="39" t="n">
        <f aca="false">A157-WEEKDAY(A157,3)</f>
        <v>45873</v>
      </c>
      <c r="H157" s="40" t="n">
        <f aca="false">2/(p_EmaF+1)*E157+(1-2/(p_EmaF+1))*H156</f>
        <v>22.4690240564248</v>
      </c>
      <c r="I157" s="40" t="n">
        <f aca="false">2/(p_EmaS+1)*E157+(1-2/(p_EmaS+1))*I156</f>
        <v>21.9601540105717</v>
      </c>
      <c r="J157" s="41" t="n">
        <f aca="false">2/(p_MacdF+1)*E157+(1-2/(p_MacdF+1))*J156</f>
        <v>22.5243117393726</v>
      </c>
      <c r="K157" s="41" t="n">
        <f aca="false">2/(p_MacdS+1)*E157+(1-2/(p_MacdS+1))*K156</f>
        <v>21.9601540105717</v>
      </c>
      <c r="L157" s="41" t="n">
        <f aca="false">J157-K157</f>
        <v>0.564157728800943</v>
      </c>
      <c r="M157" s="41" t="n">
        <f aca="false">2/(p_MacdSig+1)*L157+(1-2/(p_MacdSig+1))*M156</f>
        <v>0.450949904184989</v>
      </c>
      <c r="N157" s="41" t="n">
        <f aca="false">L157-M157</f>
        <v>0.113207824615954</v>
      </c>
      <c r="O157" s="42" t="n">
        <f aca="false">IF(H157&gt;H156,1,0)</f>
        <v>1</v>
      </c>
      <c r="P157" s="42" t="n">
        <f aca="false">IF(H157&lt;H156,1,0)</f>
        <v>0</v>
      </c>
      <c r="Q157" s="42" t="n">
        <f aca="false">IF(N157&gt;N156,1,0)</f>
        <v>0</v>
      </c>
      <c r="R157" s="42" t="n">
        <f aca="false">IF(N157&lt;N156,1,0)</f>
        <v>1</v>
      </c>
      <c r="S157" s="42" t="n">
        <f aca="false">IF(AND(O157=1,Q157=1),1,IF(AND(P157=1,R157=1),-1,0))</f>
        <v>0</v>
      </c>
      <c r="T157" s="43" t="str">
        <f aca="false">IF(S157=1,"绿",IF(S157=-1,"红","蓝"))</f>
        <v>蓝</v>
      </c>
      <c r="U157" s="44" t="n">
        <f aca="false">F157*(E157-E156)</f>
        <v>641639.999999998</v>
      </c>
      <c r="V157" s="44" t="n">
        <f aca="false">2/(p_FiS+1)*U157+(1-2/(p_FiS+1))*V156</f>
        <v>138753.818907501</v>
      </c>
      <c r="W157" s="44" t="n">
        <f aca="false">2/(p_FiL+1)*U157+(1-2/(p_FiL+1))*W156</f>
        <v>388556.473201302</v>
      </c>
      <c r="X157" s="41" t="n">
        <f aca="false">MAX(C157-D157,ABS(C157-E156),ABS(D157-E156))</f>
        <v>0.510000000000002</v>
      </c>
      <c r="Y157" s="41" t="n">
        <f aca="true">AVERAGE(OFFSET(X157,1-MIN(p_AtrN,ROW()-4),0,MIN(p_AtrN,ROW()-4),1))</f>
        <v>0.57846153846154</v>
      </c>
      <c r="Z157" s="41" t="n">
        <f aca="false">IF(AND(C157-C156&gt;D156-D157,C157-C156&gt;0),C157-C156,0)</f>
        <v>0.240000000000002</v>
      </c>
      <c r="AA157" s="41" t="n">
        <f aca="false">IF(AND(D156-D157&gt;C157-C156,D156-D157&gt;0),D156-D157,0)</f>
        <v>0</v>
      </c>
      <c r="AB157" s="41" t="n">
        <f aca="false">2/(p_AdxN+1)*X157+(1-2/(p_AdxN+1))*AB156</f>
        <v>0.516376271449494</v>
      </c>
      <c r="AC157" s="41" t="n">
        <f aca="false">2/(p_AdxN+1)*Z157+(1-2/(p_AdxN+1))*AC156</f>
        <v>0.19679190512594</v>
      </c>
      <c r="AD157" s="41" t="n">
        <f aca="false">2/(p_AdxN+1)*AA157+(1-2/(p_AdxN+1))*AD156</f>
        <v>0.0483932308579867</v>
      </c>
      <c r="AE157" s="45" t="n">
        <f aca="false">100*AC157/AB157</f>
        <v>38.1101758555899</v>
      </c>
      <c r="AF157" s="45" t="n">
        <f aca="false">100*AD157/AB157</f>
        <v>9.37169919178208</v>
      </c>
      <c r="AG157" s="45" t="n">
        <f aca="false">IFERROR(100*ABS(AE157-AF157)/(AE157+AF157),0)</f>
        <v>60.5251511974534</v>
      </c>
      <c r="AH157" s="45" t="n">
        <f aca="false">2/(p_AdxN+1)*AG157+(1-2/(p_AdxN+1))*AH156</f>
        <v>64.0406391383581</v>
      </c>
      <c r="AI157" s="40" t="n">
        <f aca="false">I157*(1+p_ChPct)</f>
        <v>23.277763251206</v>
      </c>
      <c r="AJ157" s="40" t="n">
        <f aca="false">I157*(1-p_ChPct)</f>
        <v>20.6425447699374</v>
      </c>
      <c r="AK157" s="40" t="n">
        <f aca="false">I157+1*Y157</f>
        <v>22.5386155490332</v>
      </c>
      <c r="AL157" s="40" t="n">
        <f aca="false">I157+2*Y157</f>
        <v>23.1170770874948</v>
      </c>
      <c r="AM157" s="40" t="n">
        <f aca="false">I157+3*Y157</f>
        <v>23.6955386259563</v>
      </c>
      <c r="AN157" s="40" t="n">
        <f aca="false">I157-1*Y157</f>
        <v>21.3816924721102</v>
      </c>
      <c r="AO157" s="40" t="n">
        <f aca="false">I157-2*Y157</f>
        <v>20.8032309336486</v>
      </c>
      <c r="AP157" s="40" t="n">
        <f aca="false">I157-3*Y157</f>
        <v>20.2247693951871</v>
      </c>
      <c r="AQ157" s="40" t="n">
        <f aca="true">MAX(OFFSET(C157,1-MIN(p_StochN,ROW()-4),0,MIN(p_StochN,ROW()-4),1))</f>
        <v>23.67</v>
      </c>
      <c r="AR157" s="40" t="n">
        <f aca="true">MIN(OFFSET(D157,1-MIN(p_StochN,ROW()-4),0,MIN(p_StochN,ROW()-4),1))</f>
        <v>22.61</v>
      </c>
      <c r="AS157" s="45" t="n">
        <f aca="false">IF(AQ157=AR157,50,100*(E157-AR157)/(AQ157-AR157))</f>
        <v>32.0754716981131</v>
      </c>
      <c r="AT157" s="45" t="n">
        <f aca="true">AVERAGE(OFFSET(AS157,1-MIN(p_StochSm,ROW()-4),0,MIN(p_StochSm,ROW()-4),1))</f>
        <v>35.180955748909</v>
      </c>
      <c r="AU157" s="45" t="n">
        <f aca="true">AVERAGE(OFFSET(AT157,1-MIN(p_StochSm,ROW()-4),0,MIN(p_StochSm,ROW()-4),1))</f>
        <v>54.8093412685785</v>
      </c>
      <c r="AV157" s="41" t="n">
        <f aca="false">MAX(0,H157-D157)</f>
        <v>0</v>
      </c>
      <c r="AW157" s="41" t="n">
        <f aca="true">IF(COUNTIF(OFFSET(AV157,1-MIN(p_PenLb,ROW()-4),0,MIN(p_PenLb,ROW()-4),1),"&gt;0")&gt;0,SUM(OFFSET(AV157,1-MIN(p_PenLb,ROW()-4),0,MIN(p_PenLb,ROW()-4),1))/COUNTIF(OFFSET(AV157,1-MIN(p_PenLb,ROW()-4),0,MIN(p_PenLb,ROW()-4),1),"&gt;0"),0.5*Y157)</f>
        <v>0.239398943099031</v>
      </c>
      <c r="AX157" s="41" t="n">
        <f aca="false">2*H157-H156</f>
        <v>22.5491867136873</v>
      </c>
      <c r="AY157" s="40" t="n">
        <f aca="false">ROUND(MAX(AX157-AW157,0.01),2)</f>
        <v>22.31</v>
      </c>
      <c r="AZ157" s="40" t="n">
        <f aca="true">IF(MIN(p_StopLb,ROW()-4)&lt;2,D157,SMALL(OFFSET(D157,1-MIN(p_StopLb,ROW()-4),0,MIN(p_StopLb,ROW()-4),1),2))</f>
        <v>21.66</v>
      </c>
      <c r="BA157" s="40" t="n">
        <f aca="false">IF(MOD(ROUND(ROUNDDOWN(MIN(AZ157-0.01,AY157-p_StopAtr*Y157),2)*100,0),50)=0,ROUNDDOWN(MIN(AZ157-0.01,AY157-p_StopAtr*Y157),2)-0.01,ROUNDDOWN(MIN(AZ157-0.01,AY157-p_StopAtr*Y157),2))</f>
        <v>21.65</v>
      </c>
      <c r="BB157" s="40" t="n">
        <f aca="false">ROUND(AI157,2)</f>
        <v>23.28</v>
      </c>
      <c r="BC157" s="40" t="n">
        <f aca="false">IF(AY157-BA157&gt;0,(BB157-AY157)/(AY157-BA157),0)</f>
        <v>1.46969696969697</v>
      </c>
      <c r="BD157" s="42" t="n">
        <f aca="false">IF(N157&lt;0,1,0)</f>
        <v>0</v>
      </c>
      <c r="BE157" s="41" t="n">
        <f aca="false">IF(AND(BD157=1,BD156=0),N157,IF(BD157=1,MIN(BE156,N157),BE156))</f>
        <v>-0.0583119972977335</v>
      </c>
      <c r="BF157" s="40" t="n">
        <f aca="false">IF(AND(BD157=1,BD156=0),D157,IF(BD157=1,MIN(BF156,D157),BF156))</f>
        <v>19.27</v>
      </c>
      <c r="BG157" s="42" t="n">
        <f aca="false">IF(AND(BD157=1,BD156=0),ROW(),IF(BD157=1,IF(N157&lt;BE156,ROW(),BG156),BG156))</f>
        <v>124</v>
      </c>
      <c r="BH157" s="41" t="n">
        <f aca="false">IF(AND(BD157=1,BD156=0),BE156,BH156)</f>
        <v>-0.392824838841331</v>
      </c>
      <c r="BI157" s="40" t="n">
        <f aca="false">IF(AND(BD157=1,BD156=0),BF156,BI156)</f>
        <v>20.27</v>
      </c>
      <c r="BJ157" s="42" t="n">
        <f aca="false">IF(AND(BD157=1,BD156=0),BG156,BJ156)</f>
        <v>98</v>
      </c>
      <c r="BK157" s="42" t="n">
        <f aca="false">IF(AND(ISNUMBER(BG157),ISNUMBER(BJ157)),BG157-BJ157,"")</f>
        <v>26</v>
      </c>
      <c r="BL157" s="42" t="n">
        <f aca="false">IF(AND(BD157=1,N157&gt;N156,ISNUMBER(BH157),ISNUMBER(BK157)),IF(AND(BE157&gt;BH157,BF157&lt;BI157,BK157&gt;=p_GapMin,BK157&lt;=p_GapMax),1,0),0)</f>
        <v>0</v>
      </c>
      <c r="BM157" s="42" t="n">
        <f aca="false">IF(AND(BL157=1,E157&gt;BI157),1,0)</f>
        <v>0</v>
      </c>
      <c r="BN157" s="42" t="n">
        <f aca="false">IF(BL157=1,IF(BE157&gt;=BH157*0.5,1,0),0)</f>
        <v>0</v>
      </c>
      <c r="BO157" s="42" t="n">
        <f aca="true">IF(V157&gt;MIN(OFFSET(V157,-MIN(p_FiLb-1,ROW()-5),0,MIN(p_FiLb-1,ROW()-5),1)),1,0)</f>
        <v>1</v>
      </c>
      <c r="BP157" s="44" t="n">
        <f aca="true">IF(COUNTIF(OFFSET(V157,1-MIN(100,ROW()-4),0,MIN(100,ROW()-4),1),"&lt;0")&gt;=5,AVERAGEIF(OFFSET(V157,1-MIN(100,ROW()-4),0,MIN(100,ROW()-4),1),"&lt;0"),"")</f>
        <v>-989584.448111238</v>
      </c>
      <c r="BQ157" s="42" t="n">
        <f aca="false">IF(ISNUMBER(BP157),IF(AND(V157&lt;5*BP157,V157&gt;V156,E157&lt;AJ157),1,0),0)</f>
        <v>0</v>
      </c>
      <c r="BR157" s="44" t="n">
        <f aca="true">AVERAGE(OFFSET(F157,1-MIN(5,ROW()-4),0,MIN(5,ROW()-4),1))</f>
        <v>4376820</v>
      </c>
      <c r="BS157" s="42" t="n">
        <f aca="false">IFERROR(IF(MATCH(G157,周线!$A$5:$A$84,0)&lt;=1,"",INDEX(周线!$R$5:$R$84,MATCH(G157,周线!$A$5:$A$84,0)-1)),"")</f>
        <v>1</v>
      </c>
      <c r="BT157" s="42" t="n">
        <f aca="false">IFERROR(IF(MATCH(G157,周线!$A$5:$A$84,0)&lt;=1,"",INDEX(周线!$S$5:$S$84,MATCH(G157,周线!$A$5:$A$84,0)-1)),"")</f>
        <v>1</v>
      </c>
      <c r="BU157" s="42" t="n">
        <f aca="false">IFERROR(IF(MATCH(G157,周线!$A$5:$A$84,0)&lt;=1,"",INDEX(周线!$U$5:$U$84,MATCH(G157,周线!$A$5:$A$84,0)-1)),"")</f>
        <v>1</v>
      </c>
      <c r="BV157" s="42" t="n">
        <f aca="false">IF(AND(BS157=1,S157&lt;&gt;-1,V157&lt;0,BO157=1,E157&lt;=H157,E157&gt;=AJ157),1,0)</f>
        <v>0</v>
      </c>
      <c r="BW157" s="42" t="n">
        <f aca="false">BL157</f>
        <v>0</v>
      </c>
      <c r="BX157" s="42" t="n">
        <f aca="false">BQ157</f>
        <v>0</v>
      </c>
      <c r="BY157" s="42" t="n">
        <f aca="false">IF(BS157=1,10,0)+IF(BU157=1,5,IF(BU157=-1,0,3))+IF(BT157=1,5,0)+IF(AND(AE157&gt;AF157,AH157&gt;AH156),5,0)</f>
        <v>20</v>
      </c>
      <c r="BZ157" s="42" t="n">
        <f aca="false">IF(AND(E157&lt;=H157,E157&gt;=I157),10,IF(AND(E157&gt;=AJ157,E157&lt;I157),6,0))+IF(AND(V157&lt;0,BO157=1),8,0)+IF(AT157&lt;30,7,IF(AT157&lt;50,3,0))</f>
        <v>3</v>
      </c>
      <c r="CA157" s="42" t="n">
        <f aca="false">IF(AND(BV157=1,BW157=1),25,IF(BW157=1,22,IF(BV157=1,15,IF(BX157=1,12,0))))</f>
        <v>0</v>
      </c>
      <c r="CB157" s="42" t="n">
        <f aca="false">IF(W157&gt;0,6,0)+IF(F157&lt;BR157,4,0)</f>
        <v>10</v>
      </c>
      <c r="CC157" s="42" t="n">
        <f aca="false">IF(BC157&gt;=3,15,IF(BC157&gt;=p_RRmin,10,IF(BC157&gt;=1.5,4,0)))</f>
        <v>0</v>
      </c>
      <c r="CD157" s="42" t="n">
        <f aca="false">BY157+BZ157+CA157+CB157+CC157</f>
        <v>33</v>
      </c>
      <c r="CE157" s="42" t="n">
        <f aca="false">IF(AND(BS157&lt;&gt;1,BW157+BX157=0),1,0)</f>
        <v>0</v>
      </c>
      <c r="CF157" s="42" t="n">
        <f aca="false">IF(BU157=-1,1,0)</f>
        <v>0</v>
      </c>
      <c r="CG157" s="42" t="n">
        <f aca="false">IF(S157=-1,1,0)</f>
        <v>0</v>
      </c>
      <c r="CH157" s="42" t="n">
        <f aca="false">IF(BV157+BW157+BX157=0,1,0)</f>
        <v>1</v>
      </c>
      <c r="CI157" s="42" t="n">
        <f aca="false">IF(BC157&lt;p_RRmin,1,0)</f>
        <v>1</v>
      </c>
      <c r="CJ157" s="46" t="str">
        <f aca="false">IF(SUM(CE157:CI157)=0,IF(CD157&gt;=p_GradeA,"A",IF(CD157&gt;=p_GradeB,"B","C")),IF(AND(CI157=1,SUM(CE157:CH157)=0,CD157&gt;=p_GradeB),"B","C"))</f>
        <v>C</v>
      </c>
    </row>
    <row r="158" customFormat="false" ht="15" hidden="false" customHeight="false" outlineLevel="0" collapsed="false">
      <c r="A158" s="36" t="n">
        <v>45874</v>
      </c>
      <c r="B158" s="37" t="n">
        <v>22.95</v>
      </c>
      <c r="C158" s="37" t="n">
        <v>23.04</v>
      </c>
      <c r="D158" s="37" t="n">
        <v>22.72</v>
      </c>
      <c r="E158" s="37" t="n">
        <v>22.9</v>
      </c>
      <c r="F158" s="38" t="n">
        <v>2746300</v>
      </c>
      <c r="G158" s="39" t="n">
        <f aca="false">A158-WEEKDAY(A158,3)</f>
        <v>45873</v>
      </c>
      <c r="H158" s="40" t="n">
        <f aca="false">2/(p_EmaF+1)*E158+(1-2/(p_EmaF+1))*H157</f>
        <v>22.5305920483641</v>
      </c>
      <c r="I158" s="40" t="n">
        <f aca="false">2/(p_EmaS+1)*E158+(1-2/(p_EmaS+1))*I157</f>
        <v>22.0297722320108</v>
      </c>
      <c r="J158" s="41" t="n">
        <f aca="false">2/(p_MacdF+1)*E158+(1-2/(p_MacdF+1))*J157</f>
        <v>22.5821099333153</v>
      </c>
      <c r="K158" s="41" t="n">
        <f aca="false">2/(p_MacdS+1)*E158+(1-2/(p_MacdS+1))*K157</f>
        <v>22.0297722320108</v>
      </c>
      <c r="L158" s="41" t="n">
        <f aca="false">J158-K158</f>
        <v>0.552337701304481</v>
      </c>
      <c r="M158" s="41" t="n">
        <f aca="false">2/(p_MacdSig+1)*L158+(1-2/(p_MacdSig+1))*M157</f>
        <v>0.471227463608887</v>
      </c>
      <c r="N158" s="41" t="n">
        <f aca="false">L158-M158</f>
        <v>0.0811102376955933</v>
      </c>
      <c r="O158" s="42" t="n">
        <f aca="false">IF(H158&gt;H157,1,0)</f>
        <v>1</v>
      </c>
      <c r="P158" s="42" t="n">
        <f aca="false">IF(H158&lt;H157,1,0)</f>
        <v>0</v>
      </c>
      <c r="Q158" s="42" t="n">
        <f aca="false">IF(N158&gt;N157,1,0)</f>
        <v>0</v>
      </c>
      <c r="R158" s="42" t="n">
        <f aca="false">IF(N158&lt;N157,1,0)</f>
        <v>1</v>
      </c>
      <c r="S158" s="42" t="n">
        <f aca="false">IF(AND(O158=1,Q158=1),1,IF(AND(P158=1,R158=1),-1,0))</f>
        <v>0</v>
      </c>
      <c r="T158" s="43" t="str">
        <f aca="false">IF(S158=1,"绿",IF(S158=-1,"红","蓝"))</f>
        <v>蓝</v>
      </c>
      <c r="U158" s="44" t="n">
        <f aca="false">F158*(E158-E157)</f>
        <v>-137315.000000002</v>
      </c>
      <c r="V158" s="44" t="n">
        <f aca="false">2/(p_FiS+1)*U158+(1-2/(p_FiS+1))*V157</f>
        <v>-45292.0603641677</v>
      </c>
      <c r="W158" s="44" t="n">
        <f aca="false">2/(p_FiL+1)*U158+(1-2/(p_FiL+1))*W157</f>
        <v>313431.977029687</v>
      </c>
      <c r="X158" s="41" t="n">
        <f aca="false">MAX(C158-D158,ABS(C158-E157),ABS(D158-E157))</f>
        <v>0.32</v>
      </c>
      <c r="Y158" s="41" t="n">
        <f aca="true">AVERAGE(OFFSET(X158,1-MIN(p_AtrN,ROW()-4),0,MIN(p_AtrN,ROW()-4),1))</f>
        <v>0.550000000000001</v>
      </c>
      <c r="Z158" s="41" t="n">
        <f aca="false">IF(AND(C158-C157&gt;D157-D158,C158-C157&gt;0),C158-C157,0)</f>
        <v>0</v>
      </c>
      <c r="AA158" s="41" t="n">
        <f aca="false">IF(AND(D157-D158&gt;C158-C157,D157-D158&gt;0),D157-D158,0)</f>
        <v>0</v>
      </c>
      <c r="AB158" s="41" t="n">
        <f aca="false">2/(p_AdxN+1)*X158+(1-2/(p_AdxN+1))*AB157</f>
        <v>0.488322518385281</v>
      </c>
      <c r="AC158" s="41" t="n">
        <f aca="false">2/(p_AdxN+1)*Z158+(1-2/(p_AdxN+1))*AC157</f>
        <v>0.168678775822235</v>
      </c>
      <c r="AD158" s="41" t="n">
        <f aca="false">2/(p_AdxN+1)*AA158+(1-2/(p_AdxN+1))*AD157</f>
        <v>0.0414799121639886</v>
      </c>
      <c r="AE158" s="45" t="n">
        <f aca="false">100*AC158/AB158</f>
        <v>34.5424938378838</v>
      </c>
      <c r="AF158" s="45" t="n">
        <f aca="false">100*AD158/AB158</f>
        <v>8.49436808712996</v>
      </c>
      <c r="AG158" s="45" t="n">
        <f aca="false">IFERROR(100*ABS(AE158-AF158)/(AE158+AF158),0)</f>
        <v>60.5251511974534</v>
      </c>
      <c r="AH158" s="45" t="n">
        <f aca="false">2/(p_AdxN+1)*AG158+(1-2/(p_AdxN+1))*AH157</f>
        <v>63.5384265753717</v>
      </c>
      <c r="AI158" s="40" t="n">
        <f aca="false">I158*(1+p_ChPct)</f>
        <v>23.3515585659315</v>
      </c>
      <c r="AJ158" s="40" t="n">
        <f aca="false">I158*(1-p_ChPct)</f>
        <v>20.7079858980902</v>
      </c>
      <c r="AK158" s="40" t="n">
        <f aca="false">I158+1*Y158</f>
        <v>22.5797722320108</v>
      </c>
      <c r="AL158" s="40" t="n">
        <f aca="false">I158+2*Y158</f>
        <v>23.1297722320108</v>
      </c>
      <c r="AM158" s="40" t="n">
        <f aca="false">I158+3*Y158</f>
        <v>23.6797722320108</v>
      </c>
      <c r="AN158" s="40" t="n">
        <f aca="false">I158-1*Y158</f>
        <v>21.4797722320108</v>
      </c>
      <c r="AO158" s="40" t="n">
        <f aca="false">I158-2*Y158</f>
        <v>20.9297722320108</v>
      </c>
      <c r="AP158" s="40" t="n">
        <f aca="false">I158-3*Y158</f>
        <v>20.3797722320108</v>
      </c>
      <c r="AQ158" s="40" t="n">
        <f aca="true">MAX(OFFSET(C158,1-MIN(p_StochN,ROW()-4),0,MIN(p_StochN,ROW()-4),1))</f>
        <v>23.64</v>
      </c>
      <c r="AR158" s="40" t="n">
        <f aca="true">MIN(OFFSET(D158,1-MIN(p_StochN,ROW()-4),0,MIN(p_StochN,ROW()-4),1))</f>
        <v>22.61</v>
      </c>
      <c r="AS158" s="45" t="n">
        <f aca="false">IF(AQ158=AR158,50,100*(E158-AR158)/(AQ158-AR158))</f>
        <v>28.1553398058251</v>
      </c>
      <c r="AT158" s="45" t="n">
        <f aca="true">AVERAGE(OFFSET(AS158,1-MIN(p_StochSm,ROW()-4),0,MIN(p_StochSm,ROW()-4),1))</f>
        <v>23.9230910141333</v>
      </c>
      <c r="AU158" s="45" t="n">
        <f aca="true">AVERAGE(OFFSET(AT158,1-MIN(p_StochSm,ROW()-4),0,MIN(p_StochSm,ROW()-4),1))</f>
        <v>36.4938344952256</v>
      </c>
      <c r="AV158" s="41" t="n">
        <f aca="false">MAX(0,H158-D158)</f>
        <v>0</v>
      </c>
      <c r="AW158" s="41" t="n">
        <f aca="true">IF(COUNTIF(OFFSET(AV158,1-MIN(p_PenLb,ROW()-4),0,MIN(p_PenLb,ROW()-4),1),"&gt;0")&gt;0,SUM(OFFSET(AV158,1-MIN(p_PenLb,ROW()-4),0,MIN(p_PenLb,ROW()-4),1))/COUNTIF(OFFSET(AV158,1-MIN(p_PenLb,ROW()-4),0,MIN(p_PenLb,ROW()-4),1),"&gt;0"),0.5*Y158)</f>
        <v>0.19878834721504</v>
      </c>
      <c r="AX158" s="41" t="n">
        <f aca="false">2*H158-H157</f>
        <v>22.5921600403034</v>
      </c>
      <c r="AY158" s="40" t="n">
        <f aca="false">ROUND(MAX(AX158-AW158,0.01),2)</f>
        <v>22.39</v>
      </c>
      <c r="AZ158" s="40" t="n">
        <f aca="true">IF(MIN(p_StopLb,ROW()-4)&lt;2,D158,SMALL(OFFSET(D158,1-MIN(p_StopLb,ROW()-4),0,MIN(p_StopLb,ROW()-4),1),2))</f>
        <v>21.7</v>
      </c>
      <c r="BA158" s="40" t="n">
        <f aca="false">IF(MOD(ROUND(ROUNDDOWN(MIN(AZ158-0.01,AY158-p_StopAtr*Y158),2)*100,0),50)=0,ROUNDDOWN(MIN(AZ158-0.01,AY158-p_StopAtr*Y158),2)-0.01,ROUNDDOWN(MIN(AZ158-0.01,AY158-p_StopAtr*Y158),2))</f>
        <v>21.69</v>
      </c>
      <c r="BB158" s="40" t="n">
        <f aca="false">ROUND(AI158,2)</f>
        <v>23.35</v>
      </c>
      <c r="BC158" s="40" t="n">
        <f aca="false">IF(AY158-BA158&gt;0,(BB158-AY158)/(AY158-BA158),0)</f>
        <v>1.37142857142857</v>
      </c>
      <c r="BD158" s="42" t="n">
        <f aca="false">IF(N158&lt;0,1,0)</f>
        <v>0</v>
      </c>
      <c r="BE158" s="41" t="n">
        <f aca="false">IF(AND(BD158=1,BD157=0),N158,IF(BD158=1,MIN(BE157,N158),BE157))</f>
        <v>-0.0583119972977335</v>
      </c>
      <c r="BF158" s="40" t="n">
        <f aca="false">IF(AND(BD158=1,BD157=0),D158,IF(BD158=1,MIN(BF157,D158),BF157))</f>
        <v>19.27</v>
      </c>
      <c r="BG158" s="42" t="n">
        <f aca="false">IF(AND(BD158=1,BD157=0),ROW(),IF(BD158=1,IF(N158&lt;BE157,ROW(),BG157),BG157))</f>
        <v>124</v>
      </c>
      <c r="BH158" s="41" t="n">
        <f aca="false">IF(AND(BD158=1,BD157=0),BE157,BH157)</f>
        <v>-0.392824838841331</v>
      </c>
      <c r="BI158" s="40" t="n">
        <f aca="false">IF(AND(BD158=1,BD157=0),BF157,BI157)</f>
        <v>20.27</v>
      </c>
      <c r="BJ158" s="42" t="n">
        <f aca="false">IF(AND(BD158=1,BD157=0),BG157,BJ157)</f>
        <v>98</v>
      </c>
      <c r="BK158" s="42" t="n">
        <f aca="false">IF(AND(ISNUMBER(BG158),ISNUMBER(BJ158)),BG158-BJ158,"")</f>
        <v>26</v>
      </c>
      <c r="BL158" s="42" t="n">
        <f aca="false">IF(AND(BD158=1,N158&gt;N157,ISNUMBER(BH158),ISNUMBER(BK158)),IF(AND(BE158&gt;BH158,BF158&lt;BI158,BK158&gt;=p_GapMin,BK158&lt;=p_GapMax),1,0),0)</f>
        <v>0</v>
      </c>
      <c r="BM158" s="42" t="n">
        <f aca="false">IF(AND(BL158=1,E158&gt;BI158),1,0)</f>
        <v>0</v>
      </c>
      <c r="BN158" s="42" t="n">
        <f aca="false">IF(BL158=1,IF(BE158&gt;=BH158*0.5,1,0),0)</f>
        <v>0</v>
      </c>
      <c r="BO158" s="42" t="n">
        <f aca="true">IF(V158&gt;MIN(OFFSET(V158,-MIN(p_FiLb-1,ROW()-5),0,MIN(p_FiLb-1,ROW()-5),1)),1,0)</f>
        <v>1</v>
      </c>
      <c r="BP158" s="44" t="n">
        <f aca="true">IF(COUNTIF(OFFSET(V158,1-MIN(100,ROW()-4),0,MIN(100,ROW()-4),1),"&lt;0")&gt;=5,AVERAGEIF(OFFSET(V158,1-MIN(100,ROW()-4),0,MIN(100,ROW()-4),1),"&lt;0"),"")</f>
        <v>-971424.979116102</v>
      </c>
      <c r="BQ158" s="42" t="n">
        <f aca="false">IF(ISNUMBER(BP158),IF(AND(V158&lt;5*BP158,V158&gt;V157,E158&lt;AJ158),1,0),0)</f>
        <v>0</v>
      </c>
      <c r="BR158" s="44" t="n">
        <f aca="true">AVERAGE(OFFSET(F158,1-MIN(5,ROW()-4),0,MIN(5,ROW()-4),1))</f>
        <v>4017740</v>
      </c>
      <c r="BS158" s="42" t="n">
        <f aca="false">IFERROR(IF(MATCH(G158,周线!$A$5:$A$84,0)&lt;=1,"",INDEX(周线!$R$5:$R$84,MATCH(G158,周线!$A$5:$A$84,0)-1)),"")</f>
        <v>1</v>
      </c>
      <c r="BT158" s="42" t="n">
        <f aca="false">IFERROR(IF(MATCH(G158,周线!$A$5:$A$84,0)&lt;=1,"",INDEX(周线!$S$5:$S$84,MATCH(G158,周线!$A$5:$A$84,0)-1)),"")</f>
        <v>1</v>
      </c>
      <c r="BU158" s="42" t="n">
        <f aca="false">IFERROR(IF(MATCH(G158,周线!$A$5:$A$84,0)&lt;=1,"",INDEX(周线!$U$5:$U$84,MATCH(G158,周线!$A$5:$A$84,0)-1)),"")</f>
        <v>1</v>
      </c>
      <c r="BV158" s="42" t="n">
        <f aca="false">IF(AND(BS158=1,S158&lt;&gt;-1,V158&lt;0,BO158=1,E158&lt;=H158,E158&gt;=AJ158),1,0)</f>
        <v>0</v>
      </c>
      <c r="BW158" s="42" t="n">
        <f aca="false">BL158</f>
        <v>0</v>
      </c>
      <c r="BX158" s="42" t="n">
        <f aca="false">BQ158</f>
        <v>0</v>
      </c>
      <c r="BY158" s="42" t="n">
        <f aca="false">IF(BS158=1,10,0)+IF(BU158=1,5,IF(BU158=-1,0,3))+IF(BT158=1,5,0)+IF(AND(AE158&gt;AF158,AH158&gt;AH157),5,0)</f>
        <v>20</v>
      </c>
      <c r="BZ158" s="42" t="n">
        <f aca="false">IF(AND(E158&lt;=H158,E158&gt;=I158),10,IF(AND(E158&gt;=AJ158,E158&lt;I158),6,0))+IF(AND(V158&lt;0,BO158=1),8,0)+IF(AT158&lt;30,7,IF(AT158&lt;50,3,0))</f>
        <v>15</v>
      </c>
      <c r="CA158" s="42" t="n">
        <f aca="false">IF(AND(BV158=1,BW158=1),25,IF(BW158=1,22,IF(BV158=1,15,IF(BX158=1,12,0))))</f>
        <v>0</v>
      </c>
      <c r="CB158" s="42" t="n">
        <f aca="false">IF(W158&gt;0,6,0)+IF(F158&lt;BR158,4,0)</f>
        <v>10</v>
      </c>
      <c r="CC158" s="42" t="n">
        <f aca="false">IF(BC158&gt;=3,15,IF(BC158&gt;=p_RRmin,10,IF(BC158&gt;=1.5,4,0)))</f>
        <v>0</v>
      </c>
      <c r="CD158" s="42" t="n">
        <f aca="false">BY158+BZ158+CA158+CB158+CC158</f>
        <v>45</v>
      </c>
      <c r="CE158" s="42" t="n">
        <f aca="false">IF(AND(BS158&lt;&gt;1,BW158+BX158=0),1,0)</f>
        <v>0</v>
      </c>
      <c r="CF158" s="42" t="n">
        <f aca="false">IF(BU158=-1,1,0)</f>
        <v>0</v>
      </c>
      <c r="CG158" s="42" t="n">
        <f aca="false">IF(S158=-1,1,0)</f>
        <v>0</v>
      </c>
      <c r="CH158" s="42" t="n">
        <f aca="false">IF(BV158+BW158+BX158=0,1,0)</f>
        <v>1</v>
      </c>
      <c r="CI158" s="42" t="n">
        <f aca="false">IF(BC158&lt;p_RRmin,1,0)</f>
        <v>1</v>
      </c>
      <c r="CJ158" s="46" t="str">
        <f aca="false">IF(SUM(CE158:CI158)=0,IF(CD158&gt;=p_GradeA,"A",IF(CD158&gt;=p_GradeB,"B","C")),IF(AND(CI158=1,SUM(CE158:CH158)=0,CD158&gt;=p_GradeB),"B","C"))</f>
        <v>C</v>
      </c>
    </row>
    <row r="159" customFormat="false" ht="15" hidden="false" customHeight="false" outlineLevel="0" collapsed="false">
      <c r="A159" s="36" t="n">
        <v>45875</v>
      </c>
      <c r="B159" s="37" t="n">
        <v>22.9</v>
      </c>
      <c r="C159" s="37" t="n">
        <v>22.98</v>
      </c>
      <c r="D159" s="37" t="n">
        <v>22.76</v>
      </c>
      <c r="E159" s="37" t="n">
        <v>22.86</v>
      </c>
      <c r="F159" s="38" t="n">
        <v>2919600</v>
      </c>
      <c r="G159" s="39" t="n">
        <f aca="false">A159-WEEKDAY(A159,3)</f>
        <v>45873</v>
      </c>
      <c r="H159" s="40" t="n">
        <f aca="false">2/(p_EmaF+1)*E159+(1-2/(p_EmaF+1))*H158</f>
        <v>22.5776503271692</v>
      </c>
      <c r="I159" s="40" t="n">
        <f aca="false">2/(p_EmaS+1)*E159+(1-2/(p_EmaS+1))*I158</f>
        <v>22.0912705851952</v>
      </c>
      <c r="J159" s="41" t="n">
        <f aca="false">2/(p_MacdF+1)*E159+(1-2/(p_MacdF+1))*J158</f>
        <v>22.6248622512668</v>
      </c>
      <c r="K159" s="41" t="n">
        <f aca="false">2/(p_MacdS+1)*E159+(1-2/(p_MacdS+1))*K158</f>
        <v>22.0912705851952</v>
      </c>
      <c r="L159" s="41" t="n">
        <f aca="false">J159-K159</f>
        <v>0.53359166607159</v>
      </c>
      <c r="M159" s="41" t="n">
        <f aca="false">2/(p_MacdSig+1)*L159+(1-2/(p_MacdSig+1))*M158</f>
        <v>0.483700304101428</v>
      </c>
      <c r="N159" s="41" t="n">
        <f aca="false">L159-M159</f>
        <v>0.0498913619701622</v>
      </c>
      <c r="O159" s="42" t="n">
        <f aca="false">IF(H159&gt;H158,1,0)</f>
        <v>1</v>
      </c>
      <c r="P159" s="42" t="n">
        <f aca="false">IF(H159&lt;H158,1,0)</f>
        <v>0</v>
      </c>
      <c r="Q159" s="42" t="n">
        <f aca="false">IF(N159&gt;N158,1,0)</f>
        <v>0</v>
      </c>
      <c r="R159" s="42" t="n">
        <f aca="false">IF(N159&lt;N158,1,0)</f>
        <v>1</v>
      </c>
      <c r="S159" s="42" t="n">
        <f aca="false">IF(AND(O159=1,Q159=1),1,IF(AND(P159=1,R159=1),-1,0))</f>
        <v>0</v>
      </c>
      <c r="T159" s="43" t="str">
        <f aca="false">IF(S159=1,"绿",IF(S159=-1,"红","蓝"))</f>
        <v>蓝</v>
      </c>
      <c r="U159" s="44" t="n">
        <f aca="false">F159*(E159-E158)</f>
        <v>-116783.999999998</v>
      </c>
      <c r="V159" s="44" t="n">
        <f aca="false">2/(p_FiS+1)*U159+(1-2/(p_FiS+1))*V158</f>
        <v>-92953.3534547209</v>
      </c>
      <c r="W159" s="44" t="n">
        <f aca="false">2/(p_FiL+1)*U159+(1-2/(p_FiL+1))*W158</f>
        <v>251972.551739732</v>
      </c>
      <c r="X159" s="41" t="n">
        <f aca="false">MAX(C159-D159,ABS(C159-E158),ABS(D159-E158))</f>
        <v>0.219999999999999</v>
      </c>
      <c r="Y159" s="41" t="n">
        <f aca="true">AVERAGE(OFFSET(X159,1-MIN(p_AtrN,ROW()-4),0,MIN(p_AtrN,ROW()-4),1))</f>
        <v>0.500000000000001</v>
      </c>
      <c r="Z159" s="41" t="n">
        <f aca="false">IF(AND(C159-C158&gt;D158-D159,C159-C158&gt;0),C159-C158,0)</f>
        <v>0</v>
      </c>
      <c r="AA159" s="41" t="n">
        <f aca="false">IF(AND(D158-D159&gt;C159-C158,D158-D159&gt;0),D158-D159,0)</f>
        <v>0</v>
      </c>
      <c r="AB159" s="41" t="n">
        <f aca="false">2/(p_AdxN+1)*X159+(1-2/(p_AdxN+1))*AB158</f>
        <v>0.449990730044526</v>
      </c>
      <c r="AC159" s="41" t="n">
        <f aca="false">2/(p_AdxN+1)*Z159+(1-2/(p_AdxN+1))*AC158</f>
        <v>0.14458180784763</v>
      </c>
      <c r="AD159" s="41" t="n">
        <f aca="false">2/(p_AdxN+1)*AA159+(1-2/(p_AdxN+1))*AD158</f>
        <v>0.035554210426276</v>
      </c>
      <c r="AE159" s="45" t="n">
        <f aca="false">100*AC159/AB159</f>
        <v>32.1299525066491</v>
      </c>
      <c r="AF159" s="45" t="n">
        <f aca="false">100*AD159/AB159</f>
        <v>7.90109841212904</v>
      </c>
      <c r="AG159" s="45" t="n">
        <f aca="false">IFERROR(100*ABS(AE159-AF159)/(AE159+AF159),0)</f>
        <v>60.5251511974534</v>
      </c>
      <c r="AH159" s="45" t="n">
        <f aca="false">2/(p_AdxN+1)*AG159+(1-2/(p_AdxN+1))*AH158</f>
        <v>63.1079586642405</v>
      </c>
      <c r="AI159" s="40" t="n">
        <f aca="false">I159*(1+p_ChPct)</f>
        <v>23.4167468203069</v>
      </c>
      <c r="AJ159" s="40" t="n">
        <f aca="false">I159*(1-p_ChPct)</f>
        <v>20.7657943500835</v>
      </c>
      <c r="AK159" s="40" t="n">
        <f aca="false">I159+1*Y159</f>
        <v>22.5912705851952</v>
      </c>
      <c r="AL159" s="40" t="n">
        <f aca="false">I159+2*Y159</f>
        <v>23.0912705851952</v>
      </c>
      <c r="AM159" s="40" t="n">
        <f aca="false">I159+3*Y159</f>
        <v>23.5912705851952</v>
      </c>
      <c r="AN159" s="40" t="n">
        <f aca="false">I159-1*Y159</f>
        <v>21.5912705851952</v>
      </c>
      <c r="AO159" s="40" t="n">
        <f aca="false">I159-2*Y159</f>
        <v>21.0912705851952</v>
      </c>
      <c r="AP159" s="40" t="n">
        <f aca="false">I159-3*Y159</f>
        <v>20.5912705851952</v>
      </c>
      <c r="AQ159" s="40" t="n">
        <f aca="true">MAX(OFFSET(C159,1-MIN(p_StochN,ROW()-4),0,MIN(p_StochN,ROW()-4),1))</f>
        <v>23.23</v>
      </c>
      <c r="AR159" s="40" t="n">
        <f aca="true">MIN(OFFSET(D159,1-MIN(p_StochN,ROW()-4),0,MIN(p_StochN,ROW()-4),1))</f>
        <v>22.61</v>
      </c>
      <c r="AS159" s="45" t="n">
        <f aca="false">IF(AQ159=AR159,50,100*(E159-AR159)/(AQ159-AR159))</f>
        <v>40.3225806451612</v>
      </c>
      <c r="AT159" s="45" t="n">
        <f aca="true">AVERAGE(OFFSET(AS159,1-MIN(p_StochSm,ROW()-4),0,MIN(p_StochSm,ROW()-4),1))</f>
        <v>33.5177973830332</v>
      </c>
      <c r="AU159" s="45" t="n">
        <f aca="true">AVERAGE(OFFSET(AT159,1-MIN(p_StochSm,ROW()-4),0,MIN(p_StochSm,ROW()-4),1))</f>
        <v>30.8739480486918</v>
      </c>
      <c r="AV159" s="41" t="n">
        <f aca="false">MAX(0,H159-D159)</f>
        <v>0</v>
      </c>
      <c r="AW159" s="41" t="n">
        <f aca="true">IF(COUNTIF(OFFSET(AV159,1-MIN(p_PenLb,ROW()-4),0,MIN(p_PenLb,ROW()-4),1),"&gt;0")&gt;0,SUM(OFFSET(AV159,1-MIN(p_PenLb,ROW()-4),0,MIN(p_PenLb,ROW()-4),1))/COUNTIF(OFFSET(AV159,1-MIN(p_PenLb,ROW()-4),0,MIN(p_PenLb,ROW()-4),1),"&gt;0"),0.5*Y159)</f>
        <v>0.155437656796255</v>
      </c>
      <c r="AX159" s="41" t="n">
        <f aca="false">2*H159-H158</f>
        <v>22.6247086059744</v>
      </c>
      <c r="AY159" s="40" t="n">
        <f aca="false">ROUND(MAX(AX159-AW159,0.01),2)</f>
        <v>22.47</v>
      </c>
      <c r="AZ159" s="40" t="n">
        <f aca="true">IF(MIN(p_StopLb,ROW()-4)&lt;2,D159,SMALL(OFFSET(D159,1-MIN(p_StopLb,ROW()-4),0,MIN(p_StopLb,ROW()-4),1),2))</f>
        <v>21.93</v>
      </c>
      <c r="BA159" s="40" t="n">
        <f aca="false">IF(MOD(ROUND(ROUNDDOWN(MIN(AZ159-0.01,AY159-p_StopAtr*Y159),2)*100,0),50)=0,ROUNDDOWN(MIN(AZ159-0.01,AY159-p_StopAtr*Y159),2)-0.01,ROUNDDOWN(MIN(AZ159-0.01,AY159-p_StopAtr*Y159),2))</f>
        <v>21.92</v>
      </c>
      <c r="BB159" s="40" t="n">
        <f aca="false">ROUND(AI159,2)</f>
        <v>23.42</v>
      </c>
      <c r="BC159" s="40" t="n">
        <f aca="false">IF(AY159-BA159&gt;0,(BB159-AY159)/(AY159-BA159),0)</f>
        <v>1.72727272727274</v>
      </c>
      <c r="BD159" s="42" t="n">
        <f aca="false">IF(N159&lt;0,1,0)</f>
        <v>0</v>
      </c>
      <c r="BE159" s="41" t="n">
        <f aca="false">IF(AND(BD159=1,BD158=0),N159,IF(BD159=1,MIN(BE158,N159),BE158))</f>
        <v>-0.0583119972977335</v>
      </c>
      <c r="BF159" s="40" t="n">
        <f aca="false">IF(AND(BD159=1,BD158=0),D159,IF(BD159=1,MIN(BF158,D159),BF158))</f>
        <v>19.27</v>
      </c>
      <c r="BG159" s="42" t="n">
        <f aca="false">IF(AND(BD159=1,BD158=0),ROW(),IF(BD159=1,IF(N159&lt;BE158,ROW(),BG158),BG158))</f>
        <v>124</v>
      </c>
      <c r="BH159" s="41" t="n">
        <f aca="false">IF(AND(BD159=1,BD158=0),BE158,BH158)</f>
        <v>-0.392824838841331</v>
      </c>
      <c r="BI159" s="40" t="n">
        <f aca="false">IF(AND(BD159=1,BD158=0),BF158,BI158)</f>
        <v>20.27</v>
      </c>
      <c r="BJ159" s="42" t="n">
        <f aca="false">IF(AND(BD159=1,BD158=0),BG158,BJ158)</f>
        <v>98</v>
      </c>
      <c r="BK159" s="42" t="n">
        <f aca="false">IF(AND(ISNUMBER(BG159),ISNUMBER(BJ159)),BG159-BJ159,"")</f>
        <v>26</v>
      </c>
      <c r="BL159" s="42" t="n">
        <f aca="false">IF(AND(BD159=1,N159&gt;N158,ISNUMBER(BH159),ISNUMBER(BK159)),IF(AND(BE159&gt;BH159,BF159&lt;BI159,BK159&gt;=p_GapMin,BK159&lt;=p_GapMax),1,0),0)</f>
        <v>0</v>
      </c>
      <c r="BM159" s="42" t="n">
        <f aca="false">IF(AND(BL159=1,E159&gt;BI159),1,0)</f>
        <v>0</v>
      </c>
      <c r="BN159" s="42" t="n">
        <f aca="false">IF(BL159=1,IF(BE159&gt;=BH159*0.5,1,0),0)</f>
        <v>0</v>
      </c>
      <c r="BO159" s="42" t="n">
        <f aca="true">IF(V159&gt;MIN(OFFSET(V159,-MIN(p_FiLb-1,ROW()-5),0,MIN(p_FiLb-1,ROW()-5),1)),1,0)</f>
        <v>1</v>
      </c>
      <c r="BP159" s="44" t="n">
        <f aca="true">IF(COUNTIF(OFFSET(V159,1-MIN(100,ROW()-4),0,MIN(100,ROW()-4),1),"&lt;0")&gt;=5,AVERAGEIF(OFFSET(V159,1-MIN(100,ROW()-4),0,MIN(100,ROW()-4),1),"&lt;0"),"")</f>
        <v>-954850.042782868</v>
      </c>
      <c r="BQ159" s="42" t="n">
        <f aca="false">IF(ISNUMBER(BP159),IF(AND(V159&lt;5*BP159,V159&gt;V158,E159&lt;AJ159),1,0),0)</f>
        <v>0</v>
      </c>
      <c r="BR159" s="44" t="n">
        <f aca="true">AVERAGE(OFFSET(F159,1-MIN(5,ROW()-4),0,MIN(5,ROW()-4),1))</f>
        <v>3640260</v>
      </c>
      <c r="BS159" s="42" t="n">
        <f aca="false">IFERROR(IF(MATCH(G159,周线!$A$5:$A$84,0)&lt;=1,"",INDEX(周线!$R$5:$R$84,MATCH(G159,周线!$A$5:$A$84,0)-1)),"")</f>
        <v>1</v>
      </c>
      <c r="BT159" s="42" t="n">
        <f aca="false">IFERROR(IF(MATCH(G159,周线!$A$5:$A$84,0)&lt;=1,"",INDEX(周线!$S$5:$S$84,MATCH(G159,周线!$A$5:$A$84,0)-1)),"")</f>
        <v>1</v>
      </c>
      <c r="BU159" s="42" t="n">
        <f aca="false">IFERROR(IF(MATCH(G159,周线!$A$5:$A$84,0)&lt;=1,"",INDEX(周线!$U$5:$U$84,MATCH(G159,周线!$A$5:$A$84,0)-1)),"")</f>
        <v>1</v>
      </c>
      <c r="BV159" s="42" t="n">
        <f aca="false">IF(AND(BS159=1,S159&lt;&gt;-1,V159&lt;0,BO159=1,E159&lt;=H159,E159&gt;=AJ159),1,0)</f>
        <v>0</v>
      </c>
      <c r="BW159" s="42" t="n">
        <f aca="false">BL159</f>
        <v>0</v>
      </c>
      <c r="BX159" s="42" t="n">
        <f aca="false">BQ159</f>
        <v>0</v>
      </c>
      <c r="BY159" s="42" t="n">
        <f aca="false">IF(BS159=1,10,0)+IF(BU159=1,5,IF(BU159=-1,0,3))+IF(BT159=1,5,0)+IF(AND(AE159&gt;AF159,AH159&gt;AH158),5,0)</f>
        <v>20</v>
      </c>
      <c r="BZ159" s="42" t="n">
        <f aca="false">IF(AND(E159&lt;=H159,E159&gt;=I159),10,IF(AND(E159&gt;=AJ159,E159&lt;I159),6,0))+IF(AND(V159&lt;0,BO159=1),8,0)+IF(AT159&lt;30,7,IF(AT159&lt;50,3,0))</f>
        <v>11</v>
      </c>
      <c r="CA159" s="42" t="n">
        <f aca="false">IF(AND(BV159=1,BW159=1),25,IF(BW159=1,22,IF(BV159=1,15,IF(BX159=1,12,0))))</f>
        <v>0</v>
      </c>
      <c r="CB159" s="42" t="n">
        <f aca="false">IF(W159&gt;0,6,0)+IF(F159&lt;BR159,4,0)</f>
        <v>10</v>
      </c>
      <c r="CC159" s="42" t="n">
        <f aca="false">IF(BC159&gt;=3,15,IF(BC159&gt;=p_RRmin,10,IF(BC159&gt;=1.5,4,0)))</f>
        <v>4</v>
      </c>
      <c r="CD159" s="42" t="n">
        <f aca="false">BY159+BZ159+CA159+CB159+CC159</f>
        <v>45</v>
      </c>
      <c r="CE159" s="42" t="n">
        <f aca="false">IF(AND(BS159&lt;&gt;1,BW159+BX159=0),1,0)</f>
        <v>0</v>
      </c>
      <c r="CF159" s="42" t="n">
        <f aca="false">IF(BU159=-1,1,0)</f>
        <v>0</v>
      </c>
      <c r="CG159" s="42" t="n">
        <f aca="false">IF(S159=-1,1,0)</f>
        <v>0</v>
      </c>
      <c r="CH159" s="42" t="n">
        <f aca="false">IF(BV159+BW159+BX159=0,1,0)</f>
        <v>1</v>
      </c>
      <c r="CI159" s="42" t="n">
        <f aca="false">IF(BC159&lt;p_RRmin,1,0)</f>
        <v>1</v>
      </c>
      <c r="CJ159" s="46" t="str">
        <f aca="false">IF(SUM(CE159:CI159)=0,IF(CD159&gt;=p_GradeA,"A",IF(CD159&gt;=p_GradeB,"B","C")),IF(AND(CI159=1,SUM(CE159:CH159)=0,CD159&gt;=p_GradeB),"B","C"))</f>
        <v>C</v>
      </c>
    </row>
    <row r="160" customFormat="false" ht="15" hidden="false" customHeight="false" outlineLevel="0" collapsed="false">
      <c r="A160" s="36" t="n">
        <v>45876</v>
      </c>
      <c r="B160" s="37" t="n">
        <v>22.89</v>
      </c>
      <c r="C160" s="37" t="n">
        <v>23.26</v>
      </c>
      <c r="D160" s="37" t="n">
        <v>22.78</v>
      </c>
      <c r="E160" s="37" t="n">
        <v>23.03</v>
      </c>
      <c r="F160" s="38" t="n">
        <v>3957200</v>
      </c>
      <c r="G160" s="39" t="n">
        <f aca="false">A160-WEEKDAY(A160,3)</f>
        <v>45873</v>
      </c>
      <c r="H160" s="40" t="n">
        <f aca="false">2/(p_EmaF+1)*E160+(1-2/(p_EmaF+1))*H159</f>
        <v>22.6422717090022</v>
      </c>
      <c r="I160" s="40" t="n">
        <f aca="false">2/(p_EmaS+1)*E160+(1-2/(p_EmaS+1))*I159</f>
        <v>22.160806097403</v>
      </c>
      <c r="J160" s="41" t="n">
        <f aca="false">2/(p_MacdF+1)*E160+(1-2/(p_MacdF+1))*J159</f>
        <v>22.6871911356873</v>
      </c>
      <c r="K160" s="41" t="n">
        <f aca="false">2/(p_MacdS+1)*E160+(1-2/(p_MacdS+1))*K159</f>
        <v>22.160806097403</v>
      </c>
      <c r="L160" s="41" t="n">
        <f aca="false">J160-K160</f>
        <v>0.526385038284321</v>
      </c>
      <c r="M160" s="41" t="n">
        <f aca="false">2/(p_MacdSig+1)*L160+(1-2/(p_MacdSig+1))*M159</f>
        <v>0.492237250938007</v>
      </c>
      <c r="N160" s="41" t="n">
        <f aca="false">L160-M160</f>
        <v>0.0341477873463142</v>
      </c>
      <c r="O160" s="42" t="n">
        <f aca="false">IF(H160&gt;H159,1,0)</f>
        <v>1</v>
      </c>
      <c r="P160" s="42" t="n">
        <f aca="false">IF(H160&lt;H159,1,0)</f>
        <v>0</v>
      </c>
      <c r="Q160" s="42" t="n">
        <f aca="false">IF(N160&gt;N159,1,0)</f>
        <v>0</v>
      </c>
      <c r="R160" s="42" t="n">
        <f aca="false">IF(N160&lt;N159,1,0)</f>
        <v>1</v>
      </c>
      <c r="S160" s="42" t="n">
        <f aca="false">IF(AND(O160=1,Q160=1),1,IF(AND(P160=1,R160=1),-1,0))</f>
        <v>0</v>
      </c>
      <c r="T160" s="43" t="str">
        <f aca="false">IF(S160=1,"绿",IF(S160=-1,"红","蓝"))</f>
        <v>蓝</v>
      </c>
      <c r="U160" s="44" t="n">
        <f aca="false">F160*(E160-E159)</f>
        <v>672724.000000007</v>
      </c>
      <c r="V160" s="44" t="n">
        <f aca="false">2/(p_FiS+1)*U160+(1-2/(p_FiS+1))*V159</f>
        <v>417498.215515098</v>
      </c>
      <c r="W160" s="44" t="n">
        <f aca="false">2/(p_FiL+1)*U160+(1-2/(p_FiL+1))*W159</f>
        <v>312079.9014912</v>
      </c>
      <c r="X160" s="41" t="n">
        <f aca="false">MAX(C160-D160,ABS(C160-E159),ABS(D160-E159))</f>
        <v>0.48</v>
      </c>
      <c r="Y160" s="41" t="n">
        <f aca="true">AVERAGE(OFFSET(X160,1-MIN(p_AtrN,ROW()-4),0,MIN(p_AtrN,ROW()-4),1))</f>
        <v>0.506153846153847</v>
      </c>
      <c r="Z160" s="41" t="n">
        <f aca="false">IF(AND(C160-C159&gt;D159-D160,C160-C159&gt;0),C160-C159,0)</f>
        <v>0.280000000000001</v>
      </c>
      <c r="AA160" s="41" t="n">
        <f aca="false">IF(AND(D159-D160&gt;C160-C159,D159-D160&gt;0),D159-D160,0)</f>
        <v>0</v>
      </c>
      <c r="AB160" s="41" t="n">
        <f aca="false">2/(p_AdxN+1)*X160+(1-2/(p_AdxN+1))*AB159</f>
        <v>0.454277768609594</v>
      </c>
      <c r="AC160" s="41" t="n">
        <f aca="false">2/(p_AdxN+1)*Z160+(1-2/(p_AdxN+1))*AC159</f>
        <v>0.163927263869397</v>
      </c>
      <c r="AD160" s="41" t="n">
        <f aca="false">2/(p_AdxN+1)*AA160+(1-2/(p_AdxN+1))*AD159</f>
        <v>0.0304750375082365</v>
      </c>
      <c r="AE160" s="45" t="n">
        <f aca="false">100*AC160/AB160</f>
        <v>36.0852489812848</v>
      </c>
      <c r="AF160" s="45" t="n">
        <f aca="false">100*AD160/AB160</f>
        <v>6.70845892404362</v>
      </c>
      <c r="AG160" s="45" t="n">
        <f aca="false">IFERROR(100*ABS(AE160-AF160)/(AE160+AF160),0)</f>
        <v>68.6474519156667</v>
      </c>
      <c r="AH160" s="45" t="n">
        <f aca="false">2/(p_AdxN+1)*AG160+(1-2/(p_AdxN+1))*AH159</f>
        <v>63.8993148430157</v>
      </c>
      <c r="AI160" s="40" t="n">
        <f aca="false">I160*(1+p_ChPct)</f>
        <v>23.4904544632472</v>
      </c>
      <c r="AJ160" s="40" t="n">
        <f aca="false">I160*(1-p_ChPct)</f>
        <v>20.8311577315588</v>
      </c>
      <c r="AK160" s="40" t="n">
        <f aca="false">I160+1*Y160</f>
        <v>22.6669599435568</v>
      </c>
      <c r="AL160" s="40" t="n">
        <f aca="false">I160+2*Y160</f>
        <v>23.1731137897107</v>
      </c>
      <c r="AM160" s="40" t="n">
        <f aca="false">I160+3*Y160</f>
        <v>23.6792676358645</v>
      </c>
      <c r="AN160" s="40" t="n">
        <f aca="false">I160-1*Y160</f>
        <v>21.6546522512491</v>
      </c>
      <c r="AO160" s="40" t="n">
        <f aca="false">I160-2*Y160</f>
        <v>21.1484984050953</v>
      </c>
      <c r="AP160" s="40" t="n">
        <f aca="false">I160-3*Y160</f>
        <v>20.6423445589414</v>
      </c>
      <c r="AQ160" s="40" t="n">
        <f aca="true">MAX(OFFSET(C160,1-MIN(p_StochN,ROW()-4),0,MIN(p_StochN,ROW()-4),1))</f>
        <v>23.26</v>
      </c>
      <c r="AR160" s="40" t="n">
        <f aca="true">MIN(OFFSET(D160,1-MIN(p_StochN,ROW()-4),0,MIN(p_StochN,ROW()-4),1))</f>
        <v>22.61</v>
      </c>
      <c r="AS160" s="45" t="n">
        <f aca="false">IF(AQ160=AR160,50,100*(E160-AR160)/(AQ160-AR160))</f>
        <v>64.6153846153847</v>
      </c>
      <c r="AT160" s="45" t="n">
        <f aca="true">AVERAGE(OFFSET(AS160,1-MIN(p_StochSm,ROW()-4),0,MIN(p_StochSm,ROW()-4),1))</f>
        <v>44.3644350221237</v>
      </c>
      <c r="AU160" s="45" t="n">
        <f aca="true">AVERAGE(OFFSET(AT160,1-MIN(p_StochSm,ROW()-4),0,MIN(p_StochSm,ROW()-4),1))</f>
        <v>33.93510780643</v>
      </c>
      <c r="AV160" s="41" t="n">
        <f aca="false">MAX(0,H160-D160)</f>
        <v>0</v>
      </c>
      <c r="AW160" s="41" t="n">
        <f aca="true">IF(COUNTIF(OFFSET(AV160,1-MIN(p_PenLb,ROW()-4),0,MIN(p_PenLb,ROW()-4),1),"&gt;0")&gt;0,SUM(OFFSET(AV160,1-MIN(p_PenLb,ROW()-4),0,MIN(p_PenLb,ROW()-4),1))/COUNTIF(OFFSET(AV160,1-MIN(p_PenLb,ROW()-4),0,MIN(p_PenLb,ROW()-4),1),"&gt;0"),0.5*Y160)</f>
        <v>0.12078538338422</v>
      </c>
      <c r="AX160" s="41" t="n">
        <f aca="false">2*H160-H159</f>
        <v>22.7068930908352</v>
      </c>
      <c r="AY160" s="40" t="n">
        <f aca="false">ROUND(MAX(AX160-AW160,0.01),2)</f>
        <v>22.59</v>
      </c>
      <c r="AZ160" s="40" t="n">
        <f aca="true">IF(MIN(p_StopLb,ROW()-4)&lt;2,D160,SMALL(OFFSET(D160,1-MIN(p_StopLb,ROW()-4),0,MIN(p_StopLb,ROW()-4),1),2))</f>
        <v>22.61</v>
      </c>
      <c r="BA160" s="40" t="n">
        <f aca="false">IF(MOD(ROUND(ROUNDDOWN(MIN(AZ160-0.01,AY160-p_StopAtr*Y160),2)*100,0),50)=0,ROUNDDOWN(MIN(AZ160-0.01,AY160-p_StopAtr*Y160),2)-0.01,ROUNDDOWN(MIN(AZ160-0.01,AY160-p_StopAtr*Y160),2))</f>
        <v>22.08</v>
      </c>
      <c r="BB160" s="40" t="n">
        <f aca="false">ROUND(AI160,2)</f>
        <v>23.49</v>
      </c>
      <c r="BC160" s="40" t="n">
        <f aca="false">IF(AY160-BA160&gt;0,(BB160-AY160)/(AY160-BA160),0)</f>
        <v>1.76470588235293</v>
      </c>
      <c r="BD160" s="42" t="n">
        <f aca="false">IF(N160&lt;0,1,0)</f>
        <v>0</v>
      </c>
      <c r="BE160" s="41" t="n">
        <f aca="false">IF(AND(BD160=1,BD159=0),N160,IF(BD160=1,MIN(BE159,N160),BE159))</f>
        <v>-0.0583119972977335</v>
      </c>
      <c r="BF160" s="40" t="n">
        <f aca="false">IF(AND(BD160=1,BD159=0),D160,IF(BD160=1,MIN(BF159,D160),BF159))</f>
        <v>19.27</v>
      </c>
      <c r="BG160" s="42" t="n">
        <f aca="false">IF(AND(BD160=1,BD159=0),ROW(),IF(BD160=1,IF(N160&lt;BE159,ROW(),BG159),BG159))</f>
        <v>124</v>
      </c>
      <c r="BH160" s="41" t="n">
        <f aca="false">IF(AND(BD160=1,BD159=0),BE159,BH159)</f>
        <v>-0.392824838841331</v>
      </c>
      <c r="BI160" s="40" t="n">
        <f aca="false">IF(AND(BD160=1,BD159=0),BF159,BI159)</f>
        <v>20.27</v>
      </c>
      <c r="BJ160" s="42" t="n">
        <f aca="false">IF(AND(BD160=1,BD159=0),BG159,BJ159)</f>
        <v>98</v>
      </c>
      <c r="BK160" s="42" t="n">
        <f aca="false">IF(AND(ISNUMBER(BG160),ISNUMBER(BJ160)),BG160-BJ160,"")</f>
        <v>26</v>
      </c>
      <c r="BL160" s="42" t="n">
        <f aca="false">IF(AND(BD160=1,N160&gt;N159,ISNUMBER(BH160),ISNUMBER(BK160)),IF(AND(BE160&gt;BH160,BF160&lt;BI160,BK160&gt;=p_GapMin,BK160&lt;=p_GapMax),1,0),0)</f>
        <v>0</v>
      </c>
      <c r="BM160" s="42" t="n">
        <f aca="false">IF(AND(BL160=1,E160&gt;BI160),1,0)</f>
        <v>0</v>
      </c>
      <c r="BN160" s="42" t="n">
        <f aca="false">IF(BL160=1,IF(BE160&gt;=BH160*0.5,1,0),0)</f>
        <v>0</v>
      </c>
      <c r="BO160" s="42" t="n">
        <f aca="true">IF(V160&gt;MIN(OFFSET(V160,-MIN(p_FiLb-1,ROW()-5),0,MIN(p_FiLb-1,ROW()-5),1)),1,0)</f>
        <v>1</v>
      </c>
      <c r="BP160" s="44" t="n">
        <f aca="true">IF(COUNTIF(OFFSET(V160,1-MIN(100,ROW()-4),0,MIN(100,ROW()-4),1),"&lt;0")&gt;=5,AVERAGEIF(OFFSET(V160,1-MIN(100,ROW()-4),0,MIN(100,ROW()-4),1),"&lt;0"),"")</f>
        <v>-967327.009312125</v>
      </c>
      <c r="BQ160" s="42" t="n">
        <f aca="false">IF(ISNUMBER(BP160),IF(AND(V160&lt;5*BP160,V160&gt;V159,E160&lt;AJ160),1,0),0)</f>
        <v>0</v>
      </c>
      <c r="BR160" s="44" t="n">
        <f aca="true">AVERAGE(OFFSET(F160,1-MIN(5,ROW()-4),0,MIN(5,ROW()-4),1))</f>
        <v>3415660</v>
      </c>
      <c r="BS160" s="42" t="n">
        <f aca="false">IFERROR(IF(MATCH(G160,周线!$A$5:$A$84,0)&lt;=1,"",INDEX(周线!$R$5:$R$84,MATCH(G160,周线!$A$5:$A$84,0)-1)),"")</f>
        <v>1</v>
      </c>
      <c r="BT160" s="42" t="n">
        <f aca="false">IFERROR(IF(MATCH(G160,周线!$A$5:$A$84,0)&lt;=1,"",INDEX(周线!$S$5:$S$84,MATCH(G160,周线!$A$5:$A$84,0)-1)),"")</f>
        <v>1</v>
      </c>
      <c r="BU160" s="42" t="n">
        <f aca="false">IFERROR(IF(MATCH(G160,周线!$A$5:$A$84,0)&lt;=1,"",INDEX(周线!$U$5:$U$84,MATCH(G160,周线!$A$5:$A$84,0)-1)),"")</f>
        <v>1</v>
      </c>
      <c r="BV160" s="42" t="n">
        <f aca="false">IF(AND(BS160=1,S160&lt;&gt;-1,V160&lt;0,BO160=1,E160&lt;=H160,E160&gt;=AJ160),1,0)</f>
        <v>0</v>
      </c>
      <c r="BW160" s="42" t="n">
        <f aca="false">BL160</f>
        <v>0</v>
      </c>
      <c r="BX160" s="42" t="n">
        <f aca="false">BQ160</f>
        <v>0</v>
      </c>
      <c r="BY160" s="42" t="n">
        <f aca="false">IF(BS160=1,10,0)+IF(BU160=1,5,IF(BU160=-1,0,3))+IF(BT160=1,5,0)+IF(AND(AE160&gt;AF160,AH160&gt;AH159),5,0)</f>
        <v>25</v>
      </c>
      <c r="BZ160" s="42" t="n">
        <f aca="false">IF(AND(E160&lt;=H160,E160&gt;=I160),10,IF(AND(E160&gt;=AJ160,E160&lt;I160),6,0))+IF(AND(V160&lt;0,BO160=1),8,0)+IF(AT160&lt;30,7,IF(AT160&lt;50,3,0))</f>
        <v>3</v>
      </c>
      <c r="CA160" s="42" t="n">
        <f aca="false">IF(AND(BV160=1,BW160=1),25,IF(BW160=1,22,IF(BV160=1,15,IF(BX160=1,12,0))))</f>
        <v>0</v>
      </c>
      <c r="CB160" s="42" t="n">
        <f aca="false">IF(W160&gt;0,6,0)+IF(F160&lt;BR160,4,0)</f>
        <v>6</v>
      </c>
      <c r="CC160" s="42" t="n">
        <f aca="false">IF(BC160&gt;=3,15,IF(BC160&gt;=p_RRmin,10,IF(BC160&gt;=1.5,4,0)))</f>
        <v>4</v>
      </c>
      <c r="CD160" s="42" t="n">
        <f aca="false">BY160+BZ160+CA160+CB160+CC160</f>
        <v>38</v>
      </c>
      <c r="CE160" s="42" t="n">
        <f aca="false">IF(AND(BS160&lt;&gt;1,BW160+BX160=0),1,0)</f>
        <v>0</v>
      </c>
      <c r="CF160" s="42" t="n">
        <f aca="false">IF(BU160=-1,1,0)</f>
        <v>0</v>
      </c>
      <c r="CG160" s="42" t="n">
        <f aca="false">IF(S160=-1,1,0)</f>
        <v>0</v>
      </c>
      <c r="CH160" s="42" t="n">
        <f aca="false">IF(BV160+BW160+BX160=0,1,0)</f>
        <v>1</v>
      </c>
      <c r="CI160" s="42" t="n">
        <f aca="false">IF(BC160&lt;p_RRmin,1,0)</f>
        <v>1</v>
      </c>
      <c r="CJ160" s="46" t="str">
        <f aca="false">IF(SUM(CE160:CI160)=0,IF(CD160&gt;=p_GradeA,"A",IF(CD160&gt;=p_GradeB,"B","C")),IF(AND(CI160=1,SUM(CE160:CH160)=0,CD160&gt;=p_GradeB),"B","C"))</f>
        <v>C</v>
      </c>
    </row>
    <row r="161" customFormat="false" ht="15" hidden="false" customHeight="false" outlineLevel="0" collapsed="false">
      <c r="A161" s="36" t="n">
        <v>45877</v>
      </c>
      <c r="B161" s="37" t="n">
        <v>23.04</v>
      </c>
      <c r="C161" s="37" t="n">
        <v>23.68</v>
      </c>
      <c r="D161" s="37" t="n">
        <v>22.95</v>
      </c>
      <c r="E161" s="37" t="n">
        <v>23.56</v>
      </c>
      <c r="F161" s="38" t="n">
        <v>3872500</v>
      </c>
      <c r="G161" s="39" t="n">
        <f aca="false">A161-WEEKDAY(A161,3)</f>
        <v>45873</v>
      </c>
      <c r="H161" s="40" t="n">
        <f aca="false">2/(p_EmaF+1)*E161+(1-2/(p_EmaF+1))*H160</f>
        <v>22.7733757505733</v>
      </c>
      <c r="I161" s="40" t="n">
        <f aca="false">2/(p_EmaS+1)*E161+(1-2/(p_EmaS+1))*I160</f>
        <v>22.2644500901879</v>
      </c>
      <c r="J161" s="41" t="n">
        <f aca="false">2/(p_MacdF+1)*E161+(1-2/(p_MacdF+1))*J160</f>
        <v>22.8214694225046</v>
      </c>
      <c r="K161" s="41" t="n">
        <f aca="false">2/(p_MacdS+1)*E161+(1-2/(p_MacdS+1))*K160</f>
        <v>22.2644500901879</v>
      </c>
      <c r="L161" s="41" t="n">
        <f aca="false">J161-K161</f>
        <v>0.557019332316692</v>
      </c>
      <c r="M161" s="41" t="n">
        <f aca="false">2/(p_MacdSig+1)*L161+(1-2/(p_MacdSig+1))*M160</f>
        <v>0.505193667213744</v>
      </c>
      <c r="N161" s="41" t="n">
        <f aca="false">L161-M161</f>
        <v>0.0518256651029481</v>
      </c>
      <c r="O161" s="42" t="n">
        <f aca="false">IF(H161&gt;H160,1,0)</f>
        <v>1</v>
      </c>
      <c r="P161" s="42" t="n">
        <f aca="false">IF(H161&lt;H160,1,0)</f>
        <v>0</v>
      </c>
      <c r="Q161" s="42" t="n">
        <f aca="false">IF(N161&gt;N160,1,0)</f>
        <v>1</v>
      </c>
      <c r="R161" s="42" t="n">
        <f aca="false">IF(N161&lt;N160,1,0)</f>
        <v>0</v>
      </c>
      <c r="S161" s="42" t="n">
        <f aca="false">IF(AND(O161=1,Q161=1),1,IF(AND(P161=1,R161=1),-1,0))</f>
        <v>1</v>
      </c>
      <c r="T161" s="43" t="str">
        <f aca="false">IF(S161=1,"绿",IF(S161=-1,"红","蓝"))</f>
        <v>绿</v>
      </c>
      <c r="U161" s="44" t="n">
        <f aca="false">F161*(E161-E160)</f>
        <v>2052424.99999999</v>
      </c>
      <c r="V161" s="44" t="n">
        <f aca="false">2/(p_FiS+1)*U161+(1-2/(p_FiS+1))*V160</f>
        <v>1507449.40517169</v>
      </c>
      <c r="W161" s="44" t="n">
        <f aca="false">2/(p_FiL+1)*U161+(1-2/(p_FiL+1))*W160</f>
        <v>560700.629849599</v>
      </c>
      <c r="X161" s="41" t="n">
        <f aca="false">MAX(C161-D161,ABS(C161-E160),ABS(D161-E160))</f>
        <v>0.73</v>
      </c>
      <c r="Y161" s="41" t="n">
        <f aca="true">AVERAGE(OFFSET(X161,1-MIN(p_AtrN,ROW()-4),0,MIN(p_AtrN,ROW()-4),1))</f>
        <v>0.520769230769232</v>
      </c>
      <c r="Z161" s="41" t="n">
        <f aca="false">IF(AND(C161-C160&gt;D160-D161,C161-C160&gt;0),C161-C160,0)</f>
        <v>0.419999999999998</v>
      </c>
      <c r="AA161" s="41" t="n">
        <f aca="false">IF(AND(D160-D161&gt;C161-C160,D160-D161&gt;0),D160-D161,0)</f>
        <v>0</v>
      </c>
      <c r="AB161" s="41" t="n">
        <f aca="false">2/(p_AdxN+1)*X161+(1-2/(p_AdxN+1))*AB160</f>
        <v>0.493666658808224</v>
      </c>
      <c r="AC161" s="41" t="n">
        <f aca="false">2/(p_AdxN+1)*Z161+(1-2/(p_AdxN+1))*AC160</f>
        <v>0.200509083316626</v>
      </c>
      <c r="AD161" s="41" t="n">
        <f aca="false">2/(p_AdxN+1)*AA161+(1-2/(p_AdxN+1))*AD160</f>
        <v>0.0261214607213456</v>
      </c>
      <c r="AE161" s="45" t="n">
        <f aca="false">100*AC161/AB161</f>
        <v>40.6162903123093</v>
      </c>
      <c r="AF161" s="45" t="n">
        <f aca="false">100*AD161/AB161</f>
        <v>5.29131555783132</v>
      </c>
      <c r="AG161" s="45" t="n">
        <f aca="false">IFERROR(100*ABS(AE161-AF161)/(AE161+AF161),0)</f>
        <v>76.9479786299511</v>
      </c>
      <c r="AH161" s="45" t="n">
        <f aca="false">2/(p_AdxN+1)*AG161+(1-2/(p_AdxN+1))*AH160</f>
        <v>65.7634096697208</v>
      </c>
      <c r="AI161" s="40" t="n">
        <f aca="false">I161*(1+p_ChPct)</f>
        <v>23.6003170955992</v>
      </c>
      <c r="AJ161" s="40" t="n">
        <f aca="false">I161*(1-p_ChPct)</f>
        <v>20.9285830847767</v>
      </c>
      <c r="AK161" s="40" t="n">
        <f aca="false">I161+1*Y161</f>
        <v>22.7852193209572</v>
      </c>
      <c r="AL161" s="40" t="n">
        <f aca="false">I161+2*Y161</f>
        <v>23.3059885517264</v>
      </c>
      <c r="AM161" s="40" t="n">
        <f aca="false">I161+3*Y161</f>
        <v>23.8267577824956</v>
      </c>
      <c r="AN161" s="40" t="n">
        <f aca="false">I161-1*Y161</f>
        <v>21.7436808594187</v>
      </c>
      <c r="AO161" s="40" t="n">
        <f aca="false">I161-2*Y161</f>
        <v>21.2229116286495</v>
      </c>
      <c r="AP161" s="40" t="n">
        <f aca="false">I161-3*Y161</f>
        <v>20.7021423978802</v>
      </c>
      <c r="AQ161" s="40" t="n">
        <f aca="true">MAX(OFFSET(C161,1-MIN(p_StochN,ROW()-4),0,MIN(p_StochN,ROW()-4),1))</f>
        <v>23.68</v>
      </c>
      <c r="AR161" s="40" t="n">
        <f aca="true">MIN(OFFSET(D161,1-MIN(p_StochN,ROW()-4),0,MIN(p_StochN,ROW()-4),1))</f>
        <v>22.61</v>
      </c>
      <c r="AS161" s="45" t="n">
        <f aca="false">IF(AQ161=AR161,50,100*(E161-AR161)/(AQ161-AR161))</f>
        <v>88.7850467289719</v>
      </c>
      <c r="AT161" s="45" t="n">
        <f aca="true">AVERAGE(OFFSET(AS161,1-MIN(p_StochSm,ROW()-4),0,MIN(p_StochSm,ROW()-4),1))</f>
        <v>64.5743373298393</v>
      </c>
      <c r="AU161" s="45" t="n">
        <f aca="true">AVERAGE(OFFSET(AT161,1-MIN(p_StochSm,ROW()-4),0,MIN(p_StochSm,ROW()-4),1))</f>
        <v>47.4855232449987</v>
      </c>
      <c r="AV161" s="41" t="n">
        <f aca="false">MAX(0,H161-D161)</f>
        <v>0</v>
      </c>
      <c r="AW161" s="41" t="n">
        <f aca="true">IF(COUNTIF(OFFSET(AV161,1-MIN(p_PenLb,ROW()-4),0,MIN(p_PenLb,ROW()-4),1),"&gt;0")&gt;0,SUM(OFFSET(AV161,1-MIN(p_PenLb,ROW()-4),0,MIN(p_PenLb,ROW()-4),1))/COUNTIF(OFFSET(AV161,1-MIN(p_PenLb,ROW()-4),0,MIN(p_PenLb,ROW()-4),1),"&gt;0"),0.5*Y161)</f>
        <v>0.130653666243613</v>
      </c>
      <c r="AX161" s="41" t="n">
        <f aca="false">2*H161-H160</f>
        <v>22.9044797921444</v>
      </c>
      <c r="AY161" s="40" t="n">
        <f aca="false">ROUND(MAX(AX161-AW161,0.01),2)</f>
        <v>22.77</v>
      </c>
      <c r="AZ161" s="40" t="n">
        <f aca="true">IF(MIN(p_StopLb,ROW()-4)&lt;2,D161,SMALL(OFFSET(D161,1-MIN(p_StopLb,ROW()-4),0,MIN(p_StopLb,ROW()-4),1),2))</f>
        <v>22.63</v>
      </c>
      <c r="BA161" s="40" t="n">
        <f aca="false">IF(MOD(ROUND(ROUNDDOWN(MIN(AZ161-0.01,AY161-p_StopAtr*Y161),2)*100,0),50)=0,ROUNDDOWN(MIN(AZ161-0.01,AY161-p_StopAtr*Y161),2)-0.01,ROUNDDOWN(MIN(AZ161-0.01,AY161-p_StopAtr*Y161),2))</f>
        <v>22.24</v>
      </c>
      <c r="BB161" s="40" t="n">
        <f aca="false">ROUND(AI161,2)</f>
        <v>23.6</v>
      </c>
      <c r="BC161" s="40" t="n">
        <f aca="false">IF(AY161-BA161&gt;0,(BB161-AY161)/(AY161-BA161),0)</f>
        <v>1.56603773584906</v>
      </c>
      <c r="BD161" s="42" t="n">
        <f aca="false">IF(N161&lt;0,1,0)</f>
        <v>0</v>
      </c>
      <c r="BE161" s="41" t="n">
        <f aca="false">IF(AND(BD161=1,BD160=0),N161,IF(BD161=1,MIN(BE160,N161),BE160))</f>
        <v>-0.0583119972977335</v>
      </c>
      <c r="BF161" s="40" t="n">
        <f aca="false">IF(AND(BD161=1,BD160=0),D161,IF(BD161=1,MIN(BF160,D161),BF160))</f>
        <v>19.27</v>
      </c>
      <c r="BG161" s="42" t="n">
        <f aca="false">IF(AND(BD161=1,BD160=0),ROW(),IF(BD161=1,IF(N161&lt;BE160,ROW(),BG160),BG160))</f>
        <v>124</v>
      </c>
      <c r="BH161" s="41" t="n">
        <f aca="false">IF(AND(BD161=1,BD160=0),BE160,BH160)</f>
        <v>-0.392824838841331</v>
      </c>
      <c r="BI161" s="40" t="n">
        <f aca="false">IF(AND(BD161=1,BD160=0),BF160,BI160)</f>
        <v>20.27</v>
      </c>
      <c r="BJ161" s="42" t="n">
        <f aca="false">IF(AND(BD161=1,BD160=0),BG160,BJ160)</f>
        <v>98</v>
      </c>
      <c r="BK161" s="42" t="n">
        <f aca="false">IF(AND(ISNUMBER(BG161),ISNUMBER(BJ161)),BG161-BJ161,"")</f>
        <v>26</v>
      </c>
      <c r="BL161" s="42" t="n">
        <f aca="false">IF(AND(BD161=1,N161&gt;N160,ISNUMBER(BH161),ISNUMBER(BK161)),IF(AND(BE161&gt;BH161,BF161&lt;BI161,BK161&gt;=p_GapMin,BK161&lt;=p_GapMax),1,0),0)</f>
        <v>0</v>
      </c>
      <c r="BM161" s="42" t="n">
        <f aca="false">IF(AND(BL161=1,E161&gt;BI161),1,0)</f>
        <v>0</v>
      </c>
      <c r="BN161" s="42" t="n">
        <f aca="false">IF(BL161=1,IF(BE161&gt;=BH161*0.5,1,0),0)</f>
        <v>0</v>
      </c>
      <c r="BO161" s="42" t="n">
        <f aca="true">IF(V161&gt;MIN(OFFSET(V161,-MIN(p_FiLb-1,ROW()-5),0,MIN(p_FiLb-1,ROW()-5),1)),1,0)</f>
        <v>1</v>
      </c>
      <c r="BP161" s="44" t="n">
        <f aca="true">IF(COUNTIF(OFFSET(V161,1-MIN(100,ROW()-4),0,MIN(100,ROW()-4),1),"&lt;0")&gt;=5,AVERAGEIF(OFFSET(V161,1-MIN(100,ROW()-4),0,MIN(100,ROW()-4),1),"&lt;0"),"")</f>
        <v>-967327.009312125</v>
      </c>
      <c r="BQ161" s="42" t="n">
        <f aca="false">IF(ISNUMBER(BP161),IF(AND(V161&lt;5*BP161,V161&gt;V160,E161&lt;AJ161),1,0),0)</f>
        <v>0</v>
      </c>
      <c r="BR161" s="44" t="n">
        <f aca="true">AVERAGE(OFFSET(F161,1-MIN(5,ROW()-4),0,MIN(5,ROW()-4),1))</f>
        <v>3340760</v>
      </c>
      <c r="BS161" s="42" t="n">
        <f aca="false">IFERROR(IF(MATCH(G161,周线!$A$5:$A$84,0)&lt;=1,"",INDEX(周线!$R$5:$R$84,MATCH(G161,周线!$A$5:$A$84,0)-1)),"")</f>
        <v>1</v>
      </c>
      <c r="BT161" s="42" t="n">
        <f aca="false">IFERROR(IF(MATCH(G161,周线!$A$5:$A$84,0)&lt;=1,"",INDEX(周线!$S$5:$S$84,MATCH(G161,周线!$A$5:$A$84,0)-1)),"")</f>
        <v>1</v>
      </c>
      <c r="BU161" s="42" t="n">
        <f aca="false">IFERROR(IF(MATCH(G161,周线!$A$5:$A$84,0)&lt;=1,"",INDEX(周线!$U$5:$U$84,MATCH(G161,周线!$A$5:$A$84,0)-1)),"")</f>
        <v>1</v>
      </c>
      <c r="BV161" s="42" t="n">
        <f aca="false">IF(AND(BS161=1,S161&lt;&gt;-1,V161&lt;0,BO161=1,E161&lt;=H161,E161&gt;=AJ161),1,0)</f>
        <v>0</v>
      </c>
      <c r="BW161" s="42" t="n">
        <f aca="false">BL161</f>
        <v>0</v>
      </c>
      <c r="BX161" s="42" t="n">
        <f aca="false">BQ161</f>
        <v>0</v>
      </c>
      <c r="BY161" s="42" t="n">
        <f aca="false">IF(BS161=1,10,0)+IF(BU161=1,5,IF(BU161=-1,0,3))+IF(BT161=1,5,0)+IF(AND(AE161&gt;AF161,AH161&gt;AH160),5,0)</f>
        <v>25</v>
      </c>
      <c r="BZ161" s="42" t="n">
        <f aca="false">IF(AND(E161&lt;=H161,E161&gt;=I161),10,IF(AND(E161&gt;=AJ161,E161&lt;I161),6,0))+IF(AND(V161&lt;0,BO161=1),8,0)+IF(AT161&lt;30,7,IF(AT161&lt;50,3,0))</f>
        <v>0</v>
      </c>
      <c r="CA161" s="42" t="n">
        <f aca="false">IF(AND(BV161=1,BW161=1),25,IF(BW161=1,22,IF(BV161=1,15,IF(BX161=1,12,0))))</f>
        <v>0</v>
      </c>
      <c r="CB161" s="42" t="n">
        <f aca="false">IF(W161&gt;0,6,0)+IF(F161&lt;BR161,4,0)</f>
        <v>6</v>
      </c>
      <c r="CC161" s="42" t="n">
        <f aca="false">IF(BC161&gt;=3,15,IF(BC161&gt;=p_RRmin,10,IF(BC161&gt;=1.5,4,0)))</f>
        <v>4</v>
      </c>
      <c r="CD161" s="42" t="n">
        <f aca="false">BY161+BZ161+CA161+CB161+CC161</f>
        <v>35</v>
      </c>
      <c r="CE161" s="42" t="n">
        <f aca="false">IF(AND(BS161&lt;&gt;1,BW161+BX161=0),1,0)</f>
        <v>0</v>
      </c>
      <c r="CF161" s="42" t="n">
        <f aca="false">IF(BU161=-1,1,0)</f>
        <v>0</v>
      </c>
      <c r="CG161" s="42" t="n">
        <f aca="false">IF(S161=-1,1,0)</f>
        <v>0</v>
      </c>
      <c r="CH161" s="42" t="n">
        <f aca="false">IF(BV161+BW161+BX161=0,1,0)</f>
        <v>1</v>
      </c>
      <c r="CI161" s="42" t="n">
        <f aca="false">IF(BC161&lt;p_RRmin,1,0)</f>
        <v>1</v>
      </c>
      <c r="CJ161" s="46" t="str">
        <f aca="false">IF(SUM(CE161:CI161)=0,IF(CD161&gt;=p_GradeA,"A",IF(CD161&gt;=p_GradeB,"B","C")),IF(AND(CI161=1,SUM(CE161:CH161)=0,CD161&gt;=p_GradeB),"B","C"))</f>
        <v>C</v>
      </c>
    </row>
    <row r="162" customFormat="false" ht="15" hidden="false" customHeight="false" outlineLevel="0" collapsed="false">
      <c r="A162" s="36" t="n">
        <v>45880</v>
      </c>
      <c r="B162" s="37" t="n">
        <v>23.47</v>
      </c>
      <c r="C162" s="37" t="n">
        <v>23.66</v>
      </c>
      <c r="D162" s="37" t="n">
        <v>23.26</v>
      </c>
      <c r="E162" s="37" t="n">
        <v>23.56</v>
      </c>
      <c r="F162" s="38" t="n">
        <v>2421800</v>
      </c>
      <c r="G162" s="39" t="n">
        <f aca="false">A162-WEEKDAY(A162,3)</f>
        <v>45880</v>
      </c>
      <c r="H162" s="40" t="n">
        <f aca="false">2/(p_EmaF+1)*E162+(1-2/(p_EmaF+1))*H161</f>
        <v>22.8857506433486</v>
      </c>
      <c r="I162" s="40" t="n">
        <f aca="false">2/(p_EmaS+1)*E162+(1-2/(p_EmaS+1))*I161</f>
        <v>22.360416750174</v>
      </c>
      <c r="J162" s="41" t="n">
        <f aca="false">2/(p_MacdF+1)*E162+(1-2/(p_MacdF+1))*J161</f>
        <v>22.9350895113501</v>
      </c>
      <c r="K162" s="41" t="n">
        <f aca="false">2/(p_MacdS+1)*E162+(1-2/(p_MacdS+1))*K161</f>
        <v>22.360416750174</v>
      </c>
      <c r="L162" s="41" t="n">
        <f aca="false">J162-K162</f>
        <v>0.574672761176053</v>
      </c>
      <c r="M162" s="41" t="n">
        <f aca="false">2/(p_MacdSig+1)*L162+(1-2/(p_MacdSig+1))*M161</f>
        <v>0.519089486006206</v>
      </c>
      <c r="N162" s="41" t="n">
        <f aca="false">L162-M162</f>
        <v>0.0555832751698476</v>
      </c>
      <c r="O162" s="42" t="n">
        <f aca="false">IF(H162&gt;H161,1,0)</f>
        <v>1</v>
      </c>
      <c r="P162" s="42" t="n">
        <f aca="false">IF(H162&lt;H161,1,0)</f>
        <v>0</v>
      </c>
      <c r="Q162" s="42" t="n">
        <f aca="false">IF(N162&gt;N161,1,0)</f>
        <v>1</v>
      </c>
      <c r="R162" s="42" t="n">
        <f aca="false">IF(N162&lt;N161,1,0)</f>
        <v>0</v>
      </c>
      <c r="S162" s="42" t="n">
        <f aca="false">IF(AND(O162=1,Q162=1),1,IF(AND(P162=1,R162=1),-1,0))</f>
        <v>1</v>
      </c>
      <c r="T162" s="43" t="str">
        <f aca="false">IF(S162=1,"绿",IF(S162=-1,"红","蓝"))</f>
        <v>绿</v>
      </c>
      <c r="U162" s="44" t="n">
        <f aca="false">F162*(E162-E161)</f>
        <v>0</v>
      </c>
      <c r="V162" s="44" t="n">
        <f aca="false">2/(p_FiS+1)*U162+(1-2/(p_FiS+1))*V161</f>
        <v>502483.135057231</v>
      </c>
      <c r="W162" s="44" t="n">
        <f aca="false">2/(p_FiL+1)*U162+(1-2/(p_FiL+1))*W161</f>
        <v>480600.539871084</v>
      </c>
      <c r="X162" s="41" t="n">
        <f aca="false">MAX(C162-D162,ABS(C162-E161),ABS(D162-E161))</f>
        <v>0.399999999999999</v>
      </c>
      <c r="Y162" s="41" t="n">
        <f aca="true">AVERAGE(OFFSET(X162,1-MIN(p_AtrN,ROW()-4),0,MIN(p_AtrN,ROW()-4),1))</f>
        <v>0.513846153846155</v>
      </c>
      <c r="Z162" s="41" t="n">
        <f aca="false">IF(AND(C162-C161&gt;D161-D162,C162-C161&gt;0),C162-C161,0)</f>
        <v>0</v>
      </c>
      <c r="AA162" s="41" t="n">
        <f aca="false">IF(AND(D161-D162&gt;C162-C161,D161-D162&gt;0),D161-D162,0)</f>
        <v>0</v>
      </c>
      <c r="AB162" s="41" t="n">
        <f aca="false">2/(p_AdxN+1)*X162+(1-2/(p_AdxN+1))*AB161</f>
        <v>0.480285707549906</v>
      </c>
      <c r="AC162" s="41" t="n">
        <f aca="false">2/(p_AdxN+1)*Z162+(1-2/(p_AdxN+1))*AC161</f>
        <v>0.171864928557108</v>
      </c>
      <c r="AD162" s="41" t="n">
        <f aca="false">2/(p_AdxN+1)*AA162+(1-2/(p_AdxN+1))*AD161</f>
        <v>0.0223898234754391</v>
      </c>
      <c r="AE162" s="45" t="n">
        <f aca="false">100*AC162/AB162</f>
        <v>35.783894014637</v>
      </c>
      <c r="AF162" s="45" t="n">
        <f aca="false">100*AD162/AB162</f>
        <v>4.66177175865942</v>
      </c>
      <c r="AG162" s="45" t="n">
        <f aca="false">IFERROR(100*ABS(AE162-AF162)/(AE162+AF162),0)</f>
        <v>76.9479786299511</v>
      </c>
      <c r="AH162" s="45" t="n">
        <f aca="false">2/(p_AdxN+1)*AG162+(1-2/(p_AdxN+1))*AH161</f>
        <v>67.361205235468</v>
      </c>
      <c r="AI162" s="40" t="n">
        <f aca="false">I162*(1+p_ChPct)</f>
        <v>23.7020417551845</v>
      </c>
      <c r="AJ162" s="40" t="n">
        <f aca="false">I162*(1-p_ChPct)</f>
        <v>21.0187917451636</v>
      </c>
      <c r="AK162" s="40" t="n">
        <f aca="false">I162+1*Y162</f>
        <v>22.8742629040202</v>
      </c>
      <c r="AL162" s="40" t="n">
        <f aca="false">I162+2*Y162</f>
        <v>23.3881090578663</v>
      </c>
      <c r="AM162" s="40" t="n">
        <f aca="false">I162+3*Y162</f>
        <v>23.9019552117125</v>
      </c>
      <c r="AN162" s="40" t="n">
        <f aca="false">I162-1*Y162</f>
        <v>21.8465705963279</v>
      </c>
      <c r="AO162" s="40" t="n">
        <f aca="false">I162-2*Y162</f>
        <v>21.3327244424817</v>
      </c>
      <c r="AP162" s="40" t="n">
        <f aca="false">I162-3*Y162</f>
        <v>20.8188782886356</v>
      </c>
      <c r="AQ162" s="40" t="n">
        <f aca="true">MAX(OFFSET(C162,1-MIN(p_StochN,ROW()-4),0,MIN(p_StochN,ROW()-4),1))</f>
        <v>23.68</v>
      </c>
      <c r="AR162" s="40" t="n">
        <f aca="true">MIN(OFFSET(D162,1-MIN(p_StochN,ROW()-4),0,MIN(p_StochN,ROW()-4),1))</f>
        <v>22.72</v>
      </c>
      <c r="AS162" s="45" t="n">
        <f aca="false">IF(AQ162=AR162,50,100*(E162-AR162)/(AQ162-AR162))</f>
        <v>87.4999999999999</v>
      </c>
      <c r="AT162" s="45" t="n">
        <f aca="true">AVERAGE(OFFSET(AS162,1-MIN(p_StochSm,ROW()-4),0,MIN(p_StochSm,ROW()-4),1))</f>
        <v>80.3001437814522</v>
      </c>
      <c r="AU162" s="45" t="n">
        <f aca="true">AVERAGE(OFFSET(AT162,1-MIN(p_StochSm,ROW()-4),0,MIN(p_StochSm,ROW()-4),1))</f>
        <v>63.0796387111384</v>
      </c>
      <c r="AV162" s="41" t="n">
        <f aca="false">MAX(0,H162-D162)</f>
        <v>0</v>
      </c>
      <c r="AW162" s="41" t="n">
        <f aca="true">IF(COUNTIF(OFFSET(AV162,1-MIN(p_PenLb,ROW()-4),0,MIN(p_PenLb,ROW()-4),1),"&gt;0")&gt;0,SUM(OFFSET(AV162,1-MIN(p_PenLb,ROW()-4),0,MIN(p_PenLb,ROW()-4),1))/COUNTIF(OFFSET(AV162,1-MIN(p_PenLb,ROW()-4),0,MIN(p_PenLb,ROW()-4),1),"&gt;0"),0.5*Y162)</f>
        <v>0.153721946571533</v>
      </c>
      <c r="AX162" s="41" t="n">
        <f aca="false">2*H162-H161</f>
        <v>22.9981255361238</v>
      </c>
      <c r="AY162" s="40" t="n">
        <f aca="false">ROUND(MAX(AX162-AW162,0.01),2)</f>
        <v>22.84</v>
      </c>
      <c r="AZ162" s="40" t="n">
        <f aca="true">IF(MIN(p_StopLb,ROW()-4)&lt;2,D162,SMALL(OFFSET(D162,1-MIN(p_StopLb,ROW()-4),0,MIN(p_StopLb,ROW()-4),1),2))</f>
        <v>22.72</v>
      </c>
      <c r="BA162" s="40" t="n">
        <f aca="false">IF(MOD(ROUND(ROUNDDOWN(MIN(AZ162-0.01,AY162-p_StopAtr*Y162),2)*100,0),50)=0,ROUNDDOWN(MIN(AZ162-0.01,AY162-p_StopAtr*Y162),2)-0.01,ROUNDDOWN(MIN(AZ162-0.01,AY162-p_StopAtr*Y162),2))</f>
        <v>22.32</v>
      </c>
      <c r="BB162" s="40" t="n">
        <f aca="false">ROUND(AI162,2)</f>
        <v>23.7</v>
      </c>
      <c r="BC162" s="40" t="n">
        <f aca="false">IF(AY162-BA162&gt;0,(BB162-AY162)/(AY162-BA162),0)</f>
        <v>1.65384615384615</v>
      </c>
      <c r="BD162" s="42" t="n">
        <f aca="false">IF(N162&lt;0,1,0)</f>
        <v>0</v>
      </c>
      <c r="BE162" s="41" t="n">
        <f aca="false">IF(AND(BD162=1,BD161=0),N162,IF(BD162=1,MIN(BE161,N162),BE161))</f>
        <v>-0.0583119972977335</v>
      </c>
      <c r="BF162" s="40" t="n">
        <f aca="false">IF(AND(BD162=1,BD161=0),D162,IF(BD162=1,MIN(BF161,D162),BF161))</f>
        <v>19.27</v>
      </c>
      <c r="BG162" s="42" t="n">
        <f aca="false">IF(AND(BD162=1,BD161=0),ROW(),IF(BD162=1,IF(N162&lt;BE161,ROW(),BG161),BG161))</f>
        <v>124</v>
      </c>
      <c r="BH162" s="41" t="n">
        <f aca="false">IF(AND(BD162=1,BD161=0),BE161,BH161)</f>
        <v>-0.392824838841331</v>
      </c>
      <c r="BI162" s="40" t="n">
        <f aca="false">IF(AND(BD162=1,BD161=0),BF161,BI161)</f>
        <v>20.27</v>
      </c>
      <c r="BJ162" s="42" t="n">
        <f aca="false">IF(AND(BD162=1,BD161=0),BG161,BJ161)</f>
        <v>98</v>
      </c>
      <c r="BK162" s="42" t="n">
        <f aca="false">IF(AND(ISNUMBER(BG162),ISNUMBER(BJ162)),BG162-BJ162,"")</f>
        <v>26</v>
      </c>
      <c r="BL162" s="42" t="n">
        <f aca="false">IF(AND(BD162=1,N162&gt;N161,ISNUMBER(BH162),ISNUMBER(BK162)),IF(AND(BE162&gt;BH162,BF162&lt;BI162,BK162&gt;=p_GapMin,BK162&lt;=p_GapMax),1,0),0)</f>
        <v>0</v>
      </c>
      <c r="BM162" s="42" t="n">
        <f aca="false">IF(AND(BL162=1,E162&gt;BI162),1,0)</f>
        <v>0</v>
      </c>
      <c r="BN162" s="42" t="n">
        <f aca="false">IF(BL162=1,IF(BE162&gt;=BH162*0.5,1,0),0)</f>
        <v>0</v>
      </c>
      <c r="BO162" s="42" t="n">
        <f aca="true">IF(V162&gt;MIN(OFFSET(V162,-MIN(p_FiLb-1,ROW()-5),0,MIN(p_FiLb-1,ROW()-5),1)),1,0)</f>
        <v>1</v>
      </c>
      <c r="BP162" s="44" t="n">
        <f aca="true">IF(COUNTIF(OFFSET(V162,1-MIN(100,ROW()-4),0,MIN(100,ROW()-4),1),"&lt;0")&gt;=5,AVERAGEIF(OFFSET(V162,1-MIN(100,ROW()-4),0,MIN(100,ROW()-4),1),"&lt;0"),"")</f>
        <v>-967327.009312125</v>
      </c>
      <c r="BQ162" s="42" t="n">
        <f aca="false">IF(ISNUMBER(BP162),IF(AND(V162&lt;5*BP162,V162&gt;V161,E162&lt;AJ162),1,0),0)</f>
        <v>0</v>
      </c>
      <c r="BR162" s="44" t="n">
        <f aca="true">AVERAGE(OFFSET(F162,1-MIN(5,ROW()-4),0,MIN(5,ROW()-4),1))</f>
        <v>3183480</v>
      </c>
      <c r="BS162" s="42" t="n">
        <f aca="false">IFERROR(IF(MATCH(G162,周线!$A$5:$A$84,0)&lt;=1,"",INDEX(周线!$R$5:$R$84,MATCH(G162,周线!$A$5:$A$84,0)-1)),"")</f>
        <v>1</v>
      </c>
      <c r="BT162" s="42" t="n">
        <f aca="false">IFERROR(IF(MATCH(G162,周线!$A$5:$A$84,0)&lt;=1,"",INDEX(周线!$S$5:$S$84,MATCH(G162,周线!$A$5:$A$84,0)-1)),"")</f>
        <v>1</v>
      </c>
      <c r="BU162" s="42" t="n">
        <f aca="false">IFERROR(IF(MATCH(G162,周线!$A$5:$A$84,0)&lt;=1,"",INDEX(周线!$U$5:$U$84,MATCH(G162,周线!$A$5:$A$84,0)-1)),"")</f>
        <v>1</v>
      </c>
      <c r="BV162" s="42" t="n">
        <f aca="false">IF(AND(BS162=1,S162&lt;&gt;-1,V162&lt;0,BO162=1,E162&lt;=H162,E162&gt;=AJ162),1,0)</f>
        <v>0</v>
      </c>
      <c r="BW162" s="42" t="n">
        <f aca="false">BL162</f>
        <v>0</v>
      </c>
      <c r="BX162" s="42" t="n">
        <f aca="false">BQ162</f>
        <v>0</v>
      </c>
      <c r="BY162" s="42" t="n">
        <f aca="false">IF(BS162=1,10,0)+IF(BU162=1,5,IF(BU162=-1,0,3))+IF(BT162=1,5,0)+IF(AND(AE162&gt;AF162,AH162&gt;AH161),5,0)</f>
        <v>25</v>
      </c>
      <c r="BZ162" s="42" t="n">
        <f aca="false">IF(AND(E162&lt;=H162,E162&gt;=I162),10,IF(AND(E162&gt;=AJ162,E162&lt;I162),6,0))+IF(AND(V162&lt;0,BO162=1),8,0)+IF(AT162&lt;30,7,IF(AT162&lt;50,3,0))</f>
        <v>0</v>
      </c>
      <c r="CA162" s="42" t="n">
        <f aca="false">IF(AND(BV162=1,BW162=1),25,IF(BW162=1,22,IF(BV162=1,15,IF(BX162=1,12,0))))</f>
        <v>0</v>
      </c>
      <c r="CB162" s="42" t="n">
        <f aca="false">IF(W162&gt;0,6,0)+IF(F162&lt;BR162,4,0)</f>
        <v>10</v>
      </c>
      <c r="CC162" s="42" t="n">
        <f aca="false">IF(BC162&gt;=3,15,IF(BC162&gt;=p_RRmin,10,IF(BC162&gt;=1.5,4,0)))</f>
        <v>4</v>
      </c>
      <c r="CD162" s="42" t="n">
        <f aca="false">BY162+BZ162+CA162+CB162+CC162</f>
        <v>39</v>
      </c>
      <c r="CE162" s="42" t="n">
        <f aca="false">IF(AND(BS162&lt;&gt;1,BW162+BX162=0),1,0)</f>
        <v>0</v>
      </c>
      <c r="CF162" s="42" t="n">
        <f aca="false">IF(BU162=-1,1,0)</f>
        <v>0</v>
      </c>
      <c r="CG162" s="42" t="n">
        <f aca="false">IF(S162=-1,1,0)</f>
        <v>0</v>
      </c>
      <c r="CH162" s="42" t="n">
        <f aca="false">IF(BV162+BW162+BX162=0,1,0)</f>
        <v>1</v>
      </c>
      <c r="CI162" s="42" t="n">
        <f aca="false">IF(BC162&lt;p_RRmin,1,0)</f>
        <v>1</v>
      </c>
      <c r="CJ162" s="46" t="str">
        <f aca="false">IF(SUM(CE162:CI162)=0,IF(CD162&gt;=p_GradeA,"A",IF(CD162&gt;=p_GradeB,"B","C")),IF(AND(CI162=1,SUM(CE162:CH162)=0,CD162&gt;=p_GradeB),"B","C"))</f>
        <v>C</v>
      </c>
    </row>
    <row r="163" customFormat="false" ht="15" hidden="false" customHeight="false" outlineLevel="0" collapsed="false">
      <c r="A163" s="36" t="n">
        <v>45881</v>
      </c>
      <c r="B163" s="37" t="n">
        <v>23.82</v>
      </c>
      <c r="C163" s="37" t="n">
        <v>23.98</v>
      </c>
      <c r="D163" s="37" t="n">
        <v>23.41</v>
      </c>
      <c r="E163" s="37" t="n">
        <v>23.54</v>
      </c>
      <c r="F163" s="38" t="n">
        <v>3107900</v>
      </c>
      <c r="G163" s="39" t="n">
        <f aca="false">A163-WEEKDAY(A163,3)</f>
        <v>45880</v>
      </c>
      <c r="H163" s="40" t="n">
        <f aca="false">2/(p_EmaF+1)*E163+(1-2/(p_EmaF+1))*H162</f>
        <v>22.9792148371559</v>
      </c>
      <c r="I163" s="40" t="n">
        <f aca="false">2/(p_EmaS+1)*E163+(1-2/(p_EmaS+1))*I162</f>
        <v>22.4477932871982</v>
      </c>
      <c r="J163" s="41" t="n">
        <f aca="false">2/(p_MacdF+1)*E163+(1-2/(p_MacdF+1))*J162</f>
        <v>23.0281526634501</v>
      </c>
      <c r="K163" s="41" t="n">
        <f aca="false">2/(p_MacdS+1)*E163+(1-2/(p_MacdS+1))*K162</f>
        <v>22.4477932871982</v>
      </c>
      <c r="L163" s="41" t="n">
        <f aca="false">J163-K163</f>
        <v>0.580359376251895</v>
      </c>
      <c r="M163" s="41" t="n">
        <f aca="false">2/(p_MacdSig+1)*L163+(1-2/(p_MacdSig+1))*M162</f>
        <v>0.531343464055344</v>
      </c>
      <c r="N163" s="41" t="n">
        <f aca="false">L163-M163</f>
        <v>0.0490159121965514</v>
      </c>
      <c r="O163" s="42" t="n">
        <f aca="false">IF(H163&gt;H162,1,0)</f>
        <v>1</v>
      </c>
      <c r="P163" s="42" t="n">
        <f aca="false">IF(H163&lt;H162,1,0)</f>
        <v>0</v>
      </c>
      <c r="Q163" s="42" t="n">
        <f aca="false">IF(N163&gt;N162,1,0)</f>
        <v>0</v>
      </c>
      <c r="R163" s="42" t="n">
        <f aca="false">IF(N163&lt;N162,1,0)</f>
        <v>1</v>
      </c>
      <c r="S163" s="42" t="n">
        <f aca="false">IF(AND(O163=1,Q163=1),1,IF(AND(P163=1,R163=1),-1,0))</f>
        <v>0</v>
      </c>
      <c r="T163" s="43" t="str">
        <f aca="false">IF(S163=1,"绿",IF(S163=-1,"红","蓝"))</f>
        <v>蓝</v>
      </c>
      <c r="U163" s="44" t="n">
        <f aca="false">F163*(E163-E162)</f>
        <v>-62157.9999999987</v>
      </c>
      <c r="V163" s="44" t="n">
        <f aca="false">2/(p_FiS+1)*U163+(1-2/(p_FiS+1))*V162</f>
        <v>126055.711685745</v>
      </c>
      <c r="W163" s="44" t="n">
        <f aca="false">2/(p_FiL+1)*U163+(1-2/(p_FiL+1))*W162</f>
        <v>403063.605603787</v>
      </c>
      <c r="X163" s="41" t="n">
        <f aca="false">MAX(C163-D163,ABS(C163-E162),ABS(D163-E162))</f>
        <v>0.57</v>
      </c>
      <c r="Y163" s="41" t="n">
        <f aca="true">AVERAGE(OFFSET(X163,1-MIN(p_AtrN,ROW()-4),0,MIN(p_AtrN,ROW()-4),1))</f>
        <v>0.536153846153847</v>
      </c>
      <c r="Z163" s="41" t="n">
        <f aca="false">IF(AND(C163-C162&gt;D162-D163,C163-C162&gt;0),C163-C162,0)</f>
        <v>0.32</v>
      </c>
      <c r="AA163" s="41" t="n">
        <f aca="false">IF(AND(D162-D163&gt;C163-C162,D162-D163&gt;0),D162-D163,0)</f>
        <v>0</v>
      </c>
      <c r="AB163" s="41" t="n">
        <f aca="false">2/(p_AdxN+1)*X163+(1-2/(p_AdxN+1))*AB162</f>
        <v>0.493102035042776</v>
      </c>
      <c r="AC163" s="41" t="n">
        <f aca="false">2/(p_AdxN+1)*Z163+(1-2/(p_AdxN+1))*AC162</f>
        <v>0.193027081620378</v>
      </c>
      <c r="AD163" s="41" t="n">
        <f aca="false">2/(p_AdxN+1)*AA163+(1-2/(p_AdxN+1))*AD162</f>
        <v>0.0191912772646621</v>
      </c>
      <c r="AE163" s="45" t="n">
        <f aca="false">100*AC163/AB163</f>
        <v>39.1454644075101</v>
      </c>
      <c r="AF163" s="45" t="n">
        <f aca="false">100*AD163/AB163</f>
        <v>3.8919485016924</v>
      </c>
      <c r="AG163" s="45" t="n">
        <f aca="false">IFERROR(100*ABS(AE163-AF163)/(AE163+AF163),0)</f>
        <v>81.9136502935092</v>
      </c>
      <c r="AH163" s="45" t="n">
        <f aca="false">2/(p_AdxN+1)*AG163+(1-2/(p_AdxN+1))*AH162</f>
        <v>69.4401259580453</v>
      </c>
      <c r="AI163" s="40" t="n">
        <f aca="false">I163*(1+p_ChPct)</f>
        <v>23.7946608844301</v>
      </c>
      <c r="AJ163" s="40" t="n">
        <f aca="false">I163*(1-p_ChPct)</f>
        <v>21.1009256899663</v>
      </c>
      <c r="AK163" s="40" t="n">
        <f aca="false">I163+1*Y163</f>
        <v>22.983947133352</v>
      </c>
      <c r="AL163" s="40" t="n">
        <f aca="false">I163+2*Y163</f>
        <v>23.5201009795059</v>
      </c>
      <c r="AM163" s="40" t="n">
        <f aca="false">I163+3*Y163</f>
        <v>24.0562548256597</v>
      </c>
      <c r="AN163" s="40" t="n">
        <f aca="false">I163-1*Y163</f>
        <v>21.9116394410443</v>
      </c>
      <c r="AO163" s="40" t="n">
        <f aca="false">I163-2*Y163</f>
        <v>21.3754855948905</v>
      </c>
      <c r="AP163" s="40" t="n">
        <f aca="false">I163-3*Y163</f>
        <v>20.8393317487366</v>
      </c>
      <c r="AQ163" s="40" t="n">
        <f aca="true">MAX(OFFSET(C163,1-MIN(p_StochN,ROW()-4),0,MIN(p_StochN,ROW()-4),1))</f>
        <v>23.98</v>
      </c>
      <c r="AR163" s="40" t="n">
        <f aca="true">MIN(OFFSET(D163,1-MIN(p_StochN,ROW()-4),0,MIN(p_StochN,ROW()-4),1))</f>
        <v>22.76</v>
      </c>
      <c r="AS163" s="45" t="n">
        <f aca="false">IF(AQ163=AR163,50,100*(E163-AR163)/(AQ163-AR163))</f>
        <v>63.9344262295081</v>
      </c>
      <c r="AT163" s="45" t="n">
        <f aca="true">AVERAGE(OFFSET(AS163,1-MIN(p_StochSm,ROW()-4),0,MIN(p_StochSm,ROW()-4),1))</f>
        <v>80.0731576528266</v>
      </c>
      <c r="AU163" s="45" t="n">
        <f aca="true">AVERAGE(OFFSET(AT163,1-MIN(p_StochSm,ROW()-4),0,MIN(p_StochSm,ROW()-4),1))</f>
        <v>74.982546254706</v>
      </c>
      <c r="AV163" s="41" t="n">
        <f aca="false">MAX(0,H163-D163)</f>
        <v>0</v>
      </c>
      <c r="AW163" s="41" t="n">
        <f aca="true">IF(COUNTIF(OFFSET(AV163,1-MIN(p_PenLb,ROW()-4),0,MIN(p_PenLb,ROW()-4),1),"&gt;0")&gt;0,SUM(OFFSET(AV163,1-MIN(p_PenLb,ROW()-4),0,MIN(p_PenLb,ROW()-4),1))/COUNTIF(OFFSET(AV163,1-MIN(p_PenLb,ROW()-4),0,MIN(p_PenLb,ROW()-4),1),"&gt;0"),0.5*Y163)</f>
        <v>0.153721946571533</v>
      </c>
      <c r="AX163" s="41" t="n">
        <f aca="false">2*H163-H162</f>
        <v>23.0726790309633</v>
      </c>
      <c r="AY163" s="40" t="n">
        <f aca="false">ROUND(MAX(AX163-AW163,0.01),2)</f>
        <v>22.92</v>
      </c>
      <c r="AZ163" s="40" t="n">
        <f aca="true">IF(MIN(p_StopLb,ROW()-4)&lt;2,D163,SMALL(OFFSET(D163,1-MIN(p_StopLb,ROW()-4),0,MIN(p_StopLb,ROW()-4),1),2))</f>
        <v>22.72</v>
      </c>
      <c r="BA163" s="40" t="n">
        <f aca="false">IF(MOD(ROUND(ROUNDDOWN(MIN(AZ163-0.01,AY163-p_StopAtr*Y163),2)*100,0),50)=0,ROUNDDOWN(MIN(AZ163-0.01,AY163-p_StopAtr*Y163),2)-0.01,ROUNDDOWN(MIN(AZ163-0.01,AY163-p_StopAtr*Y163),2))</f>
        <v>22.38</v>
      </c>
      <c r="BB163" s="40" t="n">
        <f aca="false">ROUND(AI163,2)</f>
        <v>23.79</v>
      </c>
      <c r="BC163" s="40" t="n">
        <f aca="false">IF(AY163-BA163&gt;0,(BB163-AY163)/(AY163-BA163),0)</f>
        <v>1.6111111111111</v>
      </c>
      <c r="BD163" s="42" t="n">
        <f aca="false">IF(N163&lt;0,1,0)</f>
        <v>0</v>
      </c>
      <c r="BE163" s="41" t="n">
        <f aca="false">IF(AND(BD163=1,BD162=0),N163,IF(BD163=1,MIN(BE162,N163),BE162))</f>
        <v>-0.0583119972977335</v>
      </c>
      <c r="BF163" s="40" t="n">
        <f aca="false">IF(AND(BD163=1,BD162=0),D163,IF(BD163=1,MIN(BF162,D163),BF162))</f>
        <v>19.27</v>
      </c>
      <c r="BG163" s="42" t="n">
        <f aca="false">IF(AND(BD163=1,BD162=0),ROW(),IF(BD163=1,IF(N163&lt;BE162,ROW(),BG162),BG162))</f>
        <v>124</v>
      </c>
      <c r="BH163" s="41" t="n">
        <f aca="false">IF(AND(BD163=1,BD162=0),BE162,BH162)</f>
        <v>-0.392824838841331</v>
      </c>
      <c r="BI163" s="40" t="n">
        <f aca="false">IF(AND(BD163=1,BD162=0),BF162,BI162)</f>
        <v>20.27</v>
      </c>
      <c r="BJ163" s="42" t="n">
        <f aca="false">IF(AND(BD163=1,BD162=0),BG162,BJ162)</f>
        <v>98</v>
      </c>
      <c r="BK163" s="42" t="n">
        <f aca="false">IF(AND(ISNUMBER(BG163),ISNUMBER(BJ163)),BG163-BJ163,"")</f>
        <v>26</v>
      </c>
      <c r="BL163" s="42" t="n">
        <f aca="false">IF(AND(BD163=1,N163&gt;N162,ISNUMBER(BH163),ISNUMBER(BK163)),IF(AND(BE163&gt;BH163,BF163&lt;BI163,BK163&gt;=p_GapMin,BK163&lt;=p_GapMax),1,0),0)</f>
        <v>0</v>
      </c>
      <c r="BM163" s="42" t="n">
        <f aca="false">IF(AND(BL163=1,E163&gt;BI163),1,0)</f>
        <v>0</v>
      </c>
      <c r="BN163" s="42" t="n">
        <f aca="false">IF(BL163=1,IF(BE163&gt;=BH163*0.5,1,0),0)</f>
        <v>0</v>
      </c>
      <c r="BO163" s="42" t="n">
        <f aca="true">IF(V163&gt;MIN(OFFSET(V163,-MIN(p_FiLb-1,ROW()-5),0,MIN(p_FiLb-1,ROW()-5),1)),1,0)</f>
        <v>1</v>
      </c>
      <c r="BP163" s="44" t="n">
        <f aca="true">IF(COUNTIF(OFFSET(V163,1-MIN(100,ROW()-4),0,MIN(100,ROW()-4),1),"&lt;0")&gt;=5,AVERAGEIF(OFFSET(V163,1-MIN(100,ROW()-4),0,MIN(100,ROW()-4),1),"&lt;0"),"")</f>
        <v>-967327.009312125</v>
      </c>
      <c r="BQ163" s="42" t="n">
        <f aca="false">IF(ISNUMBER(BP163),IF(AND(V163&lt;5*BP163,V163&gt;V162,E163&lt;AJ163),1,0),0)</f>
        <v>0</v>
      </c>
      <c r="BR163" s="44" t="n">
        <f aca="true">AVERAGE(OFFSET(F163,1-MIN(5,ROW()-4),0,MIN(5,ROW()-4),1))</f>
        <v>3255800</v>
      </c>
      <c r="BS163" s="42" t="n">
        <f aca="false">IFERROR(IF(MATCH(G163,周线!$A$5:$A$84,0)&lt;=1,"",INDEX(周线!$R$5:$R$84,MATCH(G163,周线!$A$5:$A$84,0)-1)),"")</f>
        <v>1</v>
      </c>
      <c r="BT163" s="42" t="n">
        <f aca="false">IFERROR(IF(MATCH(G163,周线!$A$5:$A$84,0)&lt;=1,"",INDEX(周线!$S$5:$S$84,MATCH(G163,周线!$A$5:$A$84,0)-1)),"")</f>
        <v>1</v>
      </c>
      <c r="BU163" s="42" t="n">
        <f aca="false">IFERROR(IF(MATCH(G163,周线!$A$5:$A$84,0)&lt;=1,"",INDEX(周线!$U$5:$U$84,MATCH(G163,周线!$A$5:$A$84,0)-1)),"")</f>
        <v>1</v>
      </c>
      <c r="BV163" s="42" t="n">
        <f aca="false">IF(AND(BS163=1,S163&lt;&gt;-1,V163&lt;0,BO163=1,E163&lt;=H163,E163&gt;=AJ163),1,0)</f>
        <v>0</v>
      </c>
      <c r="BW163" s="42" t="n">
        <f aca="false">BL163</f>
        <v>0</v>
      </c>
      <c r="BX163" s="42" t="n">
        <f aca="false">BQ163</f>
        <v>0</v>
      </c>
      <c r="BY163" s="42" t="n">
        <f aca="false">IF(BS163=1,10,0)+IF(BU163=1,5,IF(BU163=-1,0,3))+IF(BT163=1,5,0)+IF(AND(AE163&gt;AF163,AH163&gt;AH162),5,0)</f>
        <v>25</v>
      </c>
      <c r="BZ163" s="42" t="n">
        <f aca="false">IF(AND(E163&lt;=H163,E163&gt;=I163),10,IF(AND(E163&gt;=AJ163,E163&lt;I163),6,0))+IF(AND(V163&lt;0,BO163=1),8,0)+IF(AT163&lt;30,7,IF(AT163&lt;50,3,0))</f>
        <v>0</v>
      </c>
      <c r="CA163" s="42" t="n">
        <f aca="false">IF(AND(BV163=1,BW163=1),25,IF(BW163=1,22,IF(BV163=1,15,IF(BX163=1,12,0))))</f>
        <v>0</v>
      </c>
      <c r="CB163" s="42" t="n">
        <f aca="false">IF(W163&gt;0,6,0)+IF(F163&lt;BR163,4,0)</f>
        <v>10</v>
      </c>
      <c r="CC163" s="42" t="n">
        <f aca="false">IF(BC163&gt;=3,15,IF(BC163&gt;=p_RRmin,10,IF(BC163&gt;=1.5,4,0)))</f>
        <v>4</v>
      </c>
      <c r="CD163" s="42" t="n">
        <f aca="false">BY163+BZ163+CA163+CB163+CC163</f>
        <v>39</v>
      </c>
      <c r="CE163" s="42" t="n">
        <f aca="false">IF(AND(BS163&lt;&gt;1,BW163+BX163=0),1,0)</f>
        <v>0</v>
      </c>
      <c r="CF163" s="42" t="n">
        <f aca="false">IF(BU163=-1,1,0)</f>
        <v>0</v>
      </c>
      <c r="CG163" s="42" t="n">
        <f aca="false">IF(S163=-1,1,0)</f>
        <v>0</v>
      </c>
      <c r="CH163" s="42" t="n">
        <f aca="false">IF(BV163+BW163+BX163=0,1,0)</f>
        <v>1</v>
      </c>
      <c r="CI163" s="42" t="n">
        <f aca="false">IF(BC163&lt;p_RRmin,1,0)</f>
        <v>1</v>
      </c>
      <c r="CJ163" s="46" t="str">
        <f aca="false">IF(SUM(CE163:CI163)=0,IF(CD163&gt;=p_GradeA,"A",IF(CD163&gt;=p_GradeB,"B","C")),IF(AND(CI163=1,SUM(CE163:CH163)=0,CD163&gt;=p_GradeB),"B","C"))</f>
        <v>C</v>
      </c>
    </row>
    <row r="164" customFormat="false" ht="15" hidden="false" customHeight="false" outlineLevel="0" collapsed="false">
      <c r="A164" s="36" t="n">
        <v>45882</v>
      </c>
      <c r="B164" s="37" t="n">
        <v>23.38</v>
      </c>
      <c r="C164" s="37" t="n">
        <v>24.17</v>
      </c>
      <c r="D164" s="37" t="n">
        <v>23.18</v>
      </c>
      <c r="E164" s="37" t="n">
        <v>24</v>
      </c>
      <c r="F164" s="38" t="n">
        <v>3748100</v>
      </c>
      <c r="G164" s="39" t="n">
        <f aca="false">A164-WEEKDAY(A164,3)</f>
        <v>45880</v>
      </c>
      <c r="H164" s="40" t="n">
        <f aca="false">2/(p_EmaF+1)*E164+(1-2/(p_EmaF+1))*H163</f>
        <v>23.1250412889908</v>
      </c>
      <c r="I164" s="40" t="n">
        <f aca="false">2/(p_EmaS+1)*E164+(1-2/(p_EmaS+1))*I163</f>
        <v>22.5627715622205</v>
      </c>
      <c r="J164" s="41" t="n">
        <f aca="false">2/(p_MacdF+1)*E164+(1-2/(p_MacdF+1))*J163</f>
        <v>23.1776676383039</v>
      </c>
      <c r="K164" s="41" t="n">
        <f aca="false">2/(p_MacdS+1)*E164+(1-2/(p_MacdS+1))*K163</f>
        <v>22.5627715622205</v>
      </c>
      <c r="L164" s="41" t="n">
        <f aca="false">J164-K164</f>
        <v>0.614896076083372</v>
      </c>
      <c r="M164" s="41" t="n">
        <f aca="false">2/(p_MacdSig+1)*L164+(1-2/(p_MacdSig+1))*M163</f>
        <v>0.548053986460949</v>
      </c>
      <c r="N164" s="41" t="n">
        <f aca="false">L164-M164</f>
        <v>0.066842089622423</v>
      </c>
      <c r="O164" s="42" t="n">
        <f aca="false">IF(H164&gt;H163,1,0)</f>
        <v>1</v>
      </c>
      <c r="P164" s="42" t="n">
        <f aca="false">IF(H164&lt;H163,1,0)</f>
        <v>0</v>
      </c>
      <c r="Q164" s="42" t="n">
        <f aca="false">IF(N164&gt;N163,1,0)</f>
        <v>1</v>
      </c>
      <c r="R164" s="42" t="n">
        <f aca="false">IF(N164&lt;N163,1,0)</f>
        <v>0</v>
      </c>
      <c r="S164" s="42" t="n">
        <f aca="false">IF(AND(O164=1,Q164=1),1,IF(AND(P164=1,R164=1),-1,0))</f>
        <v>1</v>
      </c>
      <c r="T164" s="43" t="str">
        <f aca="false">IF(S164=1,"绿",IF(S164=-1,"红","蓝"))</f>
        <v>绿</v>
      </c>
      <c r="U164" s="44" t="n">
        <f aca="false">F164*(E164-E163)</f>
        <v>1724126</v>
      </c>
      <c r="V164" s="44" t="n">
        <f aca="false">2/(p_FiS+1)*U164+(1-2/(p_FiS+1))*V163</f>
        <v>1191435.90389525</v>
      </c>
      <c r="W164" s="44" t="n">
        <f aca="false">2/(p_FiL+1)*U164+(1-2/(p_FiL+1))*W163</f>
        <v>591786.804803246</v>
      </c>
      <c r="X164" s="41" t="n">
        <f aca="false">MAX(C164-D164,ABS(C164-E163),ABS(D164-E163))</f>
        <v>0.990000000000002</v>
      </c>
      <c r="Y164" s="41" t="n">
        <f aca="true">AVERAGE(OFFSET(X164,1-MIN(p_AtrN,ROW()-4),0,MIN(p_AtrN,ROW()-4),1))</f>
        <v>0.500769230769232</v>
      </c>
      <c r="Z164" s="41" t="n">
        <f aca="false">IF(AND(C164-C163&gt;D163-D164,C164-C163&gt;0),C164-C163,0)</f>
        <v>0</v>
      </c>
      <c r="AA164" s="41" t="n">
        <f aca="false">IF(AND(D163-D164&gt;C164-C163,D163-D164&gt;0),D163-D164,0)</f>
        <v>0.23</v>
      </c>
      <c r="AB164" s="41" t="n">
        <f aca="false">2/(p_AdxN+1)*X164+(1-2/(p_AdxN+1))*AB163</f>
        <v>0.564087458608094</v>
      </c>
      <c r="AC164" s="41" t="n">
        <f aca="false">2/(p_AdxN+1)*Z164+(1-2/(p_AdxN+1))*AC163</f>
        <v>0.165451784246038</v>
      </c>
      <c r="AD164" s="41" t="n">
        <f aca="false">2/(p_AdxN+1)*AA164+(1-2/(p_AdxN+1))*AD163</f>
        <v>0.0493068090839961</v>
      </c>
      <c r="AE164" s="45" t="n">
        <f aca="false">100*AC164/AB164</f>
        <v>29.3308744453026</v>
      </c>
      <c r="AF164" s="45" t="n">
        <f aca="false">100*AD164/AB164</f>
        <v>8.74098658489278</v>
      </c>
      <c r="AG164" s="45" t="n">
        <f aca="false">IFERROR(100*ABS(AE164-AF164)/(AE164+AF164),0)</f>
        <v>54.0816427231641</v>
      </c>
      <c r="AH164" s="45" t="n">
        <f aca="false">2/(p_AdxN+1)*AG164+(1-2/(p_AdxN+1))*AH163</f>
        <v>67.2460569244908</v>
      </c>
      <c r="AI164" s="40" t="n">
        <f aca="false">I164*(1+p_ChPct)</f>
        <v>23.9165378559538</v>
      </c>
      <c r="AJ164" s="40" t="n">
        <f aca="false">I164*(1-p_ChPct)</f>
        <v>21.2090052684873</v>
      </c>
      <c r="AK164" s="40" t="n">
        <f aca="false">I164+1*Y164</f>
        <v>23.0635407929898</v>
      </c>
      <c r="AL164" s="40" t="n">
        <f aca="false">I164+2*Y164</f>
        <v>23.564310023759</v>
      </c>
      <c r="AM164" s="40" t="n">
        <f aca="false">I164+3*Y164</f>
        <v>24.0650792545282</v>
      </c>
      <c r="AN164" s="40" t="n">
        <f aca="false">I164-1*Y164</f>
        <v>22.0620023314513</v>
      </c>
      <c r="AO164" s="40" t="n">
        <f aca="false">I164-2*Y164</f>
        <v>21.5612331006821</v>
      </c>
      <c r="AP164" s="40" t="n">
        <f aca="false">I164-3*Y164</f>
        <v>21.0604638699128</v>
      </c>
      <c r="AQ164" s="40" t="n">
        <f aca="true">MAX(OFFSET(C164,1-MIN(p_StochN,ROW()-4),0,MIN(p_StochN,ROW()-4),1))</f>
        <v>24.17</v>
      </c>
      <c r="AR164" s="40" t="n">
        <f aca="true">MIN(OFFSET(D164,1-MIN(p_StochN,ROW()-4),0,MIN(p_StochN,ROW()-4),1))</f>
        <v>22.78</v>
      </c>
      <c r="AS164" s="45" t="n">
        <f aca="false">IF(AQ164=AR164,50,100*(E164-AR164)/(AQ164-AR164))</f>
        <v>87.7697841726618</v>
      </c>
      <c r="AT164" s="45" t="n">
        <f aca="true">AVERAGE(OFFSET(AS164,1-MIN(p_StochSm,ROW()-4),0,MIN(p_StochSm,ROW()-4),1))</f>
        <v>79.7347368007232</v>
      </c>
      <c r="AU164" s="45" t="n">
        <f aca="true">AVERAGE(OFFSET(AT164,1-MIN(p_StochSm,ROW()-4),0,MIN(p_StochSm,ROW()-4),1))</f>
        <v>80.0360127450007</v>
      </c>
      <c r="AV164" s="41" t="n">
        <f aca="false">MAX(0,H164-D164)</f>
        <v>0</v>
      </c>
      <c r="AW164" s="41" t="n">
        <f aca="true">IF(COUNTIF(OFFSET(AV164,1-MIN(p_PenLb,ROW()-4),0,MIN(p_PenLb,ROW()-4),1),"&gt;0")&gt;0,SUM(OFFSET(AV164,1-MIN(p_PenLb,ROW()-4),0,MIN(p_PenLb,ROW()-4),1))/COUNTIF(OFFSET(AV164,1-MIN(p_PenLb,ROW()-4),0,MIN(p_PenLb,ROW()-4),1),"&gt;0"),0.5*Y164)</f>
        <v>0.153721946571533</v>
      </c>
      <c r="AX164" s="41" t="n">
        <f aca="false">2*H164-H163</f>
        <v>23.2708677408257</v>
      </c>
      <c r="AY164" s="40" t="n">
        <f aca="false">ROUND(MAX(AX164-AW164,0.01),2)</f>
        <v>23.12</v>
      </c>
      <c r="AZ164" s="40" t="n">
        <f aca="true">IF(MIN(p_StopLb,ROW()-4)&lt;2,D164,SMALL(OFFSET(D164,1-MIN(p_StopLb,ROW()-4),0,MIN(p_StopLb,ROW()-4),1),2))</f>
        <v>22.72</v>
      </c>
      <c r="BA164" s="40" t="n">
        <f aca="false">IF(MOD(ROUND(ROUNDDOWN(MIN(AZ164-0.01,AY164-p_StopAtr*Y164),2)*100,0),50)=0,ROUNDDOWN(MIN(AZ164-0.01,AY164-p_StopAtr*Y164),2)-0.01,ROUNDDOWN(MIN(AZ164-0.01,AY164-p_StopAtr*Y164),2))</f>
        <v>22.61</v>
      </c>
      <c r="BB164" s="40" t="n">
        <f aca="false">ROUND(AI164,2)</f>
        <v>23.92</v>
      </c>
      <c r="BC164" s="40" t="n">
        <f aca="false">IF(AY164-BA164&gt;0,(BB164-AY164)/(AY164-BA164),0)</f>
        <v>1.56862745098039</v>
      </c>
      <c r="BD164" s="42" t="n">
        <f aca="false">IF(N164&lt;0,1,0)</f>
        <v>0</v>
      </c>
      <c r="BE164" s="41" t="n">
        <f aca="false">IF(AND(BD164=1,BD163=0),N164,IF(BD164=1,MIN(BE163,N164),BE163))</f>
        <v>-0.0583119972977335</v>
      </c>
      <c r="BF164" s="40" t="n">
        <f aca="false">IF(AND(BD164=1,BD163=0),D164,IF(BD164=1,MIN(BF163,D164),BF163))</f>
        <v>19.27</v>
      </c>
      <c r="BG164" s="42" t="n">
        <f aca="false">IF(AND(BD164=1,BD163=0),ROW(),IF(BD164=1,IF(N164&lt;BE163,ROW(),BG163),BG163))</f>
        <v>124</v>
      </c>
      <c r="BH164" s="41" t="n">
        <f aca="false">IF(AND(BD164=1,BD163=0),BE163,BH163)</f>
        <v>-0.392824838841331</v>
      </c>
      <c r="BI164" s="40" t="n">
        <f aca="false">IF(AND(BD164=1,BD163=0),BF163,BI163)</f>
        <v>20.27</v>
      </c>
      <c r="BJ164" s="42" t="n">
        <f aca="false">IF(AND(BD164=1,BD163=0),BG163,BJ163)</f>
        <v>98</v>
      </c>
      <c r="BK164" s="42" t="n">
        <f aca="false">IF(AND(ISNUMBER(BG164),ISNUMBER(BJ164)),BG164-BJ164,"")</f>
        <v>26</v>
      </c>
      <c r="BL164" s="42" t="n">
        <f aca="false">IF(AND(BD164=1,N164&gt;N163,ISNUMBER(BH164),ISNUMBER(BK164)),IF(AND(BE164&gt;BH164,BF164&lt;BI164,BK164&gt;=p_GapMin,BK164&lt;=p_GapMax),1,0),0)</f>
        <v>0</v>
      </c>
      <c r="BM164" s="42" t="n">
        <f aca="false">IF(AND(BL164=1,E164&gt;BI164),1,0)</f>
        <v>0</v>
      </c>
      <c r="BN164" s="42" t="n">
        <f aca="false">IF(BL164=1,IF(BE164&gt;=BH164*0.5,1,0),0)</f>
        <v>0</v>
      </c>
      <c r="BO164" s="42" t="n">
        <f aca="true">IF(V164&gt;MIN(OFFSET(V164,-MIN(p_FiLb-1,ROW()-5),0,MIN(p_FiLb-1,ROW()-5),1)),1,0)</f>
        <v>1</v>
      </c>
      <c r="BP164" s="44" t="n">
        <f aca="true">IF(COUNTIF(OFFSET(V164,1-MIN(100,ROW()-4),0,MIN(100,ROW()-4),1),"&lt;0")&gt;=5,AVERAGEIF(OFFSET(V164,1-MIN(100,ROW()-4),0,MIN(100,ROW()-4),1),"&lt;0"),"")</f>
        <v>-950642.778368291</v>
      </c>
      <c r="BQ164" s="42" t="n">
        <f aca="false">IF(ISNUMBER(BP164),IF(AND(V164&lt;5*BP164,V164&gt;V163,E164&lt;AJ164),1,0),0)</f>
        <v>0</v>
      </c>
      <c r="BR164" s="44" t="n">
        <f aca="true">AVERAGE(OFFSET(F164,1-MIN(5,ROW()-4),0,MIN(5,ROW()-4),1))</f>
        <v>3421500</v>
      </c>
      <c r="BS164" s="42" t="n">
        <f aca="false">IFERROR(IF(MATCH(G164,周线!$A$5:$A$84,0)&lt;=1,"",INDEX(周线!$R$5:$R$84,MATCH(G164,周线!$A$5:$A$84,0)-1)),"")</f>
        <v>1</v>
      </c>
      <c r="BT164" s="42" t="n">
        <f aca="false">IFERROR(IF(MATCH(G164,周线!$A$5:$A$84,0)&lt;=1,"",INDEX(周线!$S$5:$S$84,MATCH(G164,周线!$A$5:$A$84,0)-1)),"")</f>
        <v>1</v>
      </c>
      <c r="BU164" s="42" t="n">
        <f aca="false">IFERROR(IF(MATCH(G164,周线!$A$5:$A$84,0)&lt;=1,"",INDEX(周线!$U$5:$U$84,MATCH(G164,周线!$A$5:$A$84,0)-1)),"")</f>
        <v>1</v>
      </c>
      <c r="BV164" s="42" t="n">
        <f aca="false">IF(AND(BS164=1,S164&lt;&gt;-1,V164&lt;0,BO164=1,E164&lt;=H164,E164&gt;=AJ164),1,0)</f>
        <v>0</v>
      </c>
      <c r="BW164" s="42" t="n">
        <f aca="false">BL164</f>
        <v>0</v>
      </c>
      <c r="BX164" s="42" t="n">
        <f aca="false">BQ164</f>
        <v>0</v>
      </c>
      <c r="BY164" s="42" t="n">
        <f aca="false">IF(BS164=1,10,0)+IF(BU164=1,5,IF(BU164=-1,0,3))+IF(BT164=1,5,0)+IF(AND(AE164&gt;AF164,AH164&gt;AH163),5,0)</f>
        <v>20</v>
      </c>
      <c r="BZ164" s="42" t="n">
        <f aca="false">IF(AND(E164&lt;=H164,E164&gt;=I164),10,IF(AND(E164&gt;=AJ164,E164&lt;I164),6,0))+IF(AND(V164&lt;0,BO164=1),8,0)+IF(AT164&lt;30,7,IF(AT164&lt;50,3,0))</f>
        <v>0</v>
      </c>
      <c r="CA164" s="42" t="n">
        <f aca="false">IF(AND(BV164=1,BW164=1),25,IF(BW164=1,22,IF(BV164=1,15,IF(BX164=1,12,0))))</f>
        <v>0</v>
      </c>
      <c r="CB164" s="42" t="n">
        <f aca="false">IF(W164&gt;0,6,0)+IF(F164&lt;BR164,4,0)</f>
        <v>6</v>
      </c>
      <c r="CC164" s="42" t="n">
        <f aca="false">IF(BC164&gt;=3,15,IF(BC164&gt;=p_RRmin,10,IF(BC164&gt;=1.5,4,0)))</f>
        <v>4</v>
      </c>
      <c r="CD164" s="42" t="n">
        <f aca="false">BY164+BZ164+CA164+CB164+CC164</f>
        <v>30</v>
      </c>
      <c r="CE164" s="42" t="n">
        <f aca="false">IF(AND(BS164&lt;&gt;1,BW164+BX164=0),1,0)</f>
        <v>0</v>
      </c>
      <c r="CF164" s="42" t="n">
        <f aca="false">IF(BU164=-1,1,0)</f>
        <v>0</v>
      </c>
      <c r="CG164" s="42" t="n">
        <f aca="false">IF(S164=-1,1,0)</f>
        <v>0</v>
      </c>
      <c r="CH164" s="42" t="n">
        <f aca="false">IF(BV164+BW164+BX164=0,1,0)</f>
        <v>1</v>
      </c>
      <c r="CI164" s="42" t="n">
        <f aca="false">IF(BC164&lt;p_RRmin,1,0)</f>
        <v>1</v>
      </c>
      <c r="CJ164" s="46" t="str">
        <f aca="false">IF(SUM(CE164:CI164)=0,IF(CD164&gt;=p_GradeA,"A",IF(CD164&gt;=p_GradeB,"B","C")),IF(AND(CI164=1,SUM(CE164:CH164)=0,CD164&gt;=p_GradeB),"B","C"))</f>
        <v>C</v>
      </c>
    </row>
    <row r="165" customFormat="false" ht="15" hidden="false" customHeight="false" outlineLevel="0" collapsed="false">
      <c r="A165" s="36" t="n">
        <v>45883</v>
      </c>
      <c r="B165" s="37" t="n">
        <v>23.89</v>
      </c>
      <c r="C165" s="37" t="n">
        <v>23.97</v>
      </c>
      <c r="D165" s="37" t="n">
        <v>23.25</v>
      </c>
      <c r="E165" s="37" t="n">
        <v>23.33</v>
      </c>
      <c r="F165" s="38" t="n">
        <v>6475100</v>
      </c>
      <c r="G165" s="39" t="n">
        <f aca="false">A165-WEEKDAY(A165,3)</f>
        <v>45880</v>
      </c>
      <c r="H165" s="40" t="n">
        <f aca="false">2/(p_EmaF+1)*E165+(1-2/(p_EmaF+1))*H164</f>
        <v>23.1543211048492</v>
      </c>
      <c r="I165" s="40" t="n">
        <f aca="false">2/(p_EmaS+1)*E165+(1-2/(p_EmaS+1))*I164</f>
        <v>22.6196032983523</v>
      </c>
      <c r="J165" s="41" t="n">
        <f aca="false">2/(p_MacdF+1)*E165+(1-2/(p_MacdF+1))*J164</f>
        <v>23.2011033862572</v>
      </c>
      <c r="K165" s="41" t="n">
        <f aca="false">2/(p_MacdS+1)*E165+(1-2/(p_MacdS+1))*K164</f>
        <v>22.6196032983523</v>
      </c>
      <c r="L165" s="41" t="n">
        <f aca="false">J165-K165</f>
        <v>0.581500087904807</v>
      </c>
      <c r="M165" s="41" t="n">
        <f aca="false">2/(p_MacdSig+1)*L165+(1-2/(p_MacdSig+1))*M164</f>
        <v>0.554743206749721</v>
      </c>
      <c r="N165" s="41" t="n">
        <f aca="false">L165-M165</f>
        <v>0.0267568811550862</v>
      </c>
      <c r="O165" s="42" t="n">
        <f aca="false">IF(H165&gt;H164,1,0)</f>
        <v>1</v>
      </c>
      <c r="P165" s="42" t="n">
        <f aca="false">IF(H165&lt;H164,1,0)</f>
        <v>0</v>
      </c>
      <c r="Q165" s="42" t="n">
        <f aca="false">IF(N165&gt;N164,1,0)</f>
        <v>0</v>
      </c>
      <c r="R165" s="42" t="n">
        <f aca="false">IF(N165&lt;N164,1,0)</f>
        <v>1</v>
      </c>
      <c r="S165" s="42" t="n">
        <f aca="false">IF(AND(O165=1,Q165=1),1,IF(AND(P165=1,R165=1),-1,0))</f>
        <v>0</v>
      </c>
      <c r="T165" s="43" t="str">
        <f aca="false">IF(S165=1,"绿",IF(S165=-1,"红","蓝"))</f>
        <v>蓝</v>
      </c>
      <c r="U165" s="44" t="n">
        <f aca="false">F165*(E165-E164)</f>
        <v>-4338317.00000001</v>
      </c>
      <c r="V165" s="44" t="n">
        <f aca="false">2/(p_FiS+1)*U165+(1-2/(p_FiS+1))*V164</f>
        <v>-2495066.03203492</v>
      </c>
      <c r="W165" s="44" t="n">
        <f aca="false">2/(p_FiL+1)*U165+(1-2/(p_FiL+1))*W164</f>
        <v>-112513.738740076</v>
      </c>
      <c r="X165" s="41" t="n">
        <f aca="false">MAX(C165-D165,ABS(C165-E164),ABS(D165-E164))</f>
        <v>0.75</v>
      </c>
      <c r="Y165" s="41" t="n">
        <f aca="true">AVERAGE(OFFSET(X165,1-MIN(p_AtrN,ROW()-4),0,MIN(p_AtrN,ROW()-4),1))</f>
        <v>0.534615384615385</v>
      </c>
      <c r="Z165" s="41" t="n">
        <f aca="false">IF(AND(C165-C164&gt;D164-D165,C165-C164&gt;0),C165-C164,0)</f>
        <v>0</v>
      </c>
      <c r="AA165" s="41" t="n">
        <f aca="false">IF(AND(D164-D165&gt;C165-C164,D164-D165&gt;0),D164-D165,0)</f>
        <v>0</v>
      </c>
      <c r="AB165" s="41" t="n">
        <f aca="false">2/(p_AdxN+1)*X165+(1-2/(p_AdxN+1))*AB164</f>
        <v>0.590646393092652</v>
      </c>
      <c r="AC165" s="41" t="n">
        <f aca="false">2/(p_AdxN+1)*Z165+(1-2/(p_AdxN+1))*AC164</f>
        <v>0.141815815068033</v>
      </c>
      <c r="AD165" s="41" t="n">
        <f aca="false">2/(p_AdxN+1)*AA165+(1-2/(p_AdxN+1))*AD164</f>
        <v>0.0422629792148538</v>
      </c>
      <c r="AE165" s="45" t="n">
        <f aca="false">100*AC165/AB165</f>
        <v>24.0102736131984</v>
      </c>
      <c r="AF165" s="45" t="n">
        <f aca="false">100*AD165/AB165</f>
        <v>7.15537751675125</v>
      </c>
      <c r="AG165" s="45" t="n">
        <f aca="false">IFERROR(100*ABS(AE165-AF165)/(AE165+AF165),0)</f>
        <v>54.0816427231641</v>
      </c>
      <c r="AH165" s="45" t="n">
        <f aca="false">2/(p_AdxN+1)*AG165+(1-2/(p_AdxN+1))*AH164</f>
        <v>65.3654263243013</v>
      </c>
      <c r="AI165" s="40" t="n">
        <f aca="false">I165*(1+p_ChPct)</f>
        <v>23.9767794962535</v>
      </c>
      <c r="AJ165" s="40" t="n">
        <f aca="false">I165*(1-p_ChPct)</f>
        <v>21.2624271004512</v>
      </c>
      <c r="AK165" s="40" t="n">
        <f aca="false">I165+1*Y165</f>
        <v>23.1542186829677</v>
      </c>
      <c r="AL165" s="40" t="n">
        <f aca="false">I165+2*Y165</f>
        <v>23.6888340675831</v>
      </c>
      <c r="AM165" s="40" t="n">
        <f aca="false">I165+3*Y165</f>
        <v>24.2234494521985</v>
      </c>
      <c r="AN165" s="40" t="n">
        <f aca="false">I165-1*Y165</f>
        <v>22.084987913737</v>
      </c>
      <c r="AO165" s="40" t="n">
        <f aca="false">I165-2*Y165</f>
        <v>21.5503725291216</v>
      </c>
      <c r="AP165" s="40" t="n">
        <f aca="false">I165-3*Y165</f>
        <v>21.0157571445062</v>
      </c>
      <c r="AQ165" s="40" t="n">
        <f aca="true">MAX(OFFSET(C165,1-MIN(p_StochN,ROW()-4),0,MIN(p_StochN,ROW()-4),1))</f>
        <v>24.17</v>
      </c>
      <c r="AR165" s="40" t="n">
        <f aca="true">MIN(OFFSET(D165,1-MIN(p_StochN,ROW()-4),0,MIN(p_StochN,ROW()-4),1))</f>
        <v>22.95</v>
      </c>
      <c r="AS165" s="45" t="n">
        <f aca="false">IF(AQ165=AR165,50,100*(E165-AR165)/(AQ165-AR165))</f>
        <v>31.1475409836064</v>
      </c>
      <c r="AT165" s="45" t="n">
        <f aca="true">AVERAGE(OFFSET(AS165,1-MIN(p_StochSm,ROW()-4),0,MIN(p_StochSm,ROW()-4),1))</f>
        <v>60.9505837952587</v>
      </c>
      <c r="AU165" s="45" t="n">
        <f aca="true">AVERAGE(OFFSET(AT165,1-MIN(p_StochSm,ROW()-4),0,MIN(p_StochSm,ROW()-4),1))</f>
        <v>73.5861594162695</v>
      </c>
      <c r="AV165" s="41" t="n">
        <f aca="false">MAX(0,H165-D165)</f>
        <v>0</v>
      </c>
      <c r="AW165" s="41" t="n">
        <f aca="true">IF(COUNTIF(OFFSET(AV165,1-MIN(p_PenLb,ROW()-4),0,MIN(p_PenLb,ROW()-4),1),"&gt;0")&gt;0,SUM(OFFSET(AV165,1-MIN(p_PenLb,ROW()-4),0,MIN(p_PenLb,ROW()-4),1))/COUNTIF(OFFSET(AV165,1-MIN(p_PenLb,ROW()-4),0,MIN(p_PenLb,ROW()-4),1),"&gt;0"),0.5*Y165)</f>
        <v>0.153721946571533</v>
      </c>
      <c r="AX165" s="41" t="n">
        <f aca="false">2*H165-H164</f>
        <v>23.1836009207077</v>
      </c>
      <c r="AY165" s="40" t="n">
        <f aca="false">ROUND(MAX(AX165-AW165,0.01),2)</f>
        <v>23.03</v>
      </c>
      <c r="AZ165" s="40" t="n">
        <f aca="true">IF(MIN(p_StopLb,ROW()-4)&lt;2,D165,SMALL(OFFSET(D165,1-MIN(p_StopLb,ROW()-4),0,MIN(p_StopLb,ROW()-4),1),2))</f>
        <v>22.72</v>
      </c>
      <c r="BA165" s="40" t="n">
        <f aca="false">IF(MOD(ROUND(ROUNDDOWN(MIN(AZ165-0.01,AY165-p_StopAtr*Y165),2)*100,0),50)=0,ROUNDDOWN(MIN(AZ165-0.01,AY165-p_StopAtr*Y165),2)-0.01,ROUNDDOWN(MIN(AZ165-0.01,AY165-p_StopAtr*Y165),2))</f>
        <v>22.49</v>
      </c>
      <c r="BB165" s="40" t="n">
        <f aca="false">ROUND(AI165,2)</f>
        <v>23.98</v>
      </c>
      <c r="BC165" s="40" t="n">
        <f aca="false">IF(AY165-BA165&gt;0,(BB165-AY165)/(AY165-BA165),0)</f>
        <v>1.75925925925925</v>
      </c>
      <c r="BD165" s="42" t="n">
        <f aca="false">IF(N165&lt;0,1,0)</f>
        <v>0</v>
      </c>
      <c r="BE165" s="41" t="n">
        <f aca="false">IF(AND(BD165=1,BD164=0),N165,IF(BD165=1,MIN(BE164,N165),BE164))</f>
        <v>-0.0583119972977335</v>
      </c>
      <c r="BF165" s="40" t="n">
        <f aca="false">IF(AND(BD165=1,BD164=0),D165,IF(BD165=1,MIN(BF164,D165),BF164))</f>
        <v>19.27</v>
      </c>
      <c r="BG165" s="42" t="n">
        <f aca="false">IF(AND(BD165=1,BD164=0),ROW(),IF(BD165=1,IF(N165&lt;BE164,ROW(),BG164),BG164))</f>
        <v>124</v>
      </c>
      <c r="BH165" s="41" t="n">
        <f aca="false">IF(AND(BD165=1,BD164=0),BE164,BH164)</f>
        <v>-0.392824838841331</v>
      </c>
      <c r="BI165" s="40" t="n">
        <f aca="false">IF(AND(BD165=1,BD164=0),BF164,BI164)</f>
        <v>20.27</v>
      </c>
      <c r="BJ165" s="42" t="n">
        <f aca="false">IF(AND(BD165=1,BD164=0),BG164,BJ164)</f>
        <v>98</v>
      </c>
      <c r="BK165" s="42" t="n">
        <f aca="false">IF(AND(ISNUMBER(BG165),ISNUMBER(BJ165)),BG165-BJ165,"")</f>
        <v>26</v>
      </c>
      <c r="BL165" s="42" t="n">
        <f aca="false">IF(AND(BD165=1,N165&gt;N164,ISNUMBER(BH165),ISNUMBER(BK165)),IF(AND(BE165&gt;BH165,BF165&lt;BI165,BK165&gt;=p_GapMin,BK165&lt;=p_GapMax),1,0),0)</f>
        <v>0</v>
      </c>
      <c r="BM165" s="42" t="n">
        <f aca="false">IF(AND(BL165=1,E165&gt;BI165),1,0)</f>
        <v>0</v>
      </c>
      <c r="BN165" s="42" t="n">
        <f aca="false">IF(BL165=1,IF(BE165&gt;=BH165*0.5,1,0),0)</f>
        <v>0</v>
      </c>
      <c r="BO165" s="42" t="n">
        <f aca="true">IF(V165&gt;MIN(OFFSET(V165,-MIN(p_FiLb-1,ROW()-5),0,MIN(p_FiLb-1,ROW()-5),1)),1,0)</f>
        <v>0</v>
      </c>
      <c r="BP165" s="44" t="n">
        <f aca="true">IF(COUNTIF(OFFSET(V165,1-MIN(100,ROW()-4),0,MIN(100,ROW()-4),1),"&lt;0")&gt;=5,AVERAGEIF(OFFSET(V165,1-MIN(100,ROW()-4),0,MIN(100,ROW()-4),1),"&lt;0"),"")</f>
        <v>-990692.577771278</v>
      </c>
      <c r="BQ165" s="42" t="n">
        <f aca="false">IF(ISNUMBER(BP165),IF(AND(V165&lt;5*BP165,V165&gt;V164,E165&lt;AJ165),1,0),0)</f>
        <v>0</v>
      </c>
      <c r="BR165" s="44" t="n">
        <f aca="true">AVERAGE(OFFSET(F165,1-MIN(5,ROW()-4),0,MIN(5,ROW()-4),1))</f>
        <v>3925080</v>
      </c>
      <c r="BS165" s="42" t="n">
        <f aca="false">IFERROR(IF(MATCH(G165,周线!$A$5:$A$84,0)&lt;=1,"",INDEX(周线!$R$5:$R$84,MATCH(G165,周线!$A$5:$A$84,0)-1)),"")</f>
        <v>1</v>
      </c>
      <c r="BT165" s="42" t="n">
        <f aca="false">IFERROR(IF(MATCH(G165,周线!$A$5:$A$84,0)&lt;=1,"",INDEX(周线!$S$5:$S$84,MATCH(G165,周线!$A$5:$A$84,0)-1)),"")</f>
        <v>1</v>
      </c>
      <c r="BU165" s="42" t="n">
        <f aca="false">IFERROR(IF(MATCH(G165,周线!$A$5:$A$84,0)&lt;=1,"",INDEX(周线!$U$5:$U$84,MATCH(G165,周线!$A$5:$A$84,0)-1)),"")</f>
        <v>1</v>
      </c>
      <c r="BV165" s="42" t="n">
        <f aca="false">IF(AND(BS165=1,S165&lt;&gt;-1,V165&lt;0,BO165=1,E165&lt;=H165,E165&gt;=AJ165),1,0)</f>
        <v>0</v>
      </c>
      <c r="BW165" s="42" t="n">
        <f aca="false">BL165</f>
        <v>0</v>
      </c>
      <c r="BX165" s="42" t="n">
        <f aca="false">BQ165</f>
        <v>0</v>
      </c>
      <c r="BY165" s="42" t="n">
        <f aca="false">IF(BS165=1,10,0)+IF(BU165=1,5,IF(BU165=-1,0,3))+IF(BT165=1,5,0)+IF(AND(AE165&gt;AF165,AH165&gt;AH164),5,0)</f>
        <v>20</v>
      </c>
      <c r="BZ165" s="42" t="n">
        <f aca="false">IF(AND(E165&lt;=H165,E165&gt;=I165),10,IF(AND(E165&gt;=AJ165,E165&lt;I165),6,0))+IF(AND(V165&lt;0,BO165=1),8,0)+IF(AT165&lt;30,7,IF(AT165&lt;50,3,0))</f>
        <v>0</v>
      </c>
      <c r="CA165" s="42" t="n">
        <f aca="false">IF(AND(BV165=1,BW165=1),25,IF(BW165=1,22,IF(BV165=1,15,IF(BX165=1,12,0))))</f>
        <v>0</v>
      </c>
      <c r="CB165" s="42" t="n">
        <f aca="false">IF(W165&gt;0,6,0)+IF(F165&lt;BR165,4,0)</f>
        <v>0</v>
      </c>
      <c r="CC165" s="42" t="n">
        <f aca="false">IF(BC165&gt;=3,15,IF(BC165&gt;=p_RRmin,10,IF(BC165&gt;=1.5,4,0)))</f>
        <v>4</v>
      </c>
      <c r="CD165" s="42" t="n">
        <f aca="false">BY165+BZ165+CA165+CB165+CC165</f>
        <v>24</v>
      </c>
      <c r="CE165" s="42" t="n">
        <f aca="false">IF(AND(BS165&lt;&gt;1,BW165+BX165=0),1,0)</f>
        <v>0</v>
      </c>
      <c r="CF165" s="42" t="n">
        <f aca="false">IF(BU165=-1,1,0)</f>
        <v>0</v>
      </c>
      <c r="CG165" s="42" t="n">
        <f aca="false">IF(S165=-1,1,0)</f>
        <v>0</v>
      </c>
      <c r="CH165" s="42" t="n">
        <f aca="false">IF(BV165+BW165+BX165=0,1,0)</f>
        <v>1</v>
      </c>
      <c r="CI165" s="42" t="n">
        <f aca="false">IF(BC165&lt;p_RRmin,1,0)</f>
        <v>1</v>
      </c>
      <c r="CJ165" s="46" t="str">
        <f aca="false">IF(SUM(CE165:CI165)=0,IF(CD165&gt;=p_GradeA,"A",IF(CD165&gt;=p_GradeB,"B","C")),IF(AND(CI165=1,SUM(CE165:CH165)=0,CD165&gt;=p_GradeB),"B","C"))</f>
        <v>C</v>
      </c>
    </row>
    <row r="166" customFormat="false" ht="15" hidden="false" customHeight="false" outlineLevel="0" collapsed="false">
      <c r="A166" s="36" t="n">
        <v>45884</v>
      </c>
      <c r="B166" s="37" t="n">
        <v>23.25</v>
      </c>
      <c r="C166" s="37" t="n">
        <v>24.18</v>
      </c>
      <c r="D166" s="37" t="n">
        <v>23.08</v>
      </c>
      <c r="E166" s="37" t="n">
        <v>24.1</v>
      </c>
      <c r="F166" s="38" t="n">
        <v>6335100</v>
      </c>
      <c r="G166" s="39" t="n">
        <f aca="false">A166-WEEKDAY(A166,3)</f>
        <v>45880</v>
      </c>
      <c r="H166" s="40" t="n">
        <f aca="false">2/(p_EmaF+1)*E166+(1-2/(p_EmaF+1))*H165</f>
        <v>23.2894180898708</v>
      </c>
      <c r="I166" s="40" t="n">
        <f aca="false">2/(p_EmaS+1)*E166+(1-2/(p_EmaS+1))*I165</f>
        <v>22.7292623132892</v>
      </c>
      <c r="J166" s="41" t="n">
        <f aca="false">2/(p_MacdF+1)*E166+(1-2/(p_MacdF+1))*J165</f>
        <v>23.3393951729868</v>
      </c>
      <c r="K166" s="41" t="n">
        <f aca="false">2/(p_MacdS+1)*E166+(1-2/(p_MacdS+1))*K165</f>
        <v>22.7292623132892</v>
      </c>
      <c r="L166" s="41" t="n">
        <f aca="false">J166-K166</f>
        <v>0.610132859697615</v>
      </c>
      <c r="M166" s="41" t="n">
        <f aca="false">2/(p_MacdSig+1)*L166+(1-2/(p_MacdSig+1))*M165</f>
        <v>0.5658211373393</v>
      </c>
      <c r="N166" s="41" t="n">
        <f aca="false">L166-M166</f>
        <v>0.0443117223583149</v>
      </c>
      <c r="O166" s="42" t="n">
        <f aca="false">IF(H166&gt;H165,1,0)</f>
        <v>1</v>
      </c>
      <c r="P166" s="42" t="n">
        <f aca="false">IF(H166&lt;H165,1,0)</f>
        <v>0</v>
      </c>
      <c r="Q166" s="42" t="n">
        <f aca="false">IF(N166&gt;N165,1,0)</f>
        <v>1</v>
      </c>
      <c r="R166" s="42" t="n">
        <f aca="false">IF(N166&lt;N165,1,0)</f>
        <v>0</v>
      </c>
      <c r="S166" s="42" t="n">
        <f aca="false">IF(AND(O166=1,Q166=1),1,IF(AND(P166=1,R166=1),-1,0))</f>
        <v>1</v>
      </c>
      <c r="T166" s="43" t="str">
        <f aca="false">IF(S166=1,"绿",IF(S166=-1,"红","蓝"))</f>
        <v>绿</v>
      </c>
      <c r="U166" s="44" t="n">
        <f aca="false">F166*(E166-E165)</f>
        <v>4878027.00000002</v>
      </c>
      <c r="V166" s="44" t="n">
        <f aca="false">2/(p_FiS+1)*U166+(1-2/(p_FiS+1))*V165</f>
        <v>2420329.32265504</v>
      </c>
      <c r="W166" s="44" t="n">
        <f aca="false">2/(p_FiL+1)*U166+(1-2/(p_FiL+1))*W165</f>
        <v>600420.652508509</v>
      </c>
      <c r="X166" s="41" t="n">
        <f aca="false">MAX(C166-D166,ABS(C166-E165),ABS(D166-E165))</f>
        <v>1.1</v>
      </c>
      <c r="Y166" s="41" t="n">
        <f aca="true">AVERAGE(OFFSET(X166,1-MIN(p_AtrN,ROW()-4),0,MIN(p_AtrN,ROW()-4),1))</f>
        <v>0.550769230769232</v>
      </c>
      <c r="Z166" s="41" t="n">
        <f aca="false">IF(AND(C166-C165&gt;D165-D166,C166-C165&gt;0),C166-C165,0)</f>
        <v>0.210000000000001</v>
      </c>
      <c r="AA166" s="41" t="n">
        <f aca="false">IF(AND(D165-D166&gt;C166-C165,D165-D166&gt;0),D165-D166,0)</f>
        <v>0</v>
      </c>
      <c r="AB166" s="41" t="n">
        <f aca="false">2/(p_AdxN+1)*X166+(1-2/(p_AdxN+1))*AB165</f>
        <v>0.663411194079417</v>
      </c>
      <c r="AC166" s="41" t="n">
        <f aca="false">2/(p_AdxN+1)*Z166+(1-2/(p_AdxN+1))*AC165</f>
        <v>0.151556412915457</v>
      </c>
      <c r="AD166" s="41" t="n">
        <f aca="false">2/(p_AdxN+1)*AA166+(1-2/(p_AdxN+1))*AD165</f>
        <v>0.036225410755589</v>
      </c>
      <c r="AE166" s="45" t="n">
        <f aca="false">100*AC166/AB166</f>
        <v>22.8450189366739</v>
      </c>
      <c r="AF166" s="45" t="n">
        <f aca="false">100*AD166/AB166</f>
        <v>5.46047625950256</v>
      </c>
      <c r="AG166" s="45" t="n">
        <f aca="false">IFERROR(100*ABS(AE166-AF166)/(AE166+AF166),0)</f>
        <v>61.4175535763799</v>
      </c>
      <c r="AH166" s="45" t="n">
        <f aca="false">2/(p_AdxN+1)*AG166+(1-2/(p_AdxN+1))*AH165</f>
        <v>64.8014445031697</v>
      </c>
      <c r="AI166" s="40" t="n">
        <f aca="false">I166*(1+p_ChPct)</f>
        <v>24.0930180520866</v>
      </c>
      <c r="AJ166" s="40" t="n">
        <f aca="false">I166*(1-p_ChPct)</f>
        <v>21.3655065744919</v>
      </c>
      <c r="AK166" s="40" t="n">
        <f aca="false">I166+1*Y166</f>
        <v>23.2800315440584</v>
      </c>
      <c r="AL166" s="40" t="n">
        <f aca="false">I166+2*Y166</f>
        <v>23.8308007748277</v>
      </c>
      <c r="AM166" s="40" t="n">
        <f aca="false">I166+3*Y166</f>
        <v>24.3815700055969</v>
      </c>
      <c r="AN166" s="40" t="n">
        <f aca="false">I166-1*Y166</f>
        <v>22.17849308252</v>
      </c>
      <c r="AO166" s="40" t="n">
        <f aca="false">I166-2*Y166</f>
        <v>21.6277238517507</v>
      </c>
      <c r="AP166" s="40" t="n">
        <f aca="false">I166-3*Y166</f>
        <v>21.0769546209815</v>
      </c>
      <c r="AQ166" s="40" t="n">
        <f aca="true">MAX(OFFSET(C166,1-MIN(p_StochN,ROW()-4),0,MIN(p_StochN,ROW()-4),1))</f>
        <v>24.18</v>
      </c>
      <c r="AR166" s="40" t="n">
        <f aca="true">MIN(OFFSET(D166,1-MIN(p_StochN,ROW()-4),0,MIN(p_StochN,ROW()-4),1))</f>
        <v>23.08</v>
      </c>
      <c r="AS166" s="45" t="n">
        <f aca="false">IF(AQ166=AR166,50,100*(E166-AR166)/(AQ166-AR166))</f>
        <v>92.7272727272729</v>
      </c>
      <c r="AT166" s="45" t="n">
        <f aca="true">AVERAGE(OFFSET(AS166,1-MIN(p_StochSm,ROW()-4),0,MIN(p_StochSm,ROW()-4),1))</f>
        <v>70.5481992945137</v>
      </c>
      <c r="AU166" s="45" t="n">
        <f aca="true">AVERAGE(OFFSET(AT166,1-MIN(p_StochSm,ROW()-4),0,MIN(p_StochSm,ROW()-4),1))</f>
        <v>70.4111732968319</v>
      </c>
      <c r="AV166" s="41" t="n">
        <f aca="false">MAX(0,H166-D166)</f>
        <v>0.209418089870784</v>
      </c>
      <c r="AW166" s="41" t="n">
        <f aca="true">IF(COUNTIF(OFFSET(AV166,1-MIN(p_PenLb,ROW()-4),0,MIN(p_PenLb,ROW()-4),1),"&gt;0")&gt;0,SUM(OFFSET(AV166,1-MIN(p_PenLb,ROW()-4),0,MIN(p_PenLb,ROW()-4),1))/COUNTIF(OFFSET(AV166,1-MIN(p_PenLb,ROW()-4),0,MIN(p_PenLb,ROW()-4),1),"&gt;0"),0.5*Y166)</f>
        <v>0.164861175231383</v>
      </c>
      <c r="AX166" s="41" t="n">
        <f aca="false">2*H166-H165</f>
        <v>23.4245150748923</v>
      </c>
      <c r="AY166" s="40" t="n">
        <f aca="false">ROUND(MAX(AX166-AW166,0.01),2)</f>
        <v>23.26</v>
      </c>
      <c r="AZ166" s="40" t="n">
        <f aca="true">IF(MIN(p_StopLb,ROW()-4)&lt;2,D166,SMALL(OFFSET(D166,1-MIN(p_StopLb,ROW()-4),0,MIN(p_StopLb,ROW()-4),1),2))</f>
        <v>22.72</v>
      </c>
      <c r="BA166" s="40" t="n">
        <f aca="false">IF(MOD(ROUND(ROUNDDOWN(MIN(AZ166-0.01,AY166-p_StopAtr*Y166),2)*100,0),50)=0,ROUNDDOWN(MIN(AZ166-0.01,AY166-p_StopAtr*Y166),2)-0.01,ROUNDDOWN(MIN(AZ166-0.01,AY166-p_StopAtr*Y166),2))</f>
        <v>22.7</v>
      </c>
      <c r="BB166" s="40" t="n">
        <f aca="false">ROUND(AI166,2)</f>
        <v>24.09</v>
      </c>
      <c r="BC166" s="40" t="n">
        <f aca="false">IF(AY166-BA166&gt;0,(BB166-AY166)/(AY166-BA166),0)</f>
        <v>1.48214285714285</v>
      </c>
      <c r="BD166" s="42" t="n">
        <f aca="false">IF(N166&lt;0,1,0)</f>
        <v>0</v>
      </c>
      <c r="BE166" s="41" t="n">
        <f aca="false">IF(AND(BD166=1,BD165=0),N166,IF(BD166=1,MIN(BE165,N166),BE165))</f>
        <v>-0.0583119972977335</v>
      </c>
      <c r="BF166" s="40" t="n">
        <f aca="false">IF(AND(BD166=1,BD165=0),D166,IF(BD166=1,MIN(BF165,D166),BF165))</f>
        <v>19.27</v>
      </c>
      <c r="BG166" s="42" t="n">
        <f aca="false">IF(AND(BD166=1,BD165=0),ROW(),IF(BD166=1,IF(N166&lt;BE165,ROW(),BG165),BG165))</f>
        <v>124</v>
      </c>
      <c r="BH166" s="41" t="n">
        <f aca="false">IF(AND(BD166=1,BD165=0),BE165,BH165)</f>
        <v>-0.392824838841331</v>
      </c>
      <c r="BI166" s="40" t="n">
        <f aca="false">IF(AND(BD166=1,BD165=0),BF165,BI165)</f>
        <v>20.27</v>
      </c>
      <c r="BJ166" s="42" t="n">
        <f aca="false">IF(AND(BD166=1,BD165=0),BG165,BJ165)</f>
        <v>98</v>
      </c>
      <c r="BK166" s="42" t="n">
        <f aca="false">IF(AND(ISNUMBER(BG166),ISNUMBER(BJ166)),BG166-BJ166,"")</f>
        <v>26</v>
      </c>
      <c r="BL166" s="42" t="n">
        <f aca="false">IF(AND(BD166=1,N166&gt;N165,ISNUMBER(BH166),ISNUMBER(BK166)),IF(AND(BE166&gt;BH166,BF166&lt;BI166,BK166&gt;=p_GapMin,BK166&lt;=p_GapMax),1,0),0)</f>
        <v>0</v>
      </c>
      <c r="BM166" s="42" t="n">
        <f aca="false">IF(AND(BL166=1,E166&gt;BI166),1,0)</f>
        <v>0</v>
      </c>
      <c r="BN166" s="42" t="n">
        <f aca="false">IF(BL166=1,IF(BE166&gt;=BH166*0.5,1,0),0)</f>
        <v>0</v>
      </c>
      <c r="BO166" s="42" t="n">
        <f aca="true">IF(V166&gt;MIN(OFFSET(V166,-MIN(p_FiLb-1,ROW()-5),0,MIN(p_FiLb-1,ROW()-5),1)),1,0)</f>
        <v>1</v>
      </c>
      <c r="BP166" s="44" t="n">
        <f aca="true">IF(COUNTIF(OFFSET(V166,1-MIN(100,ROW()-4),0,MIN(100,ROW()-4),1),"&lt;0")&gt;=5,AVERAGEIF(OFFSET(V166,1-MIN(100,ROW()-4),0,MIN(100,ROW()-4),1),"&lt;0"),"")</f>
        <v>-990692.577771278</v>
      </c>
      <c r="BQ166" s="42" t="n">
        <f aca="false">IF(ISNUMBER(BP166),IF(AND(V166&lt;5*BP166,V166&gt;V165,E166&lt;AJ166),1,0),0)</f>
        <v>0</v>
      </c>
      <c r="BR166" s="44" t="n">
        <f aca="true">AVERAGE(OFFSET(F166,1-MIN(5,ROW()-4),0,MIN(5,ROW()-4),1))</f>
        <v>4417600</v>
      </c>
      <c r="BS166" s="42" t="n">
        <f aca="false">IFERROR(IF(MATCH(G166,周线!$A$5:$A$84,0)&lt;=1,"",INDEX(周线!$R$5:$R$84,MATCH(G166,周线!$A$5:$A$84,0)-1)),"")</f>
        <v>1</v>
      </c>
      <c r="BT166" s="42" t="n">
        <f aca="false">IFERROR(IF(MATCH(G166,周线!$A$5:$A$84,0)&lt;=1,"",INDEX(周线!$S$5:$S$84,MATCH(G166,周线!$A$5:$A$84,0)-1)),"")</f>
        <v>1</v>
      </c>
      <c r="BU166" s="42" t="n">
        <f aca="false">IFERROR(IF(MATCH(G166,周线!$A$5:$A$84,0)&lt;=1,"",INDEX(周线!$U$5:$U$84,MATCH(G166,周线!$A$5:$A$84,0)-1)),"")</f>
        <v>1</v>
      </c>
      <c r="BV166" s="42" t="n">
        <f aca="false">IF(AND(BS166=1,S166&lt;&gt;-1,V166&lt;0,BO166=1,E166&lt;=H166,E166&gt;=AJ166),1,0)</f>
        <v>0</v>
      </c>
      <c r="BW166" s="42" t="n">
        <f aca="false">BL166</f>
        <v>0</v>
      </c>
      <c r="BX166" s="42" t="n">
        <f aca="false">BQ166</f>
        <v>0</v>
      </c>
      <c r="BY166" s="42" t="n">
        <f aca="false">IF(BS166=1,10,0)+IF(BU166=1,5,IF(BU166=-1,0,3))+IF(BT166=1,5,0)+IF(AND(AE166&gt;AF166,AH166&gt;AH165),5,0)</f>
        <v>20</v>
      </c>
      <c r="BZ166" s="42" t="n">
        <f aca="false">IF(AND(E166&lt;=H166,E166&gt;=I166),10,IF(AND(E166&gt;=AJ166,E166&lt;I166),6,0))+IF(AND(V166&lt;0,BO166=1),8,0)+IF(AT166&lt;30,7,IF(AT166&lt;50,3,0))</f>
        <v>0</v>
      </c>
      <c r="CA166" s="42" t="n">
        <f aca="false">IF(AND(BV166=1,BW166=1),25,IF(BW166=1,22,IF(BV166=1,15,IF(BX166=1,12,0))))</f>
        <v>0</v>
      </c>
      <c r="CB166" s="42" t="n">
        <f aca="false">IF(W166&gt;0,6,0)+IF(F166&lt;BR166,4,0)</f>
        <v>6</v>
      </c>
      <c r="CC166" s="42" t="n">
        <f aca="false">IF(BC166&gt;=3,15,IF(BC166&gt;=p_RRmin,10,IF(BC166&gt;=1.5,4,0)))</f>
        <v>0</v>
      </c>
      <c r="CD166" s="42" t="n">
        <f aca="false">BY166+BZ166+CA166+CB166+CC166</f>
        <v>26</v>
      </c>
      <c r="CE166" s="42" t="n">
        <f aca="false">IF(AND(BS166&lt;&gt;1,BW166+BX166=0),1,0)</f>
        <v>0</v>
      </c>
      <c r="CF166" s="42" t="n">
        <f aca="false">IF(BU166=-1,1,0)</f>
        <v>0</v>
      </c>
      <c r="CG166" s="42" t="n">
        <f aca="false">IF(S166=-1,1,0)</f>
        <v>0</v>
      </c>
      <c r="CH166" s="42" t="n">
        <f aca="false">IF(BV166+BW166+BX166=0,1,0)</f>
        <v>1</v>
      </c>
      <c r="CI166" s="42" t="n">
        <f aca="false">IF(BC166&lt;p_RRmin,1,0)</f>
        <v>1</v>
      </c>
      <c r="CJ166" s="46" t="str">
        <f aca="false">IF(SUM(CE166:CI166)=0,IF(CD166&gt;=p_GradeA,"A",IF(CD166&gt;=p_GradeB,"B","C")),IF(AND(CI166=1,SUM(CE166:CH166)=0,CD166&gt;=p_GradeB),"B","C"))</f>
        <v>C</v>
      </c>
    </row>
    <row r="167" customFormat="false" ht="15" hidden="false" customHeight="false" outlineLevel="0" collapsed="false">
      <c r="A167" s="36" t="n">
        <v>45887</v>
      </c>
      <c r="B167" s="37" t="n">
        <v>24.09</v>
      </c>
      <c r="C167" s="37" t="n">
        <v>24.84</v>
      </c>
      <c r="D167" s="37" t="n">
        <v>23.86</v>
      </c>
      <c r="E167" s="37" t="n">
        <v>24.67</v>
      </c>
      <c r="F167" s="38" t="n">
        <v>6207100</v>
      </c>
      <c r="G167" s="39" t="n">
        <f aca="false">A167-WEEKDAY(A167,3)</f>
        <v>45887</v>
      </c>
      <c r="H167" s="40" t="n">
        <f aca="false">2/(p_EmaF+1)*E167+(1-2/(p_EmaF+1))*H166</f>
        <v>23.4866440770321</v>
      </c>
      <c r="I167" s="40" t="n">
        <f aca="false">2/(p_EmaS+1)*E167+(1-2/(p_EmaS+1))*I166</f>
        <v>22.873020660453</v>
      </c>
      <c r="J167" s="41" t="n">
        <f aca="false">2/(p_MacdF+1)*E167+(1-2/(p_MacdF+1))*J166</f>
        <v>23.5441036079119</v>
      </c>
      <c r="K167" s="41" t="n">
        <f aca="false">2/(p_MacdS+1)*E167+(1-2/(p_MacdS+1))*K166</f>
        <v>22.873020660453</v>
      </c>
      <c r="L167" s="41" t="n">
        <f aca="false">J167-K167</f>
        <v>0.67108294745896</v>
      </c>
      <c r="M167" s="41" t="n">
        <f aca="false">2/(p_MacdSig+1)*L167+(1-2/(p_MacdSig+1))*M166</f>
        <v>0.586873499363232</v>
      </c>
      <c r="N167" s="41" t="n">
        <f aca="false">L167-M167</f>
        <v>0.0842094480957278</v>
      </c>
      <c r="O167" s="42" t="n">
        <f aca="false">IF(H167&gt;H166,1,0)</f>
        <v>1</v>
      </c>
      <c r="P167" s="42" t="n">
        <f aca="false">IF(H167&lt;H166,1,0)</f>
        <v>0</v>
      </c>
      <c r="Q167" s="42" t="n">
        <f aca="false">IF(N167&gt;N166,1,0)</f>
        <v>1</v>
      </c>
      <c r="R167" s="42" t="n">
        <f aca="false">IF(N167&lt;N166,1,0)</f>
        <v>0</v>
      </c>
      <c r="S167" s="42" t="n">
        <f aca="false">IF(AND(O167=1,Q167=1),1,IF(AND(P167=1,R167=1),-1,0))</f>
        <v>1</v>
      </c>
      <c r="T167" s="43" t="str">
        <f aca="false">IF(S167=1,"绿",IF(S167=-1,"红","蓝"))</f>
        <v>绿</v>
      </c>
      <c r="U167" s="44" t="n">
        <f aca="false">F167*(E167-E166)</f>
        <v>3538047</v>
      </c>
      <c r="V167" s="44" t="n">
        <f aca="false">2/(p_FiS+1)*U167+(1-2/(p_FiS+1))*V166</f>
        <v>3165474.44088501</v>
      </c>
      <c r="W167" s="44" t="n">
        <f aca="false">2/(p_FiL+1)*U167+(1-2/(p_FiL+1))*W166</f>
        <v>1020081.55929301</v>
      </c>
      <c r="X167" s="41" t="n">
        <f aca="false">MAX(C167-D167,ABS(C167-E166),ABS(D167-E166))</f>
        <v>0.98</v>
      </c>
      <c r="Y167" s="41" t="n">
        <f aca="true">AVERAGE(OFFSET(X167,1-MIN(p_AtrN,ROW()-4),0,MIN(p_AtrN,ROW()-4),1))</f>
        <v>0.583076923076924</v>
      </c>
      <c r="Z167" s="41" t="n">
        <f aca="false">IF(AND(C167-C166&gt;D166-D167,C167-C166&gt;0),C167-C166,0)</f>
        <v>0.66</v>
      </c>
      <c r="AA167" s="41" t="n">
        <f aca="false">IF(AND(D166-D167&gt;C167-C166,D166-D167&gt;0),D166-D167,0)</f>
        <v>0</v>
      </c>
      <c r="AB167" s="41" t="n">
        <f aca="false">2/(p_AdxN+1)*X167+(1-2/(p_AdxN+1))*AB166</f>
        <v>0.708638166353786</v>
      </c>
      <c r="AC167" s="41" t="n">
        <f aca="false">2/(p_AdxN+1)*Z167+(1-2/(p_AdxN+1))*AC166</f>
        <v>0.224191211070392</v>
      </c>
      <c r="AD167" s="41" t="n">
        <f aca="false">2/(p_AdxN+1)*AA167+(1-2/(p_AdxN+1))*AD166</f>
        <v>0.0310503520762192</v>
      </c>
      <c r="AE167" s="45" t="n">
        <f aca="false">100*AC167/AB167</f>
        <v>31.6369088930026</v>
      </c>
      <c r="AF167" s="45" t="n">
        <f aca="false">100*AD167/AB167</f>
        <v>4.38169344391724</v>
      </c>
      <c r="AG167" s="45" t="n">
        <f aca="false">IFERROR(100*ABS(AE167-AF167)/(AE167+AF167),0)</f>
        <v>75.6698308116975</v>
      </c>
      <c r="AH167" s="45" t="n">
        <f aca="false">2/(p_AdxN+1)*AG167+(1-2/(p_AdxN+1))*AH166</f>
        <v>66.3540711186737</v>
      </c>
      <c r="AI167" s="40" t="n">
        <f aca="false">I167*(1+p_ChPct)</f>
        <v>24.2454019000801</v>
      </c>
      <c r="AJ167" s="40" t="n">
        <f aca="false">I167*(1-p_ChPct)</f>
        <v>21.5006394208258</v>
      </c>
      <c r="AK167" s="40" t="n">
        <f aca="false">I167+1*Y167</f>
        <v>23.4560975835299</v>
      </c>
      <c r="AL167" s="40" t="n">
        <f aca="false">I167+2*Y167</f>
        <v>24.0391745066068</v>
      </c>
      <c r="AM167" s="40" t="n">
        <f aca="false">I167+3*Y167</f>
        <v>24.6222514296837</v>
      </c>
      <c r="AN167" s="40" t="n">
        <f aca="false">I167-1*Y167</f>
        <v>22.289943737376</v>
      </c>
      <c r="AO167" s="40" t="n">
        <f aca="false">I167-2*Y167</f>
        <v>21.7068668142991</v>
      </c>
      <c r="AP167" s="40" t="n">
        <f aca="false">I167-3*Y167</f>
        <v>21.1237898912222</v>
      </c>
      <c r="AQ167" s="40" t="n">
        <f aca="true">MAX(OFFSET(C167,1-MIN(p_StochN,ROW()-4),0,MIN(p_StochN,ROW()-4),1))</f>
        <v>24.84</v>
      </c>
      <c r="AR167" s="40" t="n">
        <f aca="true">MIN(OFFSET(D167,1-MIN(p_StochN,ROW()-4),0,MIN(p_StochN,ROW()-4),1))</f>
        <v>23.08</v>
      </c>
      <c r="AS167" s="45" t="n">
        <f aca="false">IF(AQ167=AR167,50,100*(E167-AR167)/(AQ167-AR167))</f>
        <v>90.3409090909092</v>
      </c>
      <c r="AT167" s="45" t="n">
        <f aca="true">AVERAGE(OFFSET(AS167,1-MIN(p_StochSm,ROW()-4),0,MIN(p_StochSm,ROW()-4),1))</f>
        <v>71.4052409339295</v>
      </c>
      <c r="AU167" s="45" t="n">
        <f aca="true">AVERAGE(OFFSET(AT167,1-MIN(p_StochSm,ROW()-4),0,MIN(p_StochSm,ROW()-4),1))</f>
        <v>67.6346746745673</v>
      </c>
      <c r="AV167" s="41" t="n">
        <f aca="false">MAX(0,H167-D167)</f>
        <v>0</v>
      </c>
      <c r="AW167" s="41" t="n">
        <f aca="true">IF(COUNTIF(OFFSET(AV167,1-MIN(p_PenLb,ROW()-4),0,MIN(p_PenLb,ROW()-4),1),"&gt;0")&gt;0,SUM(OFFSET(AV167,1-MIN(p_PenLb,ROW()-4),0,MIN(p_PenLb,ROW()-4),1))/COUNTIF(OFFSET(AV167,1-MIN(p_PenLb,ROW()-4),0,MIN(p_PenLb,ROW()-4),1),"&gt;0"),0.5*Y167)</f>
        <v>0.164861175231383</v>
      </c>
      <c r="AX167" s="41" t="n">
        <f aca="false">2*H167-H166</f>
        <v>23.6838700641934</v>
      </c>
      <c r="AY167" s="40" t="n">
        <f aca="false">ROUND(MAX(AX167-AW167,0.01),2)</f>
        <v>23.52</v>
      </c>
      <c r="AZ167" s="40" t="n">
        <f aca="true">IF(MIN(p_StopLb,ROW()-4)&lt;2,D167,SMALL(OFFSET(D167,1-MIN(p_StopLb,ROW()-4),0,MIN(p_StopLb,ROW()-4),1),2))</f>
        <v>22.76</v>
      </c>
      <c r="BA167" s="40" t="n">
        <f aca="false">IF(MOD(ROUND(ROUNDDOWN(MIN(AZ167-0.01,AY167-p_StopAtr*Y167),2)*100,0),50)=0,ROUNDDOWN(MIN(AZ167-0.01,AY167-p_StopAtr*Y167),2)-0.01,ROUNDDOWN(MIN(AZ167-0.01,AY167-p_StopAtr*Y167),2))</f>
        <v>22.75</v>
      </c>
      <c r="BB167" s="40" t="n">
        <f aca="false">ROUND(AI167,2)</f>
        <v>24.25</v>
      </c>
      <c r="BC167" s="40" t="n">
        <f aca="false">IF(AY167-BA167&gt;0,(BB167-AY167)/(AY167-BA167),0)</f>
        <v>0.948051948051949</v>
      </c>
      <c r="BD167" s="42" t="n">
        <f aca="false">IF(N167&lt;0,1,0)</f>
        <v>0</v>
      </c>
      <c r="BE167" s="41" t="n">
        <f aca="false">IF(AND(BD167=1,BD166=0),N167,IF(BD167=1,MIN(BE166,N167),BE166))</f>
        <v>-0.0583119972977335</v>
      </c>
      <c r="BF167" s="40" t="n">
        <f aca="false">IF(AND(BD167=1,BD166=0),D167,IF(BD167=1,MIN(BF166,D167),BF166))</f>
        <v>19.27</v>
      </c>
      <c r="BG167" s="42" t="n">
        <f aca="false">IF(AND(BD167=1,BD166=0),ROW(),IF(BD167=1,IF(N167&lt;BE166,ROW(),BG166),BG166))</f>
        <v>124</v>
      </c>
      <c r="BH167" s="41" t="n">
        <f aca="false">IF(AND(BD167=1,BD166=0),BE166,BH166)</f>
        <v>-0.392824838841331</v>
      </c>
      <c r="BI167" s="40" t="n">
        <f aca="false">IF(AND(BD167=1,BD166=0),BF166,BI166)</f>
        <v>20.27</v>
      </c>
      <c r="BJ167" s="42" t="n">
        <f aca="false">IF(AND(BD167=1,BD166=0),BG166,BJ166)</f>
        <v>98</v>
      </c>
      <c r="BK167" s="42" t="n">
        <f aca="false">IF(AND(ISNUMBER(BG167),ISNUMBER(BJ167)),BG167-BJ167,"")</f>
        <v>26</v>
      </c>
      <c r="BL167" s="42" t="n">
        <f aca="false">IF(AND(BD167=1,N167&gt;N166,ISNUMBER(BH167),ISNUMBER(BK167)),IF(AND(BE167&gt;BH167,BF167&lt;BI167,BK167&gt;=p_GapMin,BK167&lt;=p_GapMax),1,0),0)</f>
        <v>0</v>
      </c>
      <c r="BM167" s="42" t="n">
        <f aca="false">IF(AND(BL167=1,E167&gt;BI167),1,0)</f>
        <v>0</v>
      </c>
      <c r="BN167" s="42" t="n">
        <f aca="false">IF(BL167=1,IF(BE167&gt;=BH167*0.5,1,0),0)</f>
        <v>0</v>
      </c>
      <c r="BO167" s="42" t="n">
        <f aca="true">IF(V167&gt;MIN(OFFSET(V167,-MIN(p_FiLb-1,ROW()-5),0,MIN(p_FiLb-1,ROW()-5),1)),1,0)</f>
        <v>1</v>
      </c>
      <c r="BP167" s="44" t="n">
        <f aca="true">IF(COUNTIF(OFFSET(V167,1-MIN(100,ROW()-4),0,MIN(100,ROW()-4),1),"&lt;0")&gt;=5,AVERAGEIF(OFFSET(V167,1-MIN(100,ROW()-4),0,MIN(100,ROW()-4),1),"&lt;0"),"")</f>
        <v>-990692.577771278</v>
      </c>
      <c r="BQ167" s="42" t="n">
        <f aca="false">IF(ISNUMBER(BP167),IF(AND(V167&lt;5*BP167,V167&gt;V166,E167&lt;AJ167),1,0),0)</f>
        <v>0</v>
      </c>
      <c r="BR167" s="44" t="n">
        <f aca="true">AVERAGE(OFFSET(F167,1-MIN(5,ROW()-4),0,MIN(5,ROW()-4),1))</f>
        <v>5174660</v>
      </c>
      <c r="BS167" s="42" t="n">
        <f aca="false">IFERROR(IF(MATCH(G167,周线!$A$5:$A$84,0)&lt;=1,"",INDEX(周线!$R$5:$R$84,MATCH(G167,周线!$A$5:$A$84,0)-1)),"")</f>
        <v>1</v>
      </c>
      <c r="BT167" s="42" t="n">
        <f aca="false">IFERROR(IF(MATCH(G167,周线!$A$5:$A$84,0)&lt;=1,"",INDEX(周线!$S$5:$S$84,MATCH(G167,周线!$A$5:$A$84,0)-1)),"")</f>
        <v>1</v>
      </c>
      <c r="BU167" s="42" t="n">
        <f aca="false">IFERROR(IF(MATCH(G167,周线!$A$5:$A$84,0)&lt;=1,"",INDEX(周线!$U$5:$U$84,MATCH(G167,周线!$A$5:$A$84,0)-1)),"")</f>
        <v>1</v>
      </c>
      <c r="BV167" s="42" t="n">
        <f aca="false">IF(AND(BS167=1,S167&lt;&gt;-1,V167&lt;0,BO167=1,E167&lt;=H167,E167&gt;=AJ167),1,0)</f>
        <v>0</v>
      </c>
      <c r="BW167" s="42" t="n">
        <f aca="false">BL167</f>
        <v>0</v>
      </c>
      <c r="BX167" s="42" t="n">
        <f aca="false">BQ167</f>
        <v>0</v>
      </c>
      <c r="BY167" s="42" t="n">
        <f aca="false">IF(BS167=1,10,0)+IF(BU167=1,5,IF(BU167=-1,0,3))+IF(BT167=1,5,0)+IF(AND(AE167&gt;AF167,AH167&gt;AH166),5,0)</f>
        <v>25</v>
      </c>
      <c r="BZ167" s="42" t="n">
        <f aca="false">IF(AND(E167&lt;=H167,E167&gt;=I167),10,IF(AND(E167&gt;=AJ167,E167&lt;I167),6,0))+IF(AND(V167&lt;0,BO167=1),8,0)+IF(AT167&lt;30,7,IF(AT167&lt;50,3,0))</f>
        <v>0</v>
      </c>
      <c r="CA167" s="42" t="n">
        <f aca="false">IF(AND(BV167=1,BW167=1),25,IF(BW167=1,22,IF(BV167=1,15,IF(BX167=1,12,0))))</f>
        <v>0</v>
      </c>
      <c r="CB167" s="42" t="n">
        <f aca="false">IF(W167&gt;0,6,0)+IF(F167&lt;BR167,4,0)</f>
        <v>6</v>
      </c>
      <c r="CC167" s="42" t="n">
        <f aca="false">IF(BC167&gt;=3,15,IF(BC167&gt;=p_RRmin,10,IF(BC167&gt;=1.5,4,0)))</f>
        <v>0</v>
      </c>
      <c r="CD167" s="42" t="n">
        <f aca="false">BY167+BZ167+CA167+CB167+CC167</f>
        <v>31</v>
      </c>
      <c r="CE167" s="42" t="n">
        <f aca="false">IF(AND(BS167&lt;&gt;1,BW167+BX167=0),1,0)</f>
        <v>0</v>
      </c>
      <c r="CF167" s="42" t="n">
        <f aca="false">IF(BU167=-1,1,0)</f>
        <v>0</v>
      </c>
      <c r="CG167" s="42" t="n">
        <f aca="false">IF(S167=-1,1,0)</f>
        <v>0</v>
      </c>
      <c r="CH167" s="42" t="n">
        <f aca="false">IF(BV167+BW167+BX167=0,1,0)</f>
        <v>1</v>
      </c>
      <c r="CI167" s="42" t="n">
        <f aca="false">IF(BC167&lt;p_RRmin,1,0)</f>
        <v>1</v>
      </c>
      <c r="CJ167" s="46" t="str">
        <f aca="false">IF(SUM(CE167:CI167)=0,IF(CD167&gt;=p_GradeA,"A",IF(CD167&gt;=p_GradeB,"B","C")),IF(AND(CI167=1,SUM(CE167:CH167)=0,CD167&gt;=p_GradeB),"B","C"))</f>
        <v>C</v>
      </c>
    </row>
    <row r="168" customFormat="false" ht="15" hidden="false" customHeight="false" outlineLevel="0" collapsed="false">
      <c r="A168" s="36" t="n">
        <v>45888</v>
      </c>
      <c r="B168" s="37" t="n">
        <v>24.63</v>
      </c>
      <c r="C168" s="37" t="n">
        <v>24.83</v>
      </c>
      <c r="D168" s="37" t="n">
        <v>24.41</v>
      </c>
      <c r="E168" s="37" t="n">
        <v>24.75</v>
      </c>
      <c r="F168" s="38" t="n">
        <v>2752500</v>
      </c>
      <c r="G168" s="39" t="n">
        <f aca="false">A168-WEEKDAY(A168,3)</f>
        <v>45887</v>
      </c>
      <c r="H168" s="40" t="n">
        <f aca="false">2/(p_EmaF+1)*E168+(1-2/(p_EmaF+1))*H167</f>
        <v>23.6671234945989</v>
      </c>
      <c r="I168" s="40" t="n">
        <f aca="false">2/(p_EmaS+1)*E168+(1-2/(p_EmaS+1))*I167</f>
        <v>23.0120561670861</v>
      </c>
      <c r="J168" s="41" t="n">
        <f aca="false">2/(p_MacdF+1)*E168+(1-2/(p_MacdF+1))*J167</f>
        <v>23.7296261297716</v>
      </c>
      <c r="K168" s="41" t="n">
        <f aca="false">2/(p_MacdS+1)*E168+(1-2/(p_MacdS+1))*K167</f>
        <v>23.0120561670861</v>
      </c>
      <c r="L168" s="41" t="n">
        <f aca="false">J168-K168</f>
        <v>0.717569962685548</v>
      </c>
      <c r="M168" s="41" t="n">
        <f aca="false">2/(p_MacdSig+1)*L168+(1-2/(p_MacdSig+1))*M167</f>
        <v>0.613012792027695</v>
      </c>
      <c r="N168" s="41" t="n">
        <f aca="false">L168-M168</f>
        <v>0.104557170657853</v>
      </c>
      <c r="O168" s="42" t="n">
        <f aca="false">IF(H168&gt;H167,1,0)</f>
        <v>1</v>
      </c>
      <c r="P168" s="42" t="n">
        <f aca="false">IF(H168&lt;H167,1,0)</f>
        <v>0</v>
      </c>
      <c r="Q168" s="42" t="n">
        <f aca="false">IF(N168&gt;N167,1,0)</f>
        <v>1</v>
      </c>
      <c r="R168" s="42" t="n">
        <f aca="false">IF(N168&lt;N167,1,0)</f>
        <v>0</v>
      </c>
      <c r="S168" s="42" t="n">
        <f aca="false">IF(AND(O168=1,Q168=1),1,IF(AND(P168=1,R168=1),-1,0))</f>
        <v>1</v>
      </c>
      <c r="T168" s="43" t="str">
        <f aca="false">IF(S168=1,"绿",IF(S168=-1,"红","蓝"))</f>
        <v>绿</v>
      </c>
      <c r="U168" s="44" t="n">
        <f aca="false">F168*(E168-E167)</f>
        <v>220199.999999995</v>
      </c>
      <c r="V168" s="44" t="n">
        <f aca="false">2/(p_FiS+1)*U168+(1-2/(p_FiS+1))*V167</f>
        <v>1201958.14696167</v>
      </c>
      <c r="W168" s="44" t="n">
        <f aca="false">2/(p_FiL+1)*U168+(1-2/(p_FiL+1))*W167</f>
        <v>905812.765108292</v>
      </c>
      <c r="X168" s="41" t="n">
        <f aca="false">MAX(C168-D168,ABS(C168-E167),ABS(D168-E167))</f>
        <v>0.419999999999998</v>
      </c>
      <c r="Y168" s="41" t="n">
        <f aca="true">AVERAGE(OFFSET(X168,1-MIN(p_AtrN,ROW()-4),0,MIN(p_AtrN,ROW()-4),1))</f>
        <v>0.588461538461539</v>
      </c>
      <c r="Z168" s="41" t="n">
        <f aca="false">IF(AND(C168-C167&gt;D167-D168,C168-C167&gt;0),C168-C167,0)</f>
        <v>0</v>
      </c>
      <c r="AA168" s="41" t="n">
        <f aca="false">IF(AND(D167-D168&gt;C168-C167,D167-D168&gt;0),D167-D168,0)</f>
        <v>0</v>
      </c>
      <c r="AB168" s="41" t="n">
        <f aca="false">2/(p_AdxN+1)*X168+(1-2/(p_AdxN+1))*AB167</f>
        <v>0.667404142588959</v>
      </c>
      <c r="AC168" s="41" t="n">
        <f aca="false">2/(p_AdxN+1)*Z168+(1-2/(p_AdxN+1))*AC167</f>
        <v>0.192163895203193</v>
      </c>
      <c r="AD168" s="41" t="n">
        <f aca="false">2/(p_AdxN+1)*AA168+(1-2/(p_AdxN+1))*AD167</f>
        <v>0.0266145874939021</v>
      </c>
      <c r="AE168" s="45" t="n">
        <f aca="false">100*AC168/AB168</f>
        <v>28.792733359095</v>
      </c>
      <c r="AF168" s="45" t="n">
        <f aca="false">100*AD168/AB168</f>
        <v>3.98777679003613</v>
      </c>
      <c r="AG168" s="45" t="n">
        <f aca="false">IFERROR(100*ABS(AE168-AF168)/(AE168+AF168),0)</f>
        <v>75.6698308116975</v>
      </c>
      <c r="AH168" s="45" t="n">
        <f aca="false">2/(p_AdxN+1)*AG168+(1-2/(p_AdxN+1))*AH167</f>
        <v>67.6848939319628</v>
      </c>
      <c r="AI168" s="40" t="n">
        <f aca="false">I168*(1+p_ChPct)</f>
        <v>24.3927795371112</v>
      </c>
      <c r="AJ168" s="40" t="n">
        <f aca="false">I168*(1-p_ChPct)</f>
        <v>21.6313327970609</v>
      </c>
      <c r="AK168" s="40" t="n">
        <f aca="false">I168+1*Y168</f>
        <v>23.6005177055476</v>
      </c>
      <c r="AL168" s="40" t="n">
        <f aca="false">I168+2*Y168</f>
        <v>24.1889792440092</v>
      </c>
      <c r="AM168" s="40" t="n">
        <f aca="false">I168+3*Y168</f>
        <v>24.7774407824707</v>
      </c>
      <c r="AN168" s="40" t="n">
        <f aca="false">I168-1*Y168</f>
        <v>22.4235946286245</v>
      </c>
      <c r="AO168" s="40" t="n">
        <f aca="false">I168-2*Y168</f>
        <v>21.835133090163</v>
      </c>
      <c r="AP168" s="40" t="n">
        <f aca="false">I168-3*Y168</f>
        <v>21.2466715517015</v>
      </c>
      <c r="AQ168" s="40" t="n">
        <f aca="true">MAX(OFFSET(C168,1-MIN(p_StochN,ROW()-4),0,MIN(p_StochN,ROW()-4),1))</f>
        <v>24.84</v>
      </c>
      <c r="AR168" s="40" t="n">
        <f aca="true">MIN(OFFSET(D168,1-MIN(p_StochN,ROW()-4),0,MIN(p_StochN,ROW()-4),1))</f>
        <v>23.08</v>
      </c>
      <c r="AS168" s="45" t="n">
        <f aca="false">IF(AQ168=AR168,50,100*(E168-AR168)/(AQ168-AR168))</f>
        <v>94.8863636363637</v>
      </c>
      <c r="AT168" s="45" t="n">
        <f aca="true">AVERAGE(OFFSET(AS168,1-MIN(p_StochSm,ROW()-4),0,MIN(p_StochSm,ROW()-4),1))</f>
        <v>92.6515151515152</v>
      </c>
      <c r="AU168" s="45" t="n">
        <f aca="true">AVERAGE(OFFSET(AT168,1-MIN(p_StochSm,ROW()-4),0,MIN(p_StochSm,ROW()-4),1))</f>
        <v>78.2016517933195</v>
      </c>
      <c r="AV168" s="41" t="n">
        <f aca="false">MAX(0,H168-D168)</f>
        <v>0</v>
      </c>
      <c r="AW168" s="41" t="n">
        <f aca="true">IF(COUNTIF(OFFSET(AV168,1-MIN(p_PenLb,ROW()-4),0,MIN(p_PenLb,ROW()-4),1),"&gt;0")&gt;0,SUM(OFFSET(AV168,1-MIN(p_PenLb,ROW()-4),0,MIN(p_PenLb,ROW()-4),1))/COUNTIF(OFFSET(AV168,1-MIN(p_PenLb,ROW()-4),0,MIN(p_PenLb,ROW()-4),1),"&gt;0"),0.5*Y168)</f>
        <v>0.164861175231383</v>
      </c>
      <c r="AX168" s="41" t="n">
        <f aca="false">2*H168-H167</f>
        <v>23.8476029121658</v>
      </c>
      <c r="AY168" s="40" t="n">
        <f aca="false">ROUND(MAX(AX168-AW168,0.01),2)</f>
        <v>23.68</v>
      </c>
      <c r="AZ168" s="40" t="n">
        <f aca="true">IF(MIN(p_StopLb,ROW()-4)&lt;2,D168,SMALL(OFFSET(D168,1-MIN(p_StopLb,ROW()-4),0,MIN(p_StopLb,ROW()-4),1),2))</f>
        <v>22.78</v>
      </c>
      <c r="BA168" s="40" t="n">
        <f aca="false">IF(MOD(ROUND(ROUNDDOWN(MIN(AZ168-0.01,AY168-p_StopAtr*Y168),2)*100,0),50)=0,ROUNDDOWN(MIN(AZ168-0.01,AY168-p_StopAtr*Y168),2)-0.01,ROUNDDOWN(MIN(AZ168-0.01,AY168-p_StopAtr*Y168),2))</f>
        <v>22.77</v>
      </c>
      <c r="BB168" s="40" t="n">
        <f aca="false">ROUND(AI168,2)</f>
        <v>24.39</v>
      </c>
      <c r="BC168" s="40" t="n">
        <f aca="false">IF(AY168-BA168&gt;0,(BB168-AY168)/(AY168-BA168),0)</f>
        <v>0.780219780219781</v>
      </c>
      <c r="BD168" s="42" t="n">
        <f aca="false">IF(N168&lt;0,1,0)</f>
        <v>0</v>
      </c>
      <c r="BE168" s="41" t="n">
        <f aca="false">IF(AND(BD168=1,BD167=0),N168,IF(BD168=1,MIN(BE167,N168),BE167))</f>
        <v>-0.0583119972977335</v>
      </c>
      <c r="BF168" s="40" t="n">
        <f aca="false">IF(AND(BD168=1,BD167=0),D168,IF(BD168=1,MIN(BF167,D168),BF167))</f>
        <v>19.27</v>
      </c>
      <c r="BG168" s="42" t="n">
        <f aca="false">IF(AND(BD168=1,BD167=0),ROW(),IF(BD168=1,IF(N168&lt;BE167,ROW(),BG167),BG167))</f>
        <v>124</v>
      </c>
      <c r="BH168" s="41" t="n">
        <f aca="false">IF(AND(BD168=1,BD167=0),BE167,BH167)</f>
        <v>-0.392824838841331</v>
      </c>
      <c r="BI168" s="40" t="n">
        <f aca="false">IF(AND(BD168=1,BD167=0),BF167,BI167)</f>
        <v>20.27</v>
      </c>
      <c r="BJ168" s="42" t="n">
        <f aca="false">IF(AND(BD168=1,BD167=0),BG167,BJ167)</f>
        <v>98</v>
      </c>
      <c r="BK168" s="42" t="n">
        <f aca="false">IF(AND(ISNUMBER(BG168),ISNUMBER(BJ168)),BG168-BJ168,"")</f>
        <v>26</v>
      </c>
      <c r="BL168" s="42" t="n">
        <f aca="false">IF(AND(BD168=1,N168&gt;N167,ISNUMBER(BH168),ISNUMBER(BK168)),IF(AND(BE168&gt;BH168,BF168&lt;BI168,BK168&gt;=p_GapMin,BK168&lt;=p_GapMax),1,0),0)</f>
        <v>0</v>
      </c>
      <c r="BM168" s="42" t="n">
        <f aca="false">IF(AND(BL168=1,E168&gt;BI168),1,0)</f>
        <v>0</v>
      </c>
      <c r="BN168" s="42" t="n">
        <f aca="false">IF(BL168=1,IF(BE168&gt;=BH168*0.5,1,0),0)</f>
        <v>0</v>
      </c>
      <c r="BO168" s="42" t="n">
        <f aca="true">IF(V168&gt;MIN(OFFSET(V168,-MIN(p_FiLb-1,ROW()-5),0,MIN(p_FiLb-1,ROW()-5),1)),1,0)</f>
        <v>1</v>
      </c>
      <c r="BP168" s="44" t="n">
        <f aca="true">IF(COUNTIF(OFFSET(V168,1-MIN(100,ROW()-4),0,MIN(100,ROW()-4),1),"&lt;0")&gt;=5,AVERAGEIF(OFFSET(V168,1-MIN(100,ROW()-4),0,MIN(100,ROW()-4),1),"&lt;0"),"")</f>
        <v>-990692.577771278</v>
      </c>
      <c r="BQ168" s="42" t="n">
        <f aca="false">IF(ISNUMBER(BP168),IF(AND(V168&lt;5*BP168,V168&gt;V167,E168&lt;AJ168),1,0),0)</f>
        <v>0</v>
      </c>
      <c r="BR168" s="44" t="n">
        <f aca="true">AVERAGE(OFFSET(F168,1-MIN(5,ROW()-4),0,MIN(5,ROW()-4),1))</f>
        <v>5103580</v>
      </c>
      <c r="BS168" s="42" t="n">
        <f aca="false">IFERROR(IF(MATCH(G168,周线!$A$5:$A$84,0)&lt;=1,"",INDEX(周线!$R$5:$R$84,MATCH(G168,周线!$A$5:$A$84,0)-1)),"")</f>
        <v>1</v>
      </c>
      <c r="BT168" s="42" t="n">
        <f aca="false">IFERROR(IF(MATCH(G168,周线!$A$5:$A$84,0)&lt;=1,"",INDEX(周线!$S$5:$S$84,MATCH(G168,周线!$A$5:$A$84,0)-1)),"")</f>
        <v>1</v>
      </c>
      <c r="BU168" s="42" t="n">
        <f aca="false">IFERROR(IF(MATCH(G168,周线!$A$5:$A$84,0)&lt;=1,"",INDEX(周线!$U$5:$U$84,MATCH(G168,周线!$A$5:$A$84,0)-1)),"")</f>
        <v>1</v>
      </c>
      <c r="BV168" s="42" t="n">
        <f aca="false">IF(AND(BS168=1,S168&lt;&gt;-1,V168&lt;0,BO168=1,E168&lt;=H168,E168&gt;=AJ168),1,0)</f>
        <v>0</v>
      </c>
      <c r="BW168" s="42" t="n">
        <f aca="false">BL168</f>
        <v>0</v>
      </c>
      <c r="BX168" s="42" t="n">
        <f aca="false">BQ168</f>
        <v>0</v>
      </c>
      <c r="BY168" s="42" t="n">
        <f aca="false">IF(BS168=1,10,0)+IF(BU168=1,5,IF(BU168=-1,0,3))+IF(BT168=1,5,0)+IF(AND(AE168&gt;AF168,AH168&gt;AH167),5,0)</f>
        <v>25</v>
      </c>
      <c r="BZ168" s="42" t="n">
        <f aca="false">IF(AND(E168&lt;=H168,E168&gt;=I168),10,IF(AND(E168&gt;=AJ168,E168&lt;I168),6,0))+IF(AND(V168&lt;0,BO168=1),8,0)+IF(AT168&lt;30,7,IF(AT168&lt;50,3,0))</f>
        <v>0</v>
      </c>
      <c r="CA168" s="42" t="n">
        <f aca="false">IF(AND(BV168=1,BW168=1),25,IF(BW168=1,22,IF(BV168=1,15,IF(BX168=1,12,0))))</f>
        <v>0</v>
      </c>
      <c r="CB168" s="42" t="n">
        <f aca="false">IF(W168&gt;0,6,0)+IF(F168&lt;BR168,4,0)</f>
        <v>10</v>
      </c>
      <c r="CC168" s="42" t="n">
        <f aca="false">IF(BC168&gt;=3,15,IF(BC168&gt;=p_RRmin,10,IF(BC168&gt;=1.5,4,0)))</f>
        <v>0</v>
      </c>
      <c r="CD168" s="42" t="n">
        <f aca="false">BY168+BZ168+CA168+CB168+CC168</f>
        <v>35</v>
      </c>
      <c r="CE168" s="42" t="n">
        <f aca="false">IF(AND(BS168&lt;&gt;1,BW168+BX168=0),1,0)</f>
        <v>0</v>
      </c>
      <c r="CF168" s="42" t="n">
        <f aca="false">IF(BU168=-1,1,0)</f>
        <v>0</v>
      </c>
      <c r="CG168" s="42" t="n">
        <f aca="false">IF(S168=-1,1,0)</f>
        <v>0</v>
      </c>
      <c r="CH168" s="42" t="n">
        <f aca="false">IF(BV168+BW168+BX168=0,1,0)</f>
        <v>1</v>
      </c>
      <c r="CI168" s="42" t="n">
        <f aca="false">IF(BC168&lt;p_RRmin,1,0)</f>
        <v>1</v>
      </c>
      <c r="CJ168" s="46" t="str">
        <f aca="false">IF(SUM(CE168:CI168)=0,IF(CD168&gt;=p_GradeA,"A",IF(CD168&gt;=p_GradeB,"B","C")),IF(AND(CI168=1,SUM(CE168:CH168)=0,CD168&gt;=p_GradeB),"B","C"))</f>
        <v>C</v>
      </c>
    </row>
    <row r="169" customFormat="false" ht="15" hidden="false" customHeight="false" outlineLevel="0" collapsed="false">
      <c r="A169" s="36" t="n">
        <v>45889</v>
      </c>
      <c r="B169" s="37" t="n">
        <v>24.66</v>
      </c>
      <c r="C169" s="37" t="n">
        <v>24.77</v>
      </c>
      <c r="D169" s="37" t="n">
        <v>24.52</v>
      </c>
      <c r="E169" s="37" t="n">
        <v>24.66</v>
      </c>
      <c r="F169" s="38" t="n">
        <v>3922300</v>
      </c>
      <c r="G169" s="39" t="n">
        <f aca="false">A169-WEEKDAY(A169,3)</f>
        <v>45887</v>
      </c>
      <c r="H169" s="40" t="n">
        <f aca="false">2/(p_EmaF+1)*E169+(1-2/(p_EmaF+1))*H168</f>
        <v>23.8089629953705</v>
      </c>
      <c r="I169" s="40" t="n">
        <f aca="false">2/(p_EmaS+1)*E169+(1-2/(p_EmaS+1))*I168</f>
        <v>23.1341260806353</v>
      </c>
      <c r="J169" s="41" t="n">
        <f aca="false">2/(p_MacdF+1)*E169+(1-2/(p_MacdF+1))*J168</f>
        <v>23.8727605713452</v>
      </c>
      <c r="K169" s="41" t="n">
        <f aca="false">2/(p_MacdS+1)*E169+(1-2/(p_MacdS+1))*K168</f>
        <v>23.1341260806353</v>
      </c>
      <c r="L169" s="41" t="n">
        <f aca="false">J169-K169</f>
        <v>0.738634490709966</v>
      </c>
      <c r="M169" s="41" t="n">
        <f aca="false">2/(p_MacdSig+1)*L169+(1-2/(p_MacdSig+1))*M168</f>
        <v>0.638137131764149</v>
      </c>
      <c r="N169" s="41" t="n">
        <f aca="false">L169-M169</f>
        <v>0.100497358945817</v>
      </c>
      <c r="O169" s="42" t="n">
        <f aca="false">IF(H169&gt;H168,1,0)</f>
        <v>1</v>
      </c>
      <c r="P169" s="42" t="n">
        <f aca="false">IF(H169&lt;H168,1,0)</f>
        <v>0</v>
      </c>
      <c r="Q169" s="42" t="n">
        <f aca="false">IF(N169&gt;N168,1,0)</f>
        <v>0</v>
      </c>
      <c r="R169" s="42" t="n">
        <f aca="false">IF(N169&lt;N168,1,0)</f>
        <v>1</v>
      </c>
      <c r="S169" s="42" t="n">
        <f aca="false">IF(AND(O169=1,Q169=1),1,IF(AND(P169=1,R169=1),-1,0))</f>
        <v>0</v>
      </c>
      <c r="T169" s="43" t="str">
        <f aca="false">IF(S169=1,"绿",IF(S169=-1,"红","蓝"))</f>
        <v>蓝</v>
      </c>
      <c r="U169" s="44" t="n">
        <f aca="false">F169*(E169-E168)</f>
        <v>-353006.999999999</v>
      </c>
      <c r="V169" s="44" t="n">
        <f aca="false">2/(p_FiS+1)*U169+(1-2/(p_FiS+1))*V168</f>
        <v>165314.71565389</v>
      </c>
      <c r="W169" s="44" t="n">
        <f aca="false">2/(p_FiL+1)*U169+(1-2/(p_FiL+1))*W168</f>
        <v>725981.370092822</v>
      </c>
      <c r="X169" s="41" t="n">
        <f aca="false">MAX(C169-D169,ABS(C169-E168),ABS(D169-E168))</f>
        <v>0.25</v>
      </c>
      <c r="Y169" s="41" t="n">
        <f aca="true">AVERAGE(OFFSET(X169,1-MIN(p_AtrN,ROW()-4),0,MIN(p_AtrN,ROW()-4),1))</f>
        <v>0.593846153846154</v>
      </c>
      <c r="Z169" s="41" t="n">
        <f aca="false">IF(AND(C169-C168&gt;D168-D169,C169-C168&gt;0),C169-C168,0)</f>
        <v>0</v>
      </c>
      <c r="AA169" s="41" t="n">
        <f aca="false">IF(AND(D168-D169&gt;C169-C168,D168-D169&gt;0),D168-D169,0)</f>
        <v>0</v>
      </c>
      <c r="AB169" s="41" t="n">
        <f aca="false">2/(p_AdxN+1)*X169+(1-2/(p_AdxN+1))*AB168</f>
        <v>0.607774979361965</v>
      </c>
      <c r="AC169" s="41" t="n">
        <f aca="false">2/(p_AdxN+1)*Z169+(1-2/(p_AdxN+1))*AC168</f>
        <v>0.164711910174165</v>
      </c>
      <c r="AD169" s="41" t="n">
        <f aca="false">2/(p_AdxN+1)*AA169+(1-2/(p_AdxN+1))*AD168</f>
        <v>0.0228125035662018</v>
      </c>
      <c r="AE169" s="45" t="n">
        <f aca="false">100*AC169/AB169</f>
        <v>27.1008047002985</v>
      </c>
      <c r="AF169" s="45" t="n">
        <f aca="false">100*AD169/AB169</f>
        <v>3.7534456568367</v>
      </c>
      <c r="AG169" s="45" t="n">
        <f aca="false">IFERROR(100*ABS(AE169-AF169)/(AE169+AF169),0)</f>
        <v>75.6698308116975</v>
      </c>
      <c r="AH169" s="45" t="n">
        <f aca="false">2/(p_AdxN+1)*AG169+(1-2/(p_AdxN+1))*AH168</f>
        <v>68.8255992004963</v>
      </c>
      <c r="AI169" s="40" t="n">
        <f aca="false">I169*(1+p_ChPct)</f>
        <v>24.5221736454734</v>
      </c>
      <c r="AJ169" s="40" t="n">
        <f aca="false">I169*(1-p_ChPct)</f>
        <v>21.7460785157971</v>
      </c>
      <c r="AK169" s="40" t="n">
        <f aca="false">I169+1*Y169</f>
        <v>23.7279722344814</v>
      </c>
      <c r="AL169" s="40" t="n">
        <f aca="false">I169+2*Y169</f>
        <v>24.3218183883276</v>
      </c>
      <c r="AM169" s="40" t="n">
        <f aca="false">I169+3*Y169</f>
        <v>24.9156645421737</v>
      </c>
      <c r="AN169" s="40" t="n">
        <f aca="false">I169-1*Y169</f>
        <v>22.5402799267891</v>
      </c>
      <c r="AO169" s="40" t="n">
        <f aca="false">I169-2*Y169</f>
        <v>21.946433772943</v>
      </c>
      <c r="AP169" s="40" t="n">
        <f aca="false">I169-3*Y169</f>
        <v>21.3525876190968</v>
      </c>
      <c r="AQ169" s="40" t="n">
        <f aca="true">MAX(OFFSET(C169,1-MIN(p_StochN,ROW()-4),0,MIN(p_StochN,ROW()-4),1))</f>
        <v>24.84</v>
      </c>
      <c r="AR169" s="40" t="n">
        <f aca="true">MIN(OFFSET(D169,1-MIN(p_StochN,ROW()-4),0,MIN(p_StochN,ROW()-4),1))</f>
        <v>23.08</v>
      </c>
      <c r="AS169" s="45" t="n">
        <f aca="false">IF(AQ169=AR169,50,100*(E169-AR169)/(AQ169-AR169))</f>
        <v>89.7727272727273</v>
      </c>
      <c r="AT169" s="45" t="n">
        <f aca="true">AVERAGE(OFFSET(AS169,1-MIN(p_StochSm,ROW()-4),0,MIN(p_StochSm,ROW()-4),1))</f>
        <v>91.6666666666667</v>
      </c>
      <c r="AU169" s="45" t="n">
        <f aca="true">AVERAGE(OFFSET(AT169,1-MIN(p_StochSm,ROW()-4),0,MIN(p_StochSm,ROW()-4),1))</f>
        <v>85.2411409173705</v>
      </c>
      <c r="AV169" s="41" t="n">
        <f aca="false">MAX(0,H169-D169)</f>
        <v>0</v>
      </c>
      <c r="AW169" s="41" t="n">
        <f aca="true">IF(COUNTIF(OFFSET(AV169,1-MIN(p_PenLb,ROW()-4),0,MIN(p_PenLb,ROW()-4),1),"&gt;0")&gt;0,SUM(OFFSET(AV169,1-MIN(p_PenLb,ROW()-4),0,MIN(p_PenLb,ROW()-4),1))/COUNTIF(OFFSET(AV169,1-MIN(p_PenLb,ROW()-4),0,MIN(p_PenLb,ROW()-4),1),"&gt;0"),0.5*Y169)</f>
        <v>0.180025635559352</v>
      </c>
      <c r="AX169" s="41" t="n">
        <f aca="false">2*H169-H168</f>
        <v>23.9508024961421</v>
      </c>
      <c r="AY169" s="40" t="n">
        <f aca="false">ROUND(MAX(AX169-AW169,0.01),2)</f>
        <v>23.77</v>
      </c>
      <c r="AZ169" s="40" t="n">
        <f aca="true">IF(MIN(p_StopLb,ROW()-4)&lt;2,D169,SMALL(OFFSET(D169,1-MIN(p_StopLb,ROW()-4),0,MIN(p_StopLb,ROW()-4),1),2))</f>
        <v>22.95</v>
      </c>
      <c r="BA169" s="40" t="n">
        <f aca="false">IF(MOD(ROUND(ROUNDDOWN(MIN(AZ169-0.01,AY169-p_StopAtr*Y169),2)*100,0),50)=0,ROUNDDOWN(MIN(AZ169-0.01,AY169-p_StopAtr*Y169),2)-0.01,ROUNDDOWN(MIN(AZ169-0.01,AY169-p_StopAtr*Y169),2))</f>
        <v>22.94</v>
      </c>
      <c r="BB169" s="40" t="n">
        <f aca="false">ROUND(AI169,2)</f>
        <v>24.52</v>
      </c>
      <c r="BC169" s="40" t="n">
        <f aca="false">IF(AY169-BA169&gt;0,(BB169-AY169)/(AY169-BA169),0)</f>
        <v>0.903614457831327</v>
      </c>
      <c r="BD169" s="42" t="n">
        <f aca="false">IF(N169&lt;0,1,0)</f>
        <v>0</v>
      </c>
      <c r="BE169" s="41" t="n">
        <f aca="false">IF(AND(BD169=1,BD168=0),N169,IF(BD169=1,MIN(BE168,N169),BE168))</f>
        <v>-0.0583119972977335</v>
      </c>
      <c r="BF169" s="40" t="n">
        <f aca="false">IF(AND(BD169=1,BD168=0),D169,IF(BD169=1,MIN(BF168,D169),BF168))</f>
        <v>19.27</v>
      </c>
      <c r="BG169" s="42" t="n">
        <f aca="false">IF(AND(BD169=1,BD168=0),ROW(),IF(BD169=1,IF(N169&lt;BE168,ROW(),BG168),BG168))</f>
        <v>124</v>
      </c>
      <c r="BH169" s="41" t="n">
        <f aca="false">IF(AND(BD169=1,BD168=0),BE168,BH168)</f>
        <v>-0.392824838841331</v>
      </c>
      <c r="BI169" s="40" t="n">
        <f aca="false">IF(AND(BD169=1,BD168=0),BF168,BI168)</f>
        <v>20.27</v>
      </c>
      <c r="BJ169" s="42" t="n">
        <f aca="false">IF(AND(BD169=1,BD168=0),BG168,BJ168)</f>
        <v>98</v>
      </c>
      <c r="BK169" s="42" t="n">
        <f aca="false">IF(AND(ISNUMBER(BG169),ISNUMBER(BJ169)),BG169-BJ169,"")</f>
        <v>26</v>
      </c>
      <c r="BL169" s="42" t="n">
        <f aca="false">IF(AND(BD169=1,N169&gt;N168,ISNUMBER(BH169),ISNUMBER(BK169)),IF(AND(BE169&gt;BH169,BF169&lt;BI169,BK169&gt;=p_GapMin,BK169&lt;=p_GapMax),1,0),0)</f>
        <v>0</v>
      </c>
      <c r="BM169" s="42" t="n">
        <f aca="false">IF(AND(BL169=1,E169&gt;BI169),1,0)</f>
        <v>0</v>
      </c>
      <c r="BN169" s="42" t="n">
        <f aca="false">IF(BL169=1,IF(BE169&gt;=BH169*0.5,1,0),0)</f>
        <v>0</v>
      </c>
      <c r="BO169" s="42" t="n">
        <f aca="true">IF(V169&gt;MIN(OFFSET(V169,-MIN(p_FiLb-1,ROW()-5),0,MIN(p_FiLb-1,ROW()-5),1)),1,0)</f>
        <v>1</v>
      </c>
      <c r="BP169" s="44" t="n">
        <f aca="true">IF(COUNTIF(OFFSET(V169,1-MIN(100,ROW()-4),0,MIN(100,ROW()-4),1),"&lt;0")&gt;=5,AVERAGEIF(OFFSET(V169,1-MIN(100,ROW()-4),0,MIN(100,ROW()-4),1),"&lt;0"),"")</f>
        <v>-990692.577771278</v>
      </c>
      <c r="BQ169" s="42" t="n">
        <f aca="false">IF(ISNUMBER(BP169),IF(AND(V169&lt;5*BP169,V169&gt;V168,E169&lt;AJ169),1,0),0)</f>
        <v>0</v>
      </c>
      <c r="BR169" s="44" t="n">
        <f aca="true">AVERAGE(OFFSET(F169,1-MIN(5,ROW()-4),0,MIN(5,ROW()-4),1))</f>
        <v>5138420</v>
      </c>
      <c r="BS169" s="42" t="n">
        <f aca="false">IFERROR(IF(MATCH(G169,周线!$A$5:$A$84,0)&lt;=1,"",INDEX(周线!$R$5:$R$84,MATCH(G169,周线!$A$5:$A$84,0)-1)),"")</f>
        <v>1</v>
      </c>
      <c r="BT169" s="42" t="n">
        <f aca="false">IFERROR(IF(MATCH(G169,周线!$A$5:$A$84,0)&lt;=1,"",INDEX(周线!$S$5:$S$84,MATCH(G169,周线!$A$5:$A$84,0)-1)),"")</f>
        <v>1</v>
      </c>
      <c r="BU169" s="42" t="n">
        <f aca="false">IFERROR(IF(MATCH(G169,周线!$A$5:$A$84,0)&lt;=1,"",INDEX(周线!$U$5:$U$84,MATCH(G169,周线!$A$5:$A$84,0)-1)),"")</f>
        <v>1</v>
      </c>
      <c r="BV169" s="42" t="n">
        <f aca="false">IF(AND(BS169=1,S169&lt;&gt;-1,V169&lt;0,BO169=1,E169&lt;=H169,E169&gt;=AJ169),1,0)</f>
        <v>0</v>
      </c>
      <c r="BW169" s="42" t="n">
        <f aca="false">BL169</f>
        <v>0</v>
      </c>
      <c r="BX169" s="42" t="n">
        <f aca="false">BQ169</f>
        <v>0</v>
      </c>
      <c r="BY169" s="42" t="n">
        <f aca="false">IF(BS169=1,10,0)+IF(BU169=1,5,IF(BU169=-1,0,3))+IF(BT169=1,5,0)+IF(AND(AE169&gt;AF169,AH169&gt;AH168),5,0)</f>
        <v>25</v>
      </c>
      <c r="BZ169" s="42" t="n">
        <f aca="false">IF(AND(E169&lt;=H169,E169&gt;=I169),10,IF(AND(E169&gt;=AJ169,E169&lt;I169),6,0))+IF(AND(V169&lt;0,BO169=1),8,0)+IF(AT169&lt;30,7,IF(AT169&lt;50,3,0))</f>
        <v>0</v>
      </c>
      <c r="CA169" s="42" t="n">
        <f aca="false">IF(AND(BV169=1,BW169=1),25,IF(BW169=1,22,IF(BV169=1,15,IF(BX169=1,12,0))))</f>
        <v>0</v>
      </c>
      <c r="CB169" s="42" t="n">
        <f aca="false">IF(W169&gt;0,6,0)+IF(F169&lt;BR169,4,0)</f>
        <v>10</v>
      </c>
      <c r="CC169" s="42" t="n">
        <f aca="false">IF(BC169&gt;=3,15,IF(BC169&gt;=p_RRmin,10,IF(BC169&gt;=1.5,4,0)))</f>
        <v>0</v>
      </c>
      <c r="CD169" s="42" t="n">
        <f aca="false">BY169+BZ169+CA169+CB169+CC169</f>
        <v>35</v>
      </c>
      <c r="CE169" s="42" t="n">
        <f aca="false">IF(AND(BS169&lt;&gt;1,BW169+BX169=0),1,0)</f>
        <v>0</v>
      </c>
      <c r="CF169" s="42" t="n">
        <f aca="false">IF(BU169=-1,1,0)</f>
        <v>0</v>
      </c>
      <c r="CG169" s="42" t="n">
        <f aca="false">IF(S169=-1,1,0)</f>
        <v>0</v>
      </c>
      <c r="CH169" s="42" t="n">
        <f aca="false">IF(BV169+BW169+BX169=0,1,0)</f>
        <v>1</v>
      </c>
      <c r="CI169" s="42" t="n">
        <f aca="false">IF(BC169&lt;p_RRmin,1,0)</f>
        <v>1</v>
      </c>
      <c r="CJ169" s="46" t="str">
        <f aca="false">IF(SUM(CE169:CI169)=0,IF(CD169&gt;=p_GradeA,"A",IF(CD169&gt;=p_GradeB,"B","C")),IF(AND(CI169=1,SUM(CE169:CH169)=0,CD169&gt;=p_GradeB),"B","C"))</f>
        <v>C</v>
      </c>
    </row>
    <row r="170" customFormat="false" ht="15" hidden="false" customHeight="false" outlineLevel="0" collapsed="false">
      <c r="A170" s="36" t="n">
        <v>45890</v>
      </c>
      <c r="B170" s="37" t="n">
        <v>24.54</v>
      </c>
      <c r="C170" s="37" t="n">
        <v>24.8</v>
      </c>
      <c r="D170" s="37" t="n">
        <v>24.43</v>
      </c>
      <c r="E170" s="37" t="n">
        <v>24.7</v>
      </c>
      <c r="F170" s="38" t="n">
        <v>4060600</v>
      </c>
      <c r="G170" s="39" t="n">
        <f aca="false">A170-WEEKDAY(A170,3)</f>
        <v>45887</v>
      </c>
      <c r="H170" s="40" t="n">
        <f aca="false">2/(p_EmaF+1)*E170+(1-2/(p_EmaF+1))*H169</f>
        <v>23.9362539960319</v>
      </c>
      <c r="I170" s="40" t="n">
        <f aca="false">2/(p_EmaS+1)*E170+(1-2/(p_EmaS+1))*I169</f>
        <v>23.2501167413289</v>
      </c>
      <c r="J170" s="41" t="n">
        <f aca="false">2/(p_MacdF+1)*E170+(1-2/(p_MacdF+1))*J169</f>
        <v>24.0000281757537</v>
      </c>
      <c r="K170" s="41" t="n">
        <f aca="false">2/(p_MacdS+1)*E170+(1-2/(p_MacdS+1))*K169</f>
        <v>23.2501167413289</v>
      </c>
      <c r="L170" s="41" t="n">
        <f aca="false">J170-K170</f>
        <v>0.74991143442471</v>
      </c>
      <c r="M170" s="41" t="n">
        <f aca="false">2/(p_MacdSig+1)*L170+(1-2/(p_MacdSig+1))*M169</f>
        <v>0.660491992296262</v>
      </c>
      <c r="N170" s="41" t="n">
        <f aca="false">L170-M170</f>
        <v>0.0894194421284489</v>
      </c>
      <c r="O170" s="42" t="n">
        <f aca="false">IF(H170&gt;H169,1,0)</f>
        <v>1</v>
      </c>
      <c r="P170" s="42" t="n">
        <f aca="false">IF(H170&lt;H169,1,0)</f>
        <v>0</v>
      </c>
      <c r="Q170" s="42" t="n">
        <f aca="false">IF(N170&gt;N169,1,0)</f>
        <v>0</v>
      </c>
      <c r="R170" s="42" t="n">
        <f aca="false">IF(N170&lt;N169,1,0)</f>
        <v>1</v>
      </c>
      <c r="S170" s="42" t="n">
        <f aca="false">IF(AND(O170=1,Q170=1),1,IF(AND(P170=1,R170=1),-1,0))</f>
        <v>0</v>
      </c>
      <c r="T170" s="43" t="str">
        <f aca="false">IF(S170=1,"绿",IF(S170=-1,"红","蓝"))</f>
        <v>蓝</v>
      </c>
      <c r="U170" s="44" t="n">
        <f aca="false">F170*(E170-E169)</f>
        <v>162423.999999997</v>
      </c>
      <c r="V170" s="44" t="n">
        <f aca="false">2/(p_FiS+1)*U170+(1-2/(p_FiS+1))*V169</f>
        <v>163387.571884628</v>
      </c>
      <c r="W170" s="44" t="n">
        <f aca="false">2/(p_FiL+1)*U170+(1-2/(p_FiL+1))*W169</f>
        <v>645473.174365275</v>
      </c>
      <c r="X170" s="41" t="n">
        <f aca="false">MAX(C170-D170,ABS(C170-E169),ABS(D170-E169))</f>
        <v>0.370000000000001</v>
      </c>
      <c r="Y170" s="41" t="n">
        <f aca="true">AVERAGE(OFFSET(X170,1-MIN(p_AtrN,ROW()-4),0,MIN(p_AtrN,ROW()-4),1))</f>
        <v>0.583076923076923</v>
      </c>
      <c r="Z170" s="41" t="n">
        <f aca="false">IF(AND(C170-C169&gt;D169-D170,C170-C169&gt;0),C170-C169,0)</f>
        <v>0</v>
      </c>
      <c r="AA170" s="41" t="n">
        <f aca="false">IF(AND(D169-D170&gt;C170-C169,D169-D170&gt;0),D169-D170,0)</f>
        <v>0.0899999999999999</v>
      </c>
      <c r="AB170" s="41" t="n">
        <f aca="false">2/(p_AdxN+1)*X170+(1-2/(p_AdxN+1))*AB169</f>
        <v>0.573807125167399</v>
      </c>
      <c r="AC170" s="41" t="n">
        <f aca="false">2/(p_AdxN+1)*Z170+(1-2/(p_AdxN+1))*AC169</f>
        <v>0.141181637292142</v>
      </c>
      <c r="AD170" s="41" t="n">
        <f aca="false">2/(p_AdxN+1)*AA170+(1-2/(p_AdxN+1))*AD169</f>
        <v>0.0324107173424587</v>
      </c>
      <c r="AE170" s="45" t="n">
        <f aca="false">100*AC170/AB170</f>
        <v>24.6043715910559</v>
      </c>
      <c r="AF170" s="45" t="n">
        <f aca="false">100*AD170/AB170</f>
        <v>5.64836439300112</v>
      </c>
      <c r="AG170" s="45" t="n">
        <f aca="false">IFERROR(100*ABS(AE170-AF170)/(AE170+AF170),0)</f>
        <v>62.6588193809791</v>
      </c>
      <c r="AH170" s="45" t="n">
        <f aca="false">2/(p_AdxN+1)*AG170+(1-2/(p_AdxN+1))*AH169</f>
        <v>67.944630654851</v>
      </c>
      <c r="AI170" s="40" t="n">
        <f aca="false">I170*(1+p_ChPct)</f>
        <v>24.6451237458087</v>
      </c>
      <c r="AJ170" s="40" t="n">
        <f aca="false">I170*(1-p_ChPct)</f>
        <v>21.8551097368492</v>
      </c>
      <c r="AK170" s="40" t="n">
        <f aca="false">I170+1*Y170</f>
        <v>23.8331936644059</v>
      </c>
      <c r="AL170" s="40" t="n">
        <f aca="false">I170+2*Y170</f>
        <v>24.4162705874828</v>
      </c>
      <c r="AM170" s="40" t="n">
        <f aca="false">I170+3*Y170</f>
        <v>24.9993475105597</v>
      </c>
      <c r="AN170" s="40" t="n">
        <f aca="false">I170-1*Y170</f>
        <v>22.667039818252</v>
      </c>
      <c r="AO170" s="40" t="n">
        <f aca="false">I170-2*Y170</f>
        <v>22.0839628951751</v>
      </c>
      <c r="AP170" s="40" t="n">
        <f aca="false">I170-3*Y170</f>
        <v>21.5008859720982</v>
      </c>
      <c r="AQ170" s="40" t="n">
        <f aca="true">MAX(OFFSET(C170,1-MIN(p_StochN,ROW()-4),0,MIN(p_StochN,ROW()-4),1))</f>
        <v>24.84</v>
      </c>
      <c r="AR170" s="40" t="n">
        <f aca="true">MIN(OFFSET(D170,1-MIN(p_StochN,ROW()-4),0,MIN(p_StochN,ROW()-4),1))</f>
        <v>23.08</v>
      </c>
      <c r="AS170" s="45" t="n">
        <f aca="false">IF(AQ170=AR170,50,100*(E170-AR170)/(AQ170-AR170))</f>
        <v>92.0454545454545</v>
      </c>
      <c r="AT170" s="45" t="n">
        <f aca="true">AVERAGE(OFFSET(AS170,1-MIN(p_StochSm,ROW()-4),0,MIN(p_StochSm,ROW()-4),1))</f>
        <v>92.2348484848485</v>
      </c>
      <c r="AU170" s="45" t="n">
        <f aca="true">AVERAGE(OFFSET(AT170,1-MIN(p_StochSm,ROW()-4),0,MIN(p_StochSm,ROW()-4),1))</f>
        <v>92.1843434343435</v>
      </c>
      <c r="AV170" s="41" t="n">
        <f aca="false">MAX(0,H170-D170)</f>
        <v>0</v>
      </c>
      <c r="AW170" s="41" t="n">
        <f aca="true">IF(COUNTIF(OFFSET(AV170,1-MIN(p_PenLb,ROW()-4),0,MIN(p_PenLb,ROW()-4),1),"&gt;0")&gt;0,SUM(OFFSET(AV170,1-MIN(p_PenLb,ROW()-4),0,MIN(p_PenLb,ROW()-4),1))/COUNTIF(OFFSET(AV170,1-MIN(p_PenLb,ROW()-4),0,MIN(p_PenLb,ROW()-4),1),"&gt;0"),0.5*Y170)</f>
        <v>0.180025635559352</v>
      </c>
      <c r="AX170" s="41" t="n">
        <f aca="false">2*H170-H169</f>
        <v>24.0635449966932</v>
      </c>
      <c r="AY170" s="40" t="n">
        <f aca="false">ROUND(MAX(AX170-AW170,0.01),2)</f>
        <v>23.88</v>
      </c>
      <c r="AZ170" s="40" t="n">
        <f aca="true">IF(MIN(p_StopLb,ROW()-4)&lt;2,D170,SMALL(OFFSET(D170,1-MIN(p_StopLb,ROW()-4),0,MIN(p_StopLb,ROW()-4),1),2))</f>
        <v>23.08</v>
      </c>
      <c r="BA170" s="40" t="n">
        <f aca="false">IF(MOD(ROUND(ROUNDDOWN(MIN(AZ170-0.01,AY170-p_StopAtr*Y170),2)*100,0),50)=0,ROUNDDOWN(MIN(AZ170-0.01,AY170-p_StopAtr*Y170),2)-0.01,ROUNDDOWN(MIN(AZ170-0.01,AY170-p_StopAtr*Y170),2))</f>
        <v>23.07</v>
      </c>
      <c r="BB170" s="40" t="n">
        <f aca="false">ROUND(AI170,2)</f>
        <v>24.65</v>
      </c>
      <c r="BC170" s="40" t="n">
        <f aca="false">IF(AY170-BA170&gt;0,(BB170-AY170)/(AY170-BA170),0)</f>
        <v>0.950617283950618</v>
      </c>
      <c r="BD170" s="42" t="n">
        <f aca="false">IF(N170&lt;0,1,0)</f>
        <v>0</v>
      </c>
      <c r="BE170" s="41" t="n">
        <f aca="false">IF(AND(BD170=1,BD169=0),N170,IF(BD170=1,MIN(BE169,N170),BE169))</f>
        <v>-0.0583119972977335</v>
      </c>
      <c r="BF170" s="40" t="n">
        <f aca="false">IF(AND(BD170=1,BD169=0),D170,IF(BD170=1,MIN(BF169,D170),BF169))</f>
        <v>19.27</v>
      </c>
      <c r="BG170" s="42" t="n">
        <f aca="false">IF(AND(BD170=1,BD169=0),ROW(),IF(BD170=1,IF(N170&lt;BE169,ROW(),BG169),BG169))</f>
        <v>124</v>
      </c>
      <c r="BH170" s="41" t="n">
        <f aca="false">IF(AND(BD170=1,BD169=0),BE169,BH169)</f>
        <v>-0.392824838841331</v>
      </c>
      <c r="BI170" s="40" t="n">
        <f aca="false">IF(AND(BD170=1,BD169=0),BF169,BI169)</f>
        <v>20.27</v>
      </c>
      <c r="BJ170" s="42" t="n">
        <f aca="false">IF(AND(BD170=1,BD169=0),BG169,BJ169)</f>
        <v>98</v>
      </c>
      <c r="BK170" s="42" t="n">
        <f aca="false">IF(AND(ISNUMBER(BG170),ISNUMBER(BJ170)),BG170-BJ170,"")</f>
        <v>26</v>
      </c>
      <c r="BL170" s="42" t="n">
        <f aca="false">IF(AND(BD170=1,N170&gt;N169,ISNUMBER(BH170),ISNUMBER(BK170)),IF(AND(BE170&gt;BH170,BF170&lt;BI170,BK170&gt;=p_GapMin,BK170&lt;=p_GapMax),1,0),0)</f>
        <v>0</v>
      </c>
      <c r="BM170" s="42" t="n">
        <f aca="false">IF(AND(BL170=1,E170&gt;BI170),1,0)</f>
        <v>0</v>
      </c>
      <c r="BN170" s="42" t="n">
        <f aca="false">IF(BL170=1,IF(BE170&gt;=BH170*0.5,1,0),0)</f>
        <v>0</v>
      </c>
      <c r="BO170" s="42" t="n">
        <f aca="true">IF(V170&gt;MIN(OFFSET(V170,-MIN(p_FiLb-1,ROW()-5),0,MIN(p_FiLb-1,ROW()-5),1)),1,0)</f>
        <v>1</v>
      </c>
      <c r="BP170" s="44" t="n">
        <f aca="true">IF(COUNTIF(OFFSET(V170,1-MIN(100,ROW()-4),0,MIN(100,ROW()-4),1),"&lt;0")&gt;=5,AVERAGEIF(OFFSET(V170,1-MIN(100,ROW()-4),0,MIN(100,ROW()-4),1),"&lt;0"),"")</f>
        <v>-990692.577771278</v>
      </c>
      <c r="BQ170" s="42" t="n">
        <f aca="false">IF(ISNUMBER(BP170),IF(AND(V170&lt;5*BP170,V170&gt;V169,E170&lt;AJ170),1,0),0)</f>
        <v>0</v>
      </c>
      <c r="BR170" s="44" t="n">
        <f aca="true">AVERAGE(OFFSET(F170,1-MIN(5,ROW()-4),0,MIN(5,ROW()-4),1))</f>
        <v>4655520</v>
      </c>
      <c r="BS170" s="42" t="n">
        <f aca="false">IFERROR(IF(MATCH(G170,周线!$A$5:$A$84,0)&lt;=1,"",INDEX(周线!$R$5:$R$84,MATCH(G170,周线!$A$5:$A$84,0)-1)),"")</f>
        <v>1</v>
      </c>
      <c r="BT170" s="42" t="n">
        <f aca="false">IFERROR(IF(MATCH(G170,周线!$A$5:$A$84,0)&lt;=1,"",INDEX(周线!$S$5:$S$84,MATCH(G170,周线!$A$5:$A$84,0)-1)),"")</f>
        <v>1</v>
      </c>
      <c r="BU170" s="42" t="n">
        <f aca="false">IFERROR(IF(MATCH(G170,周线!$A$5:$A$84,0)&lt;=1,"",INDEX(周线!$U$5:$U$84,MATCH(G170,周线!$A$5:$A$84,0)-1)),"")</f>
        <v>1</v>
      </c>
      <c r="BV170" s="42" t="n">
        <f aca="false">IF(AND(BS170=1,S170&lt;&gt;-1,V170&lt;0,BO170=1,E170&lt;=H170,E170&gt;=AJ170),1,0)</f>
        <v>0</v>
      </c>
      <c r="BW170" s="42" t="n">
        <f aca="false">BL170</f>
        <v>0</v>
      </c>
      <c r="BX170" s="42" t="n">
        <f aca="false">BQ170</f>
        <v>0</v>
      </c>
      <c r="BY170" s="42" t="n">
        <f aca="false">IF(BS170=1,10,0)+IF(BU170=1,5,IF(BU170=-1,0,3))+IF(BT170=1,5,0)+IF(AND(AE170&gt;AF170,AH170&gt;AH169),5,0)</f>
        <v>20</v>
      </c>
      <c r="BZ170" s="42" t="n">
        <f aca="false">IF(AND(E170&lt;=H170,E170&gt;=I170),10,IF(AND(E170&gt;=AJ170,E170&lt;I170),6,0))+IF(AND(V170&lt;0,BO170=1),8,0)+IF(AT170&lt;30,7,IF(AT170&lt;50,3,0))</f>
        <v>0</v>
      </c>
      <c r="CA170" s="42" t="n">
        <f aca="false">IF(AND(BV170=1,BW170=1),25,IF(BW170=1,22,IF(BV170=1,15,IF(BX170=1,12,0))))</f>
        <v>0</v>
      </c>
      <c r="CB170" s="42" t="n">
        <f aca="false">IF(W170&gt;0,6,0)+IF(F170&lt;BR170,4,0)</f>
        <v>10</v>
      </c>
      <c r="CC170" s="42" t="n">
        <f aca="false">IF(BC170&gt;=3,15,IF(BC170&gt;=p_RRmin,10,IF(BC170&gt;=1.5,4,0)))</f>
        <v>0</v>
      </c>
      <c r="CD170" s="42" t="n">
        <f aca="false">BY170+BZ170+CA170+CB170+CC170</f>
        <v>30</v>
      </c>
      <c r="CE170" s="42" t="n">
        <f aca="false">IF(AND(BS170&lt;&gt;1,BW170+BX170=0),1,0)</f>
        <v>0</v>
      </c>
      <c r="CF170" s="42" t="n">
        <f aca="false">IF(BU170=-1,1,0)</f>
        <v>0</v>
      </c>
      <c r="CG170" s="42" t="n">
        <f aca="false">IF(S170=-1,1,0)</f>
        <v>0</v>
      </c>
      <c r="CH170" s="42" t="n">
        <f aca="false">IF(BV170+BW170+BX170=0,1,0)</f>
        <v>1</v>
      </c>
      <c r="CI170" s="42" t="n">
        <f aca="false">IF(BC170&lt;p_RRmin,1,0)</f>
        <v>1</v>
      </c>
      <c r="CJ170" s="46" t="str">
        <f aca="false">IF(SUM(CE170:CI170)=0,IF(CD170&gt;=p_GradeA,"A",IF(CD170&gt;=p_GradeB,"B","C")),IF(AND(CI170=1,SUM(CE170:CH170)=0,CD170&gt;=p_GradeB),"B","C"))</f>
        <v>C</v>
      </c>
    </row>
    <row r="171" customFormat="false" ht="15" hidden="false" customHeight="false" outlineLevel="0" collapsed="false">
      <c r="A171" s="36" t="n">
        <v>45891</v>
      </c>
      <c r="B171" s="37" t="n">
        <v>24.9</v>
      </c>
      <c r="C171" s="37" t="n">
        <v>24.98</v>
      </c>
      <c r="D171" s="37" t="n">
        <v>24.71</v>
      </c>
      <c r="E171" s="37" t="n">
        <v>24.84</v>
      </c>
      <c r="F171" s="38" t="n">
        <v>3855700</v>
      </c>
      <c r="G171" s="39" t="n">
        <f aca="false">A171-WEEKDAY(A171,3)</f>
        <v>45887</v>
      </c>
      <c r="H171" s="40" t="n">
        <f aca="false">2/(p_EmaF+1)*E171+(1-2/(p_EmaF+1))*H170</f>
        <v>24.0653605680273</v>
      </c>
      <c r="I171" s="40" t="n">
        <f aca="false">2/(p_EmaS+1)*E171+(1-2/(p_EmaS+1))*I170</f>
        <v>23.3678858716009</v>
      </c>
      <c r="J171" s="41" t="n">
        <f aca="false">2/(p_MacdF+1)*E171+(1-2/(p_MacdF+1))*J170</f>
        <v>24.1292546102531</v>
      </c>
      <c r="K171" s="41" t="n">
        <f aca="false">2/(p_MacdS+1)*E171+(1-2/(p_MacdS+1))*K170</f>
        <v>23.3678858716009</v>
      </c>
      <c r="L171" s="41" t="n">
        <f aca="false">J171-K171</f>
        <v>0.761368738652219</v>
      </c>
      <c r="M171" s="41" t="n">
        <f aca="false">2/(p_MacdSig+1)*L171+(1-2/(p_MacdSig+1))*M170</f>
        <v>0.680667341567453</v>
      </c>
      <c r="N171" s="41" t="n">
        <f aca="false">L171-M171</f>
        <v>0.0807013970847663</v>
      </c>
      <c r="O171" s="42" t="n">
        <f aca="false">IF(H171&gt;H170,1,0)</f>
        <v>1</v>
      </c>
      <c r="P171" s="42" t="n">
        <f aca="false">IF(H171&lt;H170,1,0)</f>
        <v>0</v>
      </c>
      <c r="Q171" s="42" t="n">
        <f aca="false">IF(N171&gt;N170,1,0)</f>
        <v>0</v>
      </c>
      <c r="R171" s="42" t="n">
        <f aca="false">IF(N171&lt;N170,1,0)</f>
        <v>1</v>
      </c>
      <c r="S171" s="42" t="n">
        <f aca="false">IF(AND(O171=1,Q171=1),1,IF(AND(P171=1,R171=1),-1,0))</f>
        <v>0</v>
      </c>
      <c r="T171" s="43" t="str">
        <f aca="false">IF(S171=1,"绿",IF(S171=-1,"红","蓝"))</f>
        <v>蓝</v>
      </c>
      <c r="U171" s="44" t="n">
        <f aca="false">F171*(E171-E170)</f>
        <v>539798.000000002</v>
      </c>
      <c r="V171" s="44" t="n">
        <f aca="false">2/(p_FiS+1)*U171+(1-2/(p_FiS+1))*V170</f>
        <v>414327.857294877</v>
      </c>
      <c r="W171" s="44" t="n">
        <f aca="false">2/(p_FiL+1)*U171+(1-2/(p_FiL+1))*W170</f>
        <v>630376.720884522</v>
      </c>
      <c r="X171" s="41" t="n">
        <f aca="false">MAX(C171-D171,ABS(C171-E170),ABS(D171-E170))</f>
        <v>0.280000000000001</v>
      </c>
      <c r="Y171" s="41" t="n">
        <f aca="true">AVERAGE(OFFSET(X171,1-MIN(p_AtrN,ROW()-4),0,MIN(p_AtrN,ROW()-4),1))</f>
        <v>0.58</v>
      </c>
      <c r="Z171" s="41" t="n">
        <f aca="false">IF(AND(C171-C170&gt;D170-D171,C171-C170&gt;0),C171-C170,0)</f>
        <v>0.18</v>
      </c>
      <c r="AA171" s="41" t="n">
        <f aca="false">IF(AND(D170-D171&gt;C171-C170,D170-D171&gt;0),D170-D171,0)</f>
        <v>0</v>
      </c>
      <c r="AB171" s="41" t="n">
        <f aca="false">2/(p_AdxN+1)*X171+(1-2/(p_AdxN+1))*AB170</f>
        <v>0.531834678714913</v>
      </c>
      <c r="AC171" s="41" t="n">
        <f aca="false">2/(p_AdxN+1)*Z171+(1-2/(p_AdxN+1))*AC170</f>
        <v>0.146727117678979</v>
      </c>
      <c r="AD171" s="41" t="n">
        <f aca="false">2/(p_AdxN+1)*AA171+(1-2/(p_AdxN+1))*AD170</f>
        <v>0.0277806148649646</v>
      </c>
      <c r="AE171" s="45" t="n">
        <f aca="false">100*AC171/AB171</f>
        <v>27.5888586343259</v>
      </c>
      <c r="AF171" s="45" t="n">
        <f aca="false">100*AD171/AB171</f>
        <v>5.22354332592445</v>
      </c>
      <c r="AG171" s="45" t="n">
        <f aca="false">IFERROR(100*ABS(AE171-AF171)/(AE171+AF171),0)</f>
        <v>68.16116459714</v>
      </c>
      <c r="AH171" s="45" t="n">
        <f aca="false">2/(p_AdxN+1)*AG171+(1-2/(p_AdxN+1))*AH170</f>
        <v>67.975564075178</v>
      </c>
      <c r="AI171" s="40" t="n">
        <f aca="false">I171*(1+p_ChPct)</f>
        <v>24.7699590238969</v>
      </c>
      <c r="AJ171" s="40" t="n">
        <f aca="false">I171*(1-p_ChPct)</f>
        <v>21.9658127193048</v>
      </c>
      <c r="AK171" s="40" t="n">
        <f aca="false">I171+1*Y171</f>
        <v>23.9478858716009</v>
      </c>
      <c r="AL171" s="40" t="n">
        <f aca="false">I171+2*Y171</f>
        <v>24.5278858716009</v>
      </c>
      <c r="AM171" s="40" t="n">
        <f aca="false">I171+3*Y171</f>
        <v>25.1078858716009</v>
      </c>
      <c r="AN171" s="40" t="n">
        <f aca="false">I171-1*Y171</f>
        <v>22.7878858716009</v>
      </c>
      <c r="AO171" s="40" t="n">
        <f aca="false">I171-2*Y171</f>
        <v>22.2078858716009</v>
      </c>
      <c r="AP171" s="40" t="n">
        <f aca="false">I171-3*Y171</f>
        <v>21.6278858716009</v>
      </c>
      <c r="AQ171" s="40" t="n">
        <f aca="true">MAX(OFFSET(C171,1-MIN(p_StochN,ROW()-4),0,MIN(p_StochN,ROW()-4),1))</f>
        <v>24.98</v>
      </c>
      <c r="AR171" s="40" t="n">
        <f aca="true">MIN(OFFSET(D171,1-MIN(p_StochN,ROW()-4),0,MIN(p_StochN,ROW()-4),1))</f>
        <v>23.86</v>
      </c>
      <c r="AS171" s="45" t="n">
        <f aca="false">IF(AQ171=AR171,50,100*(E171-AR171)/(AQ171-AR171))</f>
        <v>87.5</v>
      </c>
      <c r="AT171" s="45" t="n">
        <f aca="true">AVERAGE(OFFSET(AS171,1-MIN(p_StochSm,ROW()-4),0,MIN(p_StochSm,ROW()-4),1))</f>
        <v>89.7727272727273</v>
      </c>
      <c r="AU171" s="45" t="n">
        <f aca="true">AVERAGE(OFFSET(AT171,1-MIN(p_StochSm,ROW()-4),0,MIN(p_StochSm,ROW()-4),1))</f>
        <v>91.2247474747475</v>
      </c>
      <c r="AV171" s="41" t="n">
        <f aca="false">MAX(0,H171-D171)</f>
        <v>0</v>
      </c>
      <c r="AW171" s="41" t="n">
        <f aca="true">IF(COUNTIF(OFFSET(AV171,1-MIN(p_PenLb,ROW()-4),0,MIN(p_PenLb,ROW()-4),1),"&gt;0")&gt;0,SUM(OFFSET(AV171,1-MIN(p_PenLb,ROW()-4),0,MIN(p_PenLb,ROW()-4),1))/COUNTIF(OFFSET(AV171,1-MIN(p_PenLb,ROW()-4),0,MIN(p_PenLb,ROW()-4),1),"&gt;0"),0.5*Y171)</f>
        <v>0.180025635559352</v>
      </c>
      <c r="AX171" s="41" t="n">
        <f aca="false">2*H171-H170</f>
        <v>24.1944671400228</v>
      </c>
      <c r="AY171" s="40" t="n">
        <f aca="false">ROUND(MAX(AX171-AW171,0.01),2)</f>
        <v>24.01</v>
      </c>
      <c r="AZ171" s="40" t="n">
        <f aca="true">IF(MIN(p_StopLb,ROW()-4)&lt;2,D171,SMALL(OFFSET(D171,1-MIN(p_StopLb,ROW()-4),0,MIN(p_StopLb,ROW()-4),1),2))</f>
        <v>23.18</v>
      </c>
      <c r="BA171" s="40" t="n">
        <f aca="false">IF(MOD(ROUND(ROUNDDOWN(MIN(AZ171-0.01,AY171-p_StopAtr*Y171),2)*100,0),50)=0,ROUNDDOWN(MIN(AZ171-0.01,AY171-p_StopAtr*Y171),2)-0.01,ROUNDDOWN(MIN(AZ171-0.01,AY171-p_StopAtr*Y171),2))</f>
        <v>23.17</v>
      </c>
      <c r="BB171" s="40" t="n">
        <f aca="false">ROUND(AI171,2)</f>
        <v>24.77</v>
      </c>
      <c r="BC171" s="40" t="n">
        <f aca="false">IF(AY171-BA171&gt;0,(BB171-AY171)/(AY171-BA171),0)</f>
        <v>0.904761904761903</v>
      </c>
      <c r="BD171" s="42" t="n">
        <f aca="false">IF(N171&lt;0,1,0)</f>
        <v>0</v>
      </c>
      <c r="BE171" s="41" t="n">
        <f aca="false">IF(AND(BD171=1,BD170=0),N171,IF(BD171=1,MIN(BE170,N171),BE170))</f>
        <v>-0.0583119972977335</v>
      </c>
      <c r="BF171" s="40" t="n">
        <f aca="false">IF(AND(BD171=1,BD170=0),D171,IF(BD171=1,MIN(BF170,D171),BF170))</f>
        <v>19.27</v>
      </c>
      <c r="BG171" s="42" t="n">
        <f aca="false">IF(AND(BD171=1,BD170=0),ROW(),IF(BD171=1,IF(N171&lt;BE170,ROW(),BG170),BG170))</f>
        <v>124</v>
      </c>
      <c r="BH171" s="41" t="n">
        <f aca="false">IF(AND(BD171=1,BD170=0),BE170,BH170)</f>
        <v>-0.392824838841331</v>
      </c>
      <c r="BI171" s="40" t="n">
        <f aca="false">IF(AND(BD171=1,BD170=0),BF170,BI170)</f>
        <v>20.27</v>
      </c>
      <c r="BJ171" s="42" t="n">
        <f aca="false">IF(AND(BD171=1,BD170=0),BG170,BJ170)</f>
        <v>98</v>
      </c>
      <c r="BK171" s="42" t="n">
        <f aca="false">IF(AND(ISNUMBER(BG171),ISNUMBER(BJ171)),BG171-BJ171,"")</f>
        <v>26</v>
      </c>
      <c r="BL171" s="42" t="n">
        <f aca="false">IF(AND(BD171=1,N171&gt;N170,ISNUMBER(BH171),ISNUMBER(BK171)),IF(AND(BE171&gt;BH171,BF171&lt;BI171,BK171&gt;=p_GapMin,BK171&lt;=p_GapMax),1,0),0)</f>
        <v>0</v>
      </c>
      <c r="BM171" s="42" t="n">
        <f aca="false">IF(AND(BL171=1,E171&gt;BI171),1,0)</f>
        <v>0</v>
      </c>
      <c r="BN171" s="42" t="n">
        <f aca="false">IF(BL171=1,IF(BE171&gt;=BH171*0.5,1,0),0)</f>
        <v>0</v>
      </c>
      <c r="BO171" s="42" t="n">
        <f aca="true">IF(V171&gt;MIN(OFFSET(V171,-MIN(p_FiLb-1,ROW()-5),0,MIN(p_FiLb-1,ROW()-5),1)),1,0)</f>
        <v>1</v>
      </c>
      <c r="BP171" s="44" t="n">
        <f aca="true">IF(COUNTIF(OFFSET(V171,1-MIN(100,ROW()-4),0,MIN(100,ROW()-4),1),"&lt;0")&gt;=5,AVERAGEIF(OFFSET(V171,1-MIN(100,ROW()-4),0,MIN(100,ROW()-4),1),"&lt;0"),"")</f>
        <v>-990692.577771278</v>
      </c>
      <c r="BQ171" s="42" t="n">
        <f aca="false">IF(ISNUMBER(BP171),IF(AND(V171&lt;5*BP171,V171&gt;V170,E171&lt;AJ171),1,0),0)</f>
        <v>0</v>
      </c>
      <c r="BR171" s="44" t="n">
        <f aca="true">AVERAGE(OFFSET(F171,1-MIN(5,ROW()-4),0,MIN(5,ROW()-4),1))</f>
        <v>4159640</v>
      </c>
      <c r="BS171" s="42" t="n">
        <f aca="false">IFERROR(IF(MATCH(G171,周线!$A$5:$A$84,0)&lt;=1,"",INDEX(周线!$R$5:$R$84,MATCH(G171,周线!$A$5:$A$84,0)-1)),"")</f>
        <v>1</v>
      </c>
      <c r="BT171" s="42" t="n">
        <f aca="false">IFERROR(IF(MATCH(G171,周线!$A$5:$A$84,0)&lt;=1,"",INDEX(周线!$S$5:$S$84,MATCH(G171,周线!$A$5:$A$84,0)-1)),"")</f>
        <v>1</v>
      </c>
      <c r="BU171" s="42" t="n">
        <f aca="false">IFERROR(IF(MATCH(G171,周线!$A$5:$A$84,0)&lt;=1,"",INDEX(周线!$U$5:$U$84,MATCH(G171,周线!$A$5:$A$84,0)-1)),"")</f>
        <v>1</v>
      </c>
      <c r="BV171" s="42" t="n">
        <f aca="false">IF(AND(BS171=1,S171&lt;&gt;-1,V171&lt;0,BO171=1,E171&lt;=H171,E171&gt;=AJ171),1,0)</f>
        <v>0</v>
      </c>
      <c r="BW171" s="42" t="n">
        <f aca="false">BL171</f>
        <v>0</v>
      </c>
      <c r="BX171" s="42" t="n">
        <f aca="false">BQ171</f>
        <v>0</v>
      </c>
      <c r="BY171" s="42" t="n">
        <f aca="false">IF(BS171=1,10,0)+IF(BU171=1,5,IF(BU171=-1,0,3))+IF(BT171=1,5,0)+IF(AND(AE171&gt;AF171,AH171&gt;AH170),5,0)</f>
        <v>25</v>
      </c>
      <c r="BZ171" s="42" t="n">
        <f aca="false">IF(AND(E171&lt;=H171,E171&gt;=I171),10,IF(AND(E171&gt;=AJ171,E171&lt;I171),6,0))+IF(AND(V171&lt;0,BO171=1),8,0)+IF(AT171&lt;30,7,IF(AT171&lt;50,3,0))</f>
        <v>0</v>
      </c>
      <c r="CA171" s="42" t="n">
        <f aca="false">IF(AND(BV171=1,BW171=1),25,IF(BW171=1,22,IF(BV171=1,15,IF(BX171=1,12,0))))</f>
        <v>0</v>
      </c>
      <c r="CB171" s="42" t="n">
        <f aca="false">IF(W171&gt;0,6,0)+IF(F171&lt;BR171,4,0)</f>
        <v>10</v>
      </c>
      <c r="CC171" s="42" t="n">
        <f aca="false">IF(BC171&gt;=3,15,IF(BC171&gt;=p_RRmin,10,IF(BC171&gt;=1.5,4,0)))</f>
        <v>0</v>
      </c>
      <c r="CD171" s="42" t="n">
        <f aca="false">BY171+BZ171+CA171+CB171+CC171</f>
        <v>35</v>
      </c>
      <c r="CE171" s="42" t="n">
        <f aca="false">IF(AND(BS171&lt;&gt;1,BW171+BX171=0),1,0)</f>
        <v>0</v>
      </c>
      <c r="CF171" s="42" t="n">
        <f aca="false">IF(BU171=-1,1,0)</f>
        <v>0</v>
      </c>
      <c r="CG171" s="42" t="n">
        <f aca="false">IF(S171=-1,1,0)</f>
        <v>0</v>
      </c>
      <c r="CH171" s="42" t="n">
        <f aca="false">IF(BV171+BW171+BX171=0,1,0)</f>
        <v>1</v>
      </c>
      <c r="CI171" s="42" t="n">
        <f aca="false">IF(BC171&lt;p_RRmin,1,0)</f>
        <v>1</v>
      </c>
      <c r="CJ171" s="46" t="str">
        <f aca="false">IF(SUM(CE171:CI171)=0,IF(CD171&gt;=p_GradeA,"A",IF(CD171&gt;=p_GradeB,"B","C")),IF(AND(CI171=1,SUM(CE171:CH171)=0,CD171&gt;=p_GradeB),"B","C"))</f>
        <v>C</v>
      </c>
    </row>
    <row r="172" customFormat="false" ht="15" hidden="false" customHeight="false" outlineLevel="0" collapsed="false">
      <c r="A172" s="36" t="n">
        <v>45894</v>
      </c>
      <c r="B172" s="37" t="n">
        <v>24.64</v>
      </c>
      <c r="C172" s="37" t="n">
        <v>24.77</v>
      </c>
      <c r="D172" s="37" t="n">
        <v>24.26</v>
      </c>
      <c r="E172" s="37" t="n">
        <v>24.41</v>
      </c>
      <c r="F172" s="38" t="n">
        <v>3252200</v>
      </c>
      <c r="G172" s="39" t="n">
        <f aca="false">A172-WEEKDAY(A172,3)</f>
        <v>45894</v>
      </c>
      <c r="H172" s="40" t="n">
        <f aca="false">2/(p_EmaF+1)*E172+(1-2/(p_EmaF+1))*H171</f>
        <v>24.1145947725949</v>
      </c>
      <c r="I172" s="40" t="n">
        <f aca="false">2/(p_EmaS+1)*E172+(1-2/(p_EmaS+1))*I171</f>
        <v>23.4450795107416</v>
      </c>
      <c r="J172" s="41" t="n">
        <f aca="false">2/(p_MacdF+1)*E172+(1-2/(p_MacdF+1))*J171</f>
        <v>24.1724462086757</v>
      </c>
      <c r="K172" s="41" t="n">
        <f aca="false">2/(p_MacdS+1)*E172+(1-2/(p_MacdS+1))*K171</f>
        <v>23.4450795107416</v>
      </c>
      <c r="L172" s="41" t="n">
        <f aca="false">J172-K172</f>
        <v>0.727366697934144</v>
      </c>
      <c r="M172" s="41" t="n">
        <f aca="false">2/(p_MacdSig+1)*L172+(1-2/(p_MacdSig+1))*M171</f>
        <v>0.690007212840791</v>
      </c>
      <c r="N172" s="41" t="n">
        <f aca="false">L172-M172</f>
        <v>0.0373594850933529</v>
      </c>
      <c r="O172" s="42" t="n">
        <f aca="false">IF(H172&gt;H171,1,0)</f>
        <v>1</v>
      </c>
      <c r="P172" s="42" t="n">
        <f aca="false">IF(H172&lt;H171,1,0)</f>
        <v>0</v>
      </c>
      <c r="Q172" s="42" t="n">
        <f aca="false">IF(N172&gt;N171,1,0)</f>
        <v>0</v>
      </c>
      <c r="R172" s="42" t="n">
        <f aca="false">IF(N172&lt;N171,1,0)</f>
        <v>1</v>
      </c>
      <c r="S172" s="42" t="n">
        <f aca="false">IF(AND(O172=1,Q172=1),1,IF(AND(P172=1,R172=1),-1,0))</f>
        <v>0</v>
      </c>
      <c r="T172" s="43" t="str">
        <f aca="false">IF(S172=1,"绿",IF(S172=-1,"红","蓝"))</f>
        <v>蓝</v>
      </c>
      <c r="U172" s="44" t="n">
        <f aca="false">F172*(E172-E171)</f>
        <v>-1398446</v>
      </c>
      <c r="V172" s="44" t="n">
        <f aca="false">2/(p_FiS+1)*U172+(1-2/(p_FiS+1))*V171</f>
        <v>-794188.047568374</v>
      </c>
      <c r="W172" s="44" t="n">
        <f aca="false">2/(p_FiL+1)*U172+(1-2/(p_FiL+1))*W171</f>
        <v>340544.903615305</v>
      </c>
      <c r="X172" s="41" t="n">
        <f aca="false">MAX(C172-D172,ABS(C172-E171),ABS(D172-E171))</f>
        <v>0.579999999999998</v>
      </c>
      <c r="Y172" s="41" t="n">
        <f aca="true">AVERAGE(OFFSET(X172,1-MIN(p_AtrN,ROW()-4),0,MIN(p_AtrN,ROW()-4),1))</f>
        <v>0.607692307692308</v>
      </c>
      <c r="Z172" s="41" t="n">
        <f aca="false">IF(AND(C172-C171&gt;D171-D172,C172-C171&gt;0),C172-C171,0)</f>
        <v>0</v>
      </c>
      <c r="AA172" s="41" t="n">
        <f aca="false">IF(AND(D171-D172&gt;C172-C171,D171-D172&gt;0),D171-D172,0)</f>
        <v>0.449999999999999</v>
      </c>
      <c r="AB172" s="41" t="n">
        <f aca="false">2/(p_AdxN+1)*X172+(1-2/(p_AdxN+1))*AB171</f>
        <v>0.538715438898497</v>
      </c>
      <c r="AC172" s="41" t="n">
        <f aca="false">2/(p_AdxN+1)*Z172+(1-2/(p_AdxN+1))*AC171</f>
        <v>0.125766100867696</v>
      </c>
      <c r="AD172" s="41" t="n">
        <f aca="false">2/(p_AdxN+1)*AA172+(1-2/(p_AdxN+1))*AD171</f>
        <v>0.0880976698842553</v>
      </c>
      <c r="AE172" s="45" t="n">
        <f aca="false">100*AC172/AB172</f>
        <v>23.3455534752908</v>
      </c>
      <c r="AF172" s="45" t="n">
        <f aca="false">100*AD172/AB172</f>
        <v>16.3532847813657</v>
      </c>
      <c r="AG172" s="45" t="n">
        <f aca="false">IFERROR(100*ABS(AE172-AF172)/(AE172+AF172),0)</f>
        <v>17.6132829094883</v>
      </c>
      <c r="AH172" s="45" t="n">
        <f aca="false">2/(p_AdxN+1)*AG172+(1-2/(p_AdxN+1))*AH171</f>
        <v>60.7809524800795</v>
      </c>
      <c r="AI172" s="40" t="n">
        <f aca="false">I172*(1+p_ChPct)</f>
        <v>24.851784281386</v>
      </c>
      <c r="AJ172" s="40" t="n">
        <f aca="false">I172*(1-p_ChPct)</f>
        <v>22.0383747400971</v>
      </c>
      <c r="AK172" s="40" t="n">
        <f aca="false">I172+1*Y172</f>
        <v>24.0527718184339</v>
      </c>
      <c r="AL172" s="40" t="n">
        <f aca="false">I172+2*Y172</f>
        <v>24.6604641261262</v>
      </c>
      <c r="AM172" s="40" t="n">
        <f aca="false">I172+3*Y172</f>
        <v>25.2681564338185</v>
      </c>
      <c r="AN172" s="40" t="n">
        <f aca="false">I172-1*Y172</f>
        <v>22.8373872030492</v>
      </c>
      <c r="AO172" s="40" t="n">
        <f aca="false">I172-2*Y172</f>
        <v>22.2296948953569</v>
      </c>
      <c r="AP172" s="40" t="n">
        <f aca="false">I172-3*Y172</f>
        <v>21.6220025876646</v>
      </c>
      <c r="AQ172" s="40" t="n">
        <f aca="true">MAX(OFFSET(C172,1-MIN(p_StochN,ROW()-4),0,MIN(p_StochN,ROW()-4),1))</f>
        <v>24.98</v>
      </c>
      <c r="AR172" s="40" t="n">
        <f aca="true">MIN(OFFSET(D172,1-MIN(p_StochN,ROW()-4),0,MIN(p_StochN,ROW()-4),1))</f>
        <v>24.26</v>
      </c>
      <c r="AS172" s="45" t="n">
        <f aca="false">IF(AQ172=AR172,50,100*(E172-AR172)/(AQ172-AR172))</f>
        <v>20.8333333333332</v>
      </c>
      <c r="AT172" s="45" t="n">
        <f aca="true">AVERAGE(OFFSET(AS172,1-MIN(p_StochSm,ROW()-4),0,MIN(p_StochSm,ROW()-4),1))</f>
        <v>66.7929292929292</v>
      </c>
      <c r="AU172" s="45" t="n">
        <f aca="true">AVERAGE(OFFSET(AT172,1-MIN(p_StochSm,ROW()-4),0,MIN(p_StochSm,ROW()-4),1))</f>
        <v>82.9335016835017</v>
      </c>
      <c r="AV172" s="41" t="n">
        <f aca="false">MAX(0,H172-D172)</f>
        <v>0</v>
      </c>
      <c r="AW172" s="41" t="n">
        <f aca="true">IF(COUNTIF(OFFSET(AV172,1-MIN(p_PenLb,ROW()-4),0,MIN(p_PenLb,ROW()-4),1),"&gt;0")&gt;0,SUM(OFFSET(AV172,1-MIN(p_PenLb,ROW()-4),0,MIN(p_PenLb,ROW()-4),1))/COUNTIF(OFFSET(AV172,1-MIN(p_PenLb,ROW()-4),0,MIN(p_PenLb,ROW()-4),1),"&gt;0"),0.5*Y172)</f>
        <v>0.180025635559352</v>
      </c>
      <c r="AX172" s="41" t="n">
        <f aca="false">2*H172-H171</f>
        <v>24.1638289771624</v>
      </c>
      <c r="AY172" s="40" t="n">
        <f aca="false">ROUND(MAX(AX172-AW172,0.01),2)</f>
        <v>23.98</v>
      </c>
      <c r="AZ172" s="40" t="n">
        <f aca="true">IF(MIN(p_StopLb,ROW()-4)&lt;2,D172,SMALL(OFFSET(D172,1-MIN(p_StopLb,ROW()-4),0,MIN(p_StopLb,ROW()-4),1),2))</f>
        <v>23.18</v>
      </c>
      <c r="BA172" s="40" t="n">
        <f aca="false">IF(MOD(ROUND(ROUNDDOWN(MIN(AZ172-0.01,AY172-p_StopAtr*Y172),2)*100,0),50)=0,ROUNDDOWN(MIN(AZ172-0.01,AY172-p_StopAtr*Y172),2)-0.01,ROUNDDOWN(MIN(AZ172-0.01,AY172-p_StopAtr*Y172),2))</f>
        <v>23.17</v>
      </c>
      <c r="BB172" s="40" t="n">
        <f aca="false">ROUND(AI172,2)</f>
        <v>24.85</v>
      </c>
      <c r="BC172" s="40" t="n">
        <f aca="false">IF(AY172-BA172&gt;0,(BB172-AY172)/(AY172-BA172),0)</f>
        <v>1.07407407407408</v>
      </c>
      <c r="BD172" s="42" t="n">
        <f aca="false">IF(N172&lt;0,1,0)</f>
        <v>0</v>
      </c>
      <c r="BE172" s="41" t="n">
        <f aca="false">IF(AND(BD172=1,BD171=0),N172,IF(BD172=1,MIN(BE171,N172),BE171))</f>
        <v>-0.0583119972977335</v>
      </c>
      <c r="BF172" s="40" t="n">
        <f aca="false">IF(AND(BD172=1,BD171=0),D172,IF(BD172=1,MIN(BF171,D172),BF171))</f>
        <v>19.27</v>
      </c>
      <c r="BG172" s="42" t="n">
        <f aca="false">IF(AND(BD172=1,BD171=0),ROW(),IF(BD172=1,IF(N172&lt;BE171,ROW(),BG171),BG171))</f>
        <v>124</v>
      </c>
      <c r="BH172" s="41" t="n">
        <f aca="false">IF(AND(BD172=1,BD171=0),BE171,BH171)</f>
        <v>-0.392824838841331</v>
      </c>
      <c r="BI172" s="40" t="n">
        <f aca="false">IF(AND(BD172=1,BD171=0),BF171,BI171)</f>
        <v>20.27</v>
      </c>
      <c r="BJ172" s="42" t="n">
        <f aca="false">IF(AND(BD172=1,BD171=0),BG171,BJ171)</f>
        <v>98</v>
      </c>
      <c r="BK172" s="42" t="n">
        <f aca="false">IF(AND(ISNUMBER(BG172),ISNUMBER(BJ172)),BG172-BJ172,"")</f>
        <v>26</v>
      </c>
      <c r="BL172" s="42" t="n">
        <f aca="false">IF(AND(BD172=1,N172&gt;N171,ISNUMBER(BH172),ISNUMBER(BK172)),IF(AND(BE172&gt;BH172,BF172&lt;BI172,BK172&gt;=p_GapMin,BK172&lt;=p_GapMax),1,0),0)</f>
        <v>0</v>
      </c>
      <c r="BM172" s="42" t="n">
        <f aca="false">IF(AND(BL172=1,E172&gt;BI172),1,0)</f>
        <v>0</v>
      </c>
      <c r="BN172" s="42" t="n">
        <f aca="false">IF(BL172=1,IF(BE172&gt;=BH172*0.5,1,0),0)</f>
        <v>0</v>
      </c>
      <c r="BO172" s="42" t="n">
        <f aca="true">IF(V172&gt;MIN(OFFSET(V172,-MIN(p_FiLb-1,ROW()-5),0,MIN(p_FiLb-1,ROW()-5),1)),1,0)</f>
        <v>1</v>
      </c>
      <c r="BP172" s="44" t="n">
        <f aca="true">IF(COUNTIF(OFFSET(V172,1-MIN(100,ROW()-4),0,MIN(100,ROW()-4),1),"&lt;0")&gt;=5,AVERAGEIF(OFFSET(V172,1-MIN(100,ROW()-4),0,MIN(100,ROW()-4),1),"&lt;0"),"")</f>
        <v>-986913.644498146</v>
      </c>
      <c r="BQ172" s="42" t="n">
        <f aca="false">IF(ISNUMBER(BP172),IF(AND(V172&lt;5*BP172,V172&gt;V171,E172&lt;AJ172),1,0),0)</f>
        <v>0</v>
      </c>
      <c r="BR172" s="44" t="n">
        <f aca="true">AVERAGE(OFFSET(F172,1-MIN(5,ROW()-4),0,MIN(5,ROW()-4),1))</f>
        <v>3568660</v>
      </c>
      <c r="BS172" s="42" t="n">
        <f aca="false">IFERROR(IF(MATCH(G172,周线!$A$5:$A$84,0)&lt;=1,"",INDEX(周线!$R$5:$R$84,MATCH(G172,周线!$A$5:$A$84,0)-1)),"")</f>
        <v>1</v>
      </c>
      <c r="BT172" s="42" t="n">
        <f aca="false">IFERROR(IF(MATCH(G172,周线!$A$5:$A$84,0)&lt;=1,"",INDEX(周线!$S$5:$S$84,MATCH(G172,周线!$A$5:$A$84,0)-1)),"")</f>
        <v>1</v>
      </c>
      <c r="BU172" s="42" t="n">
        <f aca="false">IFERROR(IF(MATCH(G172,周线!$A$5:$A$84,0)&lt;=1,"",INDEX(周线!$U$5:$U$84,MATCH(G172,周线!$A$5:$A$84,0)-1)),"")</f>
        <v>1</v>
      </c>
      <c r="BV172" s="42" t="n">
        <f aca="false">IF(AND(BS172=1,S172&lt;&gt;-1,V172&lt;0,BO172=1,E172&lt;=H172,E172&gt;=AJ172),1,0)</f>
        <v>0</v>
      </c>
      <c r="BW172" s="42" t="n">
        <f aca="false">BL172</f>
        <v>0</v>
      </c>
      <c r="BX172" s="42" t="n">
        <f aca="false">BQ172</f>
        <v>0</v>
      </c>
      <c r="BY172" s="42" t="n">
        <f aca="false">IF(BS172=1,10,0)+IF(BU172=1,5,IF(BU172=-1,0,3))+IF(BT172=1,5,0)+IF(AND(AE172&gt;AF172,AH172&gt;AH171),5,0)</f>
        <v>20</v>
      </c>
      <c r="BZ172" s="42" t="n">
        <f aca="false">IF(AND(E172&lt;=H172,E172&gt;=I172),10,IF(AND(E172&gt;=AJ172,E172&lt;I172),6,0))+IF(AND(V172&lt;0,BO172=1),8,0)+IF(AT172&lt;30,7,IF(AT172&lt;50,3,0))</f>
        <v>8</v>
      </c>
      <c r="CA172" s="42" t="n">
        <f aca="false">IF(AND(BV172=1,BW172=1),25,IF(BW172=1,22,IF(BV172=1,15,IF(BX172=1,12,0))))</f>
        <v>0</v>
      </c>
      <c r="CB172" s="42" t="n">
        <f aca="false">IF(W172&gt;0,6,0)+IF(F172&lt;BR172,4,0)</f>
        <v>10</v>
      </c>
      <c r="CC172" s="42" t="n">
        <f aca="false">IF(BC172&gt;=3,15,IF(BC172&gt;=p_RRmin,10,IF(BC172&gt;=1.5,4,0)))</f>
        <v>0</v>
      </c>
      <c r="CD172" s="42" t="n">
        <f aca="false">BY172+BZ172+CA172+CB172+CC172</f>
        <v>38</v>
      </c>
      <c r="CE172" s="42" t="n">
        <f aca="false">IF(AND(BS172&lt;&gt;1,BW172+BX172=0),1,0)</f>
        <v>0</v>
      </c>
      <c r="CF172" s="42" t="n">
        <f aca="false">IF(BU172=-1,1,0)</f>
        <v>0</v>
      </c>
      <c r="CG172" s="42" t="n">
        <f aca="false">IF(S172=-1,1,0)</f>
        <v>0</v>
      </c>
      <c r="CH172" s="42" t="n">
        <f aca="false">IF(BV172+BW172+BX172=0,1,0)</f>
        <v>1</v>
      </c>
      <c r="CI172" s="42" t="n">
        <f aca="false">IF(BC172&lt;p_RRmin,1,0)</f>
        <v>1</v>
      </c>
      <c r="CJ172" s="46" t="str">
        <f aca="false">IF(SUM(CE172:CI172)=0,IF(CD172&gt;=p_GradeA,"A",IF(CD172&gt;=p_GradeB,"B","C")),IF(AND(CI172=1,SUM(CE172:CH172)=0,CD172&gt;=p_GradeB),"B","C"))</f>
        <v>C</v>
      </c>
    </row>
    <row r="173" customFormat="false" ht="15" hidden="false" customHeight="false" outlineLevel="0" collapsed="false">
      <c r="A173" s="36" t="n">
        <v>45895</v>
      </c>
      <c r="B173" s="37" t="n">
        <v>24.35</v>
      </c>
      <c r="C173" s="37" t="n">
        <v>24.37</v>
      </c>
      <c r="D173" s="37" t="n">
        <v>24.11</v>
      </c>
      <c r="E173" s="37" t="n">
        <v>24.16</v>
      </c>
      <c r="F173" s="38" t="n">
        <v>4424400</v>
      </c>
      <c r="G173" s="39" t="n">
        <f aca="false">A173-WEEKDAY(A173,3)</f>
        <v>45894</v>
      </c>
      <c r="H173" s="40" t="n">
        <f aca="false">2/(p_EmaF+1)*E173+(1-2/(p_EmaF+1))*H172</f>
        <v>24.1210812336527</v>
      </c>
      <c r="I173" s="40" t="n">
        <f aca="false">2/(p_EmaS+1)*E173+(1-2/(p_EmaS+1))*I172</f>
        <v>23.49803658402</v>
      </c>
      <c r="J173" s="41" t="n">
        <f aca="false">2/(p_MacdF+1)*E173+(1-2/(p_MacdF+1))*J172</f>
        <v>24.170531407341</v>
      </c>
      <c r="K173" s="41" t="n">
        <f aca="false">2/(p_MacdS+1)*E173+(1-2/(p_MacdS+1))*K172</f>
        <v>23.49803658402</v>
      </c>
      <c r="L173" s="41" t="n">
        <f aca="false">J173-K173</f>
        <v>0.672494823321021</v>
      </c>
      <c r="M173" s="41" t="n">
        <f aca="false">2/(p_MacdSig+1)*L173+(1-2/(p_MacdSig+1))*M172</f>
        <v>0.686504734936837</v>
      </c>
      <c r="N173" s="41" t="n">
        <f aca="false">L173-M173</f>
        <v>-0.0140099116158166</v>
      </c>
      <c r="O173" s="42" t="n">
        <f aca="false">IF(H173&gt;H172,1,0)</f>
        <v>1</v>
      </c>
      <c r="P173" s="42" t="n">
        <f aca="false">IF(H173&lt;H172,1,0)</f>
        <v>0</v>
      </c>
      <c r="Q173" s="42" t="n">
        <f aca="false">IF(N173&gt;N172,1,0)</f>
        <v>0</v>
      </c>
      <c r="R173" s="42" t="n">
        <f aca="false">IF(N173&lt;N172,1,0)</f>
        <v>1</v>
      </c>
      <c r="S173" s="42" t="n">
        <f aca="false">IF(AND(O173=1,Q173=1),1,IF(AND(P173=1,R173=1),-1,0))</f>
        <v>0</v>
      </c>
      <c r="T173" s="43" t="str">
        <f aca="false">IF(S173=1,"绿",IF(S173=-1,"红","蓝"))</f>
        <v>蓝</v>
      </c>
      <c r="U173" s="44" t="n">
        <f aca="false">F173*(E173-E172)</f>
        <v>-1106100</v>
      </c>
      <c r="V173" s="44" t="n">
        <f aca="false">2/(p_FiS+1)*U173+(1-2/(p_FiS+1))*V172</f>
        <v>-1002129.34918946</v>
      </c>
      <c r="W173" s="44" t="n">
        <f aca="false">2/(p_FiL+1)*U173+(1-2/(p_FiL+1))*W172</f>
        <v>133881.345955976</v>
      </c>
      <c r="X173" s="41" t="n">
        <f aca="false">MAX(C173-D173,ABS(C173-E172),ABS(D173-E172))</f>
        <v>0.300000000000001</v>
      </c>
      <c r="Y173" s="41" t="n">
        <f aca="true">AVERAGE(OFFSET(X173,1-MIN(p_AtrN,ROW()-4),0,MIN(p_AtrN,ROW()-4),1))</f>
        <v>0.593846153846154</v>
      </c>
      <c r="Z173" s="41" t="n">
        <f aca="false">IF(AND(C173-C172&gt;D172-D173,C173-C172&gt;0),C173-C172,0)</f>
        <v>0</v>
      </c>
      <c r="AA173" s="41" t="n">
        <f aca="false">IF(AND(D172-D173&gt;C173-C172,D172-D173&gt;0),D172-D173,0)</f>
        <v>0.150000000000002</v>
      </c>
      <c r="AB173" s="41" t="n">
        <f aca="false">2/(p_AdxN+1)*X173+(1-2/(p_AdxN+1))*AB172</f>
        <v>0.504613233341569</v>
      </c>
      <c r="AC173" s="41" t="n">
        <f aca="false">2/(p_AdxN+1)*Z173+(1-2/(p_AdxN+1))*AC172</f>
        <v>0.107799515029454</v>
      </c>
      <c r="AD173" s="41" t="n">
        <f aca="false">2/(p_AdxN+1)*AA173+(1-2/(p_AdxN+1))*AD172</f>
        <v>0.0969408599007905</v>
      </c>
      <c r="AE173" s="45" t="n">
        <f aca="false">100*AC173/AB173</f>
        <v>21.3627998448636</v>
      </c>
      <c r="AF173" s="45" t="n">
        <f aca="false">100*AD173/AB173</f>
        <v>19.2109230387884</v>
      </c>
      <c r="AG173" s="45" t="n">
        <f aca="false">IFERROR(100*ABS(AE173-AF173)/(AE173+AF173),0)</f>
        <v>5.30362178557246</v>
      </c>
      <c r="AH173" s="45" t="n">
        <f aca="false">2/(p_AdxN+1)*AG173+(1-2/(p_AdxN+1))*AH172</f>
        <v>52.8556195237214</v>
      </c>
      <c r="AI173" s="40" t="n">
        <f aca="false">I173*(1+p_ChPct)</f>
        <v>24.9079187790612</v>
      </c>
      <c r="AJ173" s="40" t="n">
        <f aca="false">I173*(1-p_ChPct)</f>
        <v>22.0881543889788</v>
      </c>
      <c r="AK173" s="40" t="n">
        <f aca="false">I173+1*Y173</f>
        <v>24.0918827378661</v>
      </c>
      <c r="AL173" s="40" t="n">
        <f aca="false">I173+2*Y173</f>
        <v>24.6857288917123</v>
      </c>
      <c r="AM173" s="40" t="n">
        <f aca="false">I173+3*Y173</f>
        <v>25.2795750455584</v>
      </c>
      <c r="AN173" s="40" t="n">
        <f aca="false">I173-1*Y173</f>
        <v>22.9041904301738</v>
      </c>
      <c r="AO173" s="40" t="n">
        <f aca="false">I173-2*Y173</f>
        <v>22.3103442763276</v>
      </c>
      <c r="AP173" s="40" t="n">
        <f aca="false">I173-3*Y173</f>
        <v>21.7164981224815</v>
      </c>
      <c r="AQ173" s="40" t="n">
        <f aca="true">MAX(OFFSET(C173,1-MIN(p_StochN,ROW()-4),0,MIN(p_StochN,ROW()-4),1))</f>
        <v>24.98</v>
      </c>
      <c r="AR173" s="40" t="n">
        <f aca="true">MIN(OFFSET(D173,1-MIN(p_StochN,ROW()-4),0,MIN(p_StochN,ROW()-4),1))</f>
        <v>24.11</v>
      </c>
      <c r="AS173" s="45" t="n">
        <f aca="false">IF(AQ173=AR173,50,100*(E173-AR173)/(AQ173-AR173))</f>
        <v>5.74712643678168</v>
      </c>
      <c r="AT173" s="45" t="n">
        <f aca="true">AVERAGE(OFFSET(AS173,1-MIN(p_StochSm,ROW()-4),0,MIN(p_StochSm,ROW()-4),1))</f>
        <v>38.0268199233716</v>
      </c>
      <c r="AU173" s="45" t="n">
        <f aca="true">AVERAGE(OFFSET(AT173,1-MIN(p_StochSm,ROW()-4),0,MIN(p_StochSm,ROW()-4),1))</f>
        <v>64.864158829676</v>
      </c>
      <c r="AV173" s="41" t="n">
        <f aca="false">MAX(0,H173-D173)</f>
        <v>0.0110812336527317</v>
      </c>
      <c r="AW173" s="41" t="n">
        <f aca="true">IF(COUNTIF(OFFSET(AV173,1-MIN(p_PenLb,ROW()-4),0,MIN(p_PenLb,ROW()-4),1),"&gt;0")&gt;0,SUM(OFFSET(AV173,1-MIN(p_PenLb,ROW()-4),0,MIN(p_PenLb,ROW()-4),1))/COUNTIF(OFFSET(AV173,1-MIN(p_PenLb,ROW()-4),0,MIN(p_PenLb,ROW()-4),1),"&gt;0"),0.5*Y173)</f>
        <v>0.176135435771818</v>
      </c>
      <c r="AX173" s="41" t="n">
        <f aca="false">2*H173-H172</f>
        <v>24.1275676947106</v>
      </c>
      <c r="AY173" s="40" t="n">
        <f aca="false">ROUND(MAX(AX173-AW173,0.01),2)</f>
        <v>23.95</v>
      </c>
      <c r="AZ173" s="40" t="n">
        <f aca="true">IF(MIN(p_StopLb,ROW()-4)&lt;2,D173,SMALL(OFFSET(D173,1-MIN(p_StopLb,ROW()-4),0,MIN(p_StopLb,ROW()-4),1),2))</f>
        <v>23.18</v>
      </c>
      <c r="BA173" s="40" t="n">
        <f aca="false">IF(MOD(ROUND(ROUNDDOWN(MIN(AZ173-0.01,AY173-p_StopAtr*Y173),2)*100,0),50)=0,ROUNDDOWN(MIN(AZ173-0.01,AY173-p_StopAtr*Y173),2)-0.01,ROUNDDOWN(MIN(AZ173-0.01,AY173-p_StopAtr*Y173),2))</f>
        <v>23.17</v>
      </c>
      <c r="BB173" s="40" t="n">
        <f aca="false">ROUND(AI173,2)</f>
        <v>24.91</v>
      </c>
      <c r="BC173" s="40" t="n">
        <f aca="false">IF(AY173-BA173&gt;0,(BB173-AY173)/(AY173-BA173),0)</f>
        <v>1.23076923076924</v>
      </c>
      <c r="BD173" s="42" t="n">
        <f aca="false">IF(N173&lt;0,1,0)</f>
        <v>1</v>
      </c>
      <c r="BE173" s="41" t="n">
        <f aca="false">IF(AND(BD173=1,BD172=0),N173,IF(BD173=1,MIN(BE172,N173),BE172))</f>
        <v>-0.0140099116158166</v>
      </c>
      <c r="BF173" s="40" t="n">
        <f aca="false">IF(AND(BD173=1,BD172=0),D173,IF(BD173=1,MIN(BF172,D173),BF172))</f>
        <v>24.11</v>
      </c>
      <c r="BG173" s="42" t="n">
        <f aca="false">IF(AND(BD173=1,BD172=0),ROW(),IF(BD173=1,IF(N173&lt;BE172,ROW(),BG172),BG172))</f>
        <v>173</v>
      </c>
      <c r="BH173" s="41" t="n">
        <f aca="false">IF(AND(BD173=1,BD172=0),BE172,BH172)</f>
        <v>-0.0583119972977335</v>
      </c>
      <c r="BI173" s="40" t="n">
        <f aca="false">IF(AND(BD173=1,BD172=0),BF172,BI172)</f>
        <v>19.27</v>
      </c>
      <c r="BJ173" s="42" t="n">
        <f aca="false">IF(AND(BD173=1,BD172=0),BG172,BJ172)</f>
        <v>124</v>
      </c>
      <c r="BK173" s="42" t="n">
        <f aca="false">IF(AND(ISNUMBER(BG173),ISNUMBER(BJ173)),BG173-BJ173,"")</f>
        <v>49</v>
      </c>
      <c r="BL173" s="42" t="n">
        <f aca="false">IF(AND(BD173=1,N173&gt;N172,ISNUMBER(BH173),ISNUMBER(BK173)),IF(AND(BE173&gt;BH173,BF173&lt;BI173,BK173&gt;=p_GapMin,BK173&lt;=p_GapMax),1,0),0)</f>
        <v>0</v>
      </c>
      <c r="BM173" s="42" t="n">
        <f aca="false">IF(AND(BL173=1,E173&gt;BI173),1,0)</f>
        <v>0</v>
      </c>
      <c r="BN173" s="42" t="n">
        <f aca="false">IF(BL173=1,IF(BE173&gt;=BH173*0.5,1,0),0)</f>
        <v>0</v>
      </c>
      <c r="BO173" s="42" t="n">
        <f aca="true">IF(V173&gt;MIN(OFFSET(V173,-MIN(p_FiLb-1,ROW()-5),0,MIN(p_FiLb-1,ROW()-5),1)),1,0)</f>
        <v>1</v>
      </c>
      <c r="BP173" s="44" t="n">
        <f aca="true">IF(COUNTIF(OFFSET(V173,1-MIN(100,ROW()-4),0,MIN(100,ROW()-4),1),"&lt;0")&gt;=5,AVERAGEIF(OFFSET(V173,1-MIN(100,ROW()-4),0,MIN(100,ROW()-4),1),"&lt;0"),"")</f>
        <v>-987200.733265906</v>
      </c>
      <c r="BQ173" s="42" t="n">
        <f aca="false">IF(ISNUMBER(BP173),IF(AND(V173&lt;5*BP173,V173&gt;V172,E173&lt;AJ173),1,0),0)</f>
        <v>0</v>
      </c>
      <c r="BR173" s="44" t="n">
        <f aca="true">AVERAGE(OFFSET(F173,1-MIN(5,ROW()-4),0,MIN(5,ROW()-4),1))</f>
        <v>3903040</v>
      </c>
      <c r="BS173" s="42" t="n">
        <f aca="false">IFERROR(IF(MATCH(G173,周线!$A$5:$A$84,0)&lt;=1,"",INDEX(周线!$R$5:$R$84,MATCH(G173,周线!$A$5:$A$84,0)-1)),"")</f>
        <v>1</v>
      </c>
      <c r="BT173" s="42" t="n">
        <f aca="false">IFERROR(IF(MATCH(G173,周线!$A$5:$A$84,0)&lt;=1,"",INDEX(周线!$S$5:$S$84,MATCH(G173,周线!$A$5:$A$84,0)-1)),"")</f>
        <v>1</v>
      </c>
      <c r="BU173" s="42" t="n">
        <f aca="false">IFERROR(IF(MATCH(G173,周线!$A$5:$A$84,0)&lt;=1,"",INDEX(周线!$U$5:$U$84,MATCH(G173,周线!$A$5:$A$84,0)-1)),"")</f>
        <v>1</v>
      </c>
      <c r="BV173" s="42" t="n">
        <f aca="false">IF(AND(BS173=1,S173&lt;&gt;-1,V173&lt;0,BO173=1,E173&lt;=H173,E173&gt;=AJ173),1,0)</f>
        <v>0</v>
      </c>
      <c r="BW173" s="42" t="n">
        <f aca="false">BL173</f>
        <v>0</v>
      </c>
      <c r="BX173" s="42" t="n">
        <f aca="false">BQ173</f>
        <v>0</v>
      </c>
      <c r="BY173" s="42" t="n">
        <f aca="false">IF(BS173=1,10,0)+IF(BU173=1,5,IF(BU173=-1,0,3))+IF(BT173=1,5,0)+IF(AND(AE173&gt;AF173,AH173&gt;AH172),5,0)</f>
        <v>20</v>
      </c>
      <c r="BZ173" s="42" t="n">
        <f aca="false">IF(AND(E173&lt;=H173,E173&gt;=I173),10,IF(AND(E173&gt;=AJ173,E173&lt;I173),6,0))+IF(AND(V173&lt;0,BO173=1),8,0)+IF(AT173&lt;30,7,IF(AT173&lt;50,3,0))</f>
        <v>11</v>
      </c>
      <c r="CA173" s="42" t="n">
        <f aca="false">IF(AND(BV173=1,BW173=1),25,IF(BW173=1,22,IF(BV173=1,15,IF(BX173=1,12,0))))</f>
        <v>0</v>
      </c>
      <c r="CB173" s="42" t="n">
        <f aca="false">IF(W173&gt;0,6,0)+IF(F173&lt;BR173,4,0)</f>
        <v>6</v>
      </c>
      <c r="CC173" s="42" t="n">
        <f aca="false">IF(BC173&gt;=3,15,IF(BC173&gt;=p_RRmin,10,IF(BC173&gt;=1.5,4,0)))</f>
        <v>0</v>
      </c>
      <c r="CD173" s="42" t="n">
        <f aca="false">BY173+BZ173+CA173+CB173+CC173</f>
        <v>37</v>
      </c>
      <c r="CE173" s="42" t="n">
        <f aca="false">IF(AND(BS173&lt;&gt;1,BW173+BX173=0),1,0)</f>
        <v>0</v>
      </c>
      <c r="CF173" s="42" t="n">
        <f aca="false">IF(BU173=-1,1,0)</f>
        <v>0</v>
      </c>
      <c r="CG173" s="42" t="n">
        <f aca="false">IF(S173=-1,1,0)</f>
        <v>0</v>
      </c>
      <c r="CH173" s="42" t="n">
        <f aca="false">IF(BV173+BW173+BX173=0,1,0)</f>
        <v>1</v>
      </c>
      <c r="CI173" s="42" t="n">
        <f aca="false">IF(BC173&lt;p_RRmin,1,0)</f>
        <v>1</v>
      </c>
      <c r="CJ173" s="46" t="str">
        <f aca="false">IF(SUM(CE173:CI173)=0,IF(CD173&gt;=p_GradeA,"A",IF(CD173&gt;=p_GradeB,"B","C")),IF(AND(CI173=1,SUM(CE173:CH173)=0,CD173&gt;=p_GradeB),"B","C"))</f>
        <v>C</v>
      </c>
    </row>
    <row r="174" customFormat="false" ht="15" hidden="false" customHeight="false" outlineLevel="0" collapsed="false">
      <c r="A174" s="36" t="n">
        <v>45896</v>
      </c>
      <c r="B174" s="37" t="n">
        <v>24.02</v>
      </c>
      <c r="C174" s="37" t="n">
        <v>24.29</v>
      </c>
      <c r="D174" s="37" t="n">
        <v>23.79</v>
      </c>
      <c r="E174" s="37" t="n">
        <v>23.93</v>
      </c>
      <c r="F174" s="38" t="n">
        <v>4148100</v>
      </c>
      <c r="G174" s="39" t="n">
        <f aca="false">A174-WEEKDAY(A174,3)</f>
        <v>45894</v>
      </c>
      <c r="H174" s="40" t="n">
        <f aca="false">2/(p_EmaF+1)*E174+(1-2/(p_EmaF+1))*H173</f>
        <v>24.0937839145595</v>
      </c>
      <c r="I174" s="40" t="n">
        <f aca="false">2/(p_EmaS+1)*E174+(1-2/(p_EmaS+1))*I173</f>
        <v>23.5300338740926</v>
      </c>
      <c r="J174" s="41" t="n">
        <f aca="false">2/(p_MacdF+1)*E174+(1-2/(p_MacdF+1))*J173</f>
        <v>24.1335265754424</v>
      </c>
      <c r="K174" s="41" t="n">
        <f aca="false">2/(p_MacdS+1)*E174+(1-2/(p_MacdS+1))*K173</f>
        <v>23.5300338740926</v>
      </c>
      <c r="L174" s="41" t="n">
        <f aca="false">J174-K174</f>
        <v>0.603492701349815</v>
      </c>
      <c r="M174" s="41" t="n">
        <f aca="false">2/(p_MacdSig+1)*L174+(1-2/(p_MacdSig+1))*M173</f>
        <v>0.669902328219433</v>
      </c>
      <c r="N174" s="41" t="n">
        <f aca="false">L174-M174</f>
        <v>-0.0664096268696179</v>
      </c>
      <c r="O174" s="42" t="n">
        <f aca="false">IF(H174&gt;H173,1,0)</f>
        <v>0</v>
      </c>
      <c r="P174" s="42" t="n">
        <f aca="false">IF(H174&lt;H173,1,0)</f>
        <v>1</v>
      </c>
      <c r="Q174" s="42" t="n">
        <f aca="false">IF(N174&gt;N173,1,0)</f>
        <v>0</v>
      </c>
      <c r="R174" s="42" t="n">
        <f aca="false">IF(N174&lt;N173,1,0)</f>
        <v>1</v>
      </c>
      <c r="S174" s="42" t="n">
        <f aca="false">IF(AND(O174=1,Q174=1),1,IF(AND(P174=1,R174=1),-1,0))</f>
        <v>-1</v>
      </c>
      <c r="T174" s="43" t="str">
        <f aca="false">IF(S174=1,"绿",IF(S174=-1,"红","蓝"))</f>
        <v>红</v>
      </c>
      <c r="U174" s="44" t="n">
        <f aca="false">F174*(E174-E173)</f>
        <v>-954063.000000002</v>
      </c>
      <c r="V174" s="44" t="n">
        <f aca="false">2/(p_FiS+1)*U174+(1-2/(p_FiS+1))*V173</f>
        <v>-970085.116396487</v>
      </c>
      <c r="W174" s="44" t="n">
        <f aca="false">2/(p_FiL+1)*U174+(1-2/(p_FiL+1))*W173</f>
        <v>-21539.2748948783</v>
      </c>
      <c r="X174" s="41" t="n">
        <f aca="false">MAX(C174-D174,ABS(C174-E173),ABS(D174-E173))</f>
        <v>0.5</v>
      </c>
      <c r="Y174" s="41" t="n">
        <f aca="true">AVERAGE(OFFSET(X174,1-MIN(p_AtrN,ROW()-4),0,MIN(p_AtrN,ROW()-4),1))</f>
        <v>0.576153846153846</v>
      </c>
      <c r="Z174" s="41" t="n">
        <f aca="false">IF(AND(C174-C173&gt;D173-D174,C174-C173&gt;0),C174-C173,0)</f>
        <v>0</v>
      </c>
      <c r="AA174" s="41" t="n">
        <f aca="false">IF(AND(D173-D174&gt;C174-C173,D173-D174&gt;0),D173-D174,0)</f>
        <v>0.32</v>
      </c>
      <c r="AB174" s="41" t="n">
        <f aca="false">2/(p_AdxN+1)*X174+(1-2/(p_AdxN+1))*AB173</f>
        <v>0.503954200007059</v>
      </c>
      <c r="AC174" s="41" t="n">
        <f aca="false">2/(p_AdxN+1)*Z174+(1-2/(p_AdxN+1))*AC173</f>
        <v>0.0923995843109603</v>
      </c>
      <c r="AD174" s="41" t="n">
        <f aca="false">2/(p_AdxN+1)*AA174+(1-2/(p_AdxN+1))*AD173</f>
        <v>0.128806451343535</v>
      </c>
      <c r="AE174" s="45" t="n">
        <f aca="false">100*AC174/AB174</f>
        <v>18.3349170042964</v>
      </c>
      <c r="AF174" s="45" t="n">
        <f aca="false">100*AD174/AB174</f>
        <v>25.5591582214675</v>
      </c>
      <c r="AG174" s="45" t="n">
        <f aca="false">IFERROR(100*ABS(AE174-AF174)/(AE174+AF174),0)</f>
        <v>16.4583515657045</v>
      </c>
      <c r="AH174" s="45" t="n">
        <f aca="false">2/(p_AdxN+1)*AG174+(1-2/(p_AdxN+1))*AH173</f>
        <v>47.6560098154332</v>
      </c>
      <c r="AI174" s="40" t="n">
        <f aca="false">I174*(1+p_ChPct)</f>
        <v>24.9418359065381</v>
      </c>
      <c r="AJ174" s="40" t="n">
        <f aca="false">I174*(1-p_ChPct)</f>
        <v>22.118231841647</v>
      </c>
      <c r="AK174" s="40" t="n">
        <f aca="false">I174+1*Y174</f>
        <v>24.1061877202464</v>
      </c>
      <c r="AL174" s="40" t="n">
        <f aca="false">I174+2*Y174</f>
        <v>24.6823415664002</v>
      </c>
      <c r="AM174" s="40" t="n">
        <f aca="false">I174+3*Y174</f>
        <v>25.2584954125541</v>
      </c>
      <c r="AN174" s="40" t="n">
        <f aca="false">I174-1*Y174</f>
        <v>22.9538800279387</v>
      </c>
      <c r="AO174" s="40" t="n">
        <f aca="false">I174-2*Y174</f>
        <v>22.3777261817849</v>
      </c>
      <c r="AP174" s="40" t="n">
        <f aca="false">I174-3*Y174</f>
        <v>21.801572335631</v>
      </c>
      <c r="AQ174" s="40" t="n">
        <f aca="true">MAX(OFFSET(C174,1-MIN(p_StochN,ROW()-4),0,MIN(p_StochN,ROW()-4),1))</f>
        <v>24.98</v>
      </c>
      <c r="AR174" s="40" t="n">
        <f aca="true">MIN(OFFSET(D174,1-MIN(p_StochN,ROW()-4),0,MIN(p_StochN,ROW()-4),1))</f>
        <v>23.79</v>
      </c>
      <c r="AS174" s="45" t="n">
        <f aca="false">IF(AQ174=AR174,50,100*(E174-AR174)/(AQ174-AR174))</f>
        <v>11.764705882353</v>
      </c>
      <c r="AT174" s="45" t="n">
        <f aca="true">AVERAGE(OFFSET(AS174,1-MIN(p_StochSm,ROW()-4),0,MIN(p_StochSm,ROW()-4),1))</f>
        <v>12.7817218841559</v>
      </c>
      <c r="AU174" s="45" t="n">
        <f aca="true">AVERAGE(OFFSET(AT174,1-MIN(p_StochSm,ROW()-4),0,MIN(p_StochSm,ROW()-4),1))</f>
        <v>39.2004903668189</v>
      </c>
      <c r="AV174" s="41" t="n">
        <f aca="false">MAX(0,H174-D174)</f>
        <v>0.303783914559485</v>
      </c>
      <c r="AW174" s="41" t="n">
        <f aca="true">IF(COUNTIF(OFFSET(AV174,1-MIN(p_PenLb,ROW()-4),0,MIN(p_PenLb,ROW()-4),1),"&gt;0")&gt;0,SUM(OFFSET(AV174,1-MIN(p_PenLb,ROW()-4),0,MIN(p_PenLb,ROW()-4),1))/COUNTIF(OFFSET(AV174,1-MIN(p_PenLb,ROW()-4),0,MIN(p_PenLb,ROW()-4),1),"&gt;0"),0.5*Y174)</f>
        <v>0.199229550239646</v>
      </c>
      <c r="AX174" s="41" t="n">
        <f aca="false">2*H174-H173</f>
        <v>24.0664865954662</v>
      </c>
      <c r="AY174" s="40" t="n">
        <f aca="false">ROUND(MAX(AX174-AW174,0.01),2)</f>
        <v>23.87</v>
      </c>
      <c r="AZ174" s="40" t="n">
        <f aca="true">IF(MIN(p_StopLb,ROW()-4)&lt;2,D174,SMALL(OFFSET(D174,1-MIN(p_StopLb,ROW()-4),0,MIN(p_StopLb,ROW()-4),1),2))</f>
        <v>23.25</v>
      </c>
      <c r="BA174" s="40" t="n">
        <f aca="false">IF(MOD(ROUND(ROUNDDOWN(MIN(AZ174-0.01,AY174-p_StopAtr*Y174),2)*100,0),50)=0,ROUNDDOWN(MIN(AZ174-0.01,AY174-p_StopAtr*Y174),2)-0.01,ROUNDDOWN(MIN(AZ174-0.01,AY174-p_StopAtr*Y174),2))</f>
        <v>23.24</v>
      </c>
      <c r="BB174" s="40" t="n">
        <f aca="false">ROUND(AI174,2)</f>
        <v>24.94</v>
      </c>
      <c r="BC174" s="40" t="n">
        <f aca="false">IF(AY174-BA174&gt;0,(BB174-AY174)/(AY174-BA174),0)</f>
        <v>1.69841269841269</v>
      </c>
      <c r="BD174" s="42" t="n">
        <f aca="false">IF(N174&lt;0,1,0)</f>
        <v>1</v>
      </c>
      <c r="BE174" s="41" t="n">
        <f aca="false">IF(AND(BD174=1,BD173=0),N174,IF(BD174=1,MIN(BE173,N174),BE173))</f>
        <v>-0.0664096268696179</v>
      </c>
      <c r="BF174" s="40" t="n">
        <f aca="false">IF(AND(BD174=1,BD173=0),D174,IF(BD174=1,MIN(BF173,D174),BF173))</f>
        <v>23.79</v>
      </c>
      <c r="BG174" s="42" t="n">
        <f aca="false">IF(AND(BD174=1,BD173=0),ROW(),IF(BD174=1,IF(N174&lt;BE173,ROW(),BG173),BG173))</f>
        <v>174</v>
      </c>
      <c r="BH174" s="41" t="n">
        <f aca="false">IF(AND(BD174=1,BD173=0),BE173,BH173)</f>
        <v>-0.0583119972977335</v>
      </c>
      <c r="BI174" s="40" t="n">
        <f aca="false">IF(AND(BD174=1,BD173=0),BF173,BI173)</f>
        <v>19.27</v>
      </c>
      <c r="BJ174" s="42" t="n">
        <f aca="false">IF(AND(BD174=1,BD173=0),BG173,BJ173)</f>
        <v>124</v>
      </c>
      <c r="BK174" s="42" t="n">
        <f aca="false">IF(AND(ISNUMBER(BG174),ISNUMBER(BJ174)),BG174-BJ174,"")</f>
        <v>50</v>
      </c>
      <c r="BL174" s="42" t="n">
        <f aca="false">IF(AND(BD174=1,N174&gt;N173,ISNUMBER(BH174),ISNUMBER(BK174)),IF(AND(BE174&gt;BH174,BF174&lt;BI174,BK174&gt;=p_GapMin,BK174&lt;=p_GapMax),1,0),0)</f>
        <v>0</v>
      </c>
      <c r="BM174" s="42" t="n">
        <f aca="false">IF(AND(BL174=1,E174&gt;BI174),1,0)</f>
        <v>0</v>
      </c>
      <c r="BN174" s="42" t="n">
        <f aca="false">IF(BL174=1,IF(BE174&gt;=BH174*0.5,1,0),0)</f>
        <v>0</v>
      </c>
      <c r="BO174" s="42" t="n">
        <f aca="true">IF(V174&gt;MIN(OFFSET(V174,-MIN(p_FiLb-1,ROW()-5),0,MIN(p_FiLb-1,ROW()-5),1)),1,0)</f>
        <v>1</v>
      </c>
      <c r="BP174" s="44" t="n">
        <f aca="true">IF(COUNTIF(OFFSET(V174,1-MIN(100,ROW()-4),0,MIN(100,ROW()-4),1),"&lt;0")&gt;=5,AVERAGEIF(OFFSET(V174,1-MIN(100,ROW()-4),0,MIN(100,ROW()-4),1),"&lt;0"),"")</f>
        <v>-986883.777397954</v>
      </c>
      <c r="BQ174" s="42" t="n">
        <f aca="false">IF(ISNUMBER(BP174),IF(AND(V174&lt;5*BP174,V174&gt;V173,E174&lt;AJ174),1,0),0)</f>
        <v>0</v>
      </c>
      <c r="BR174" s="44" t="n">
        <f aca="true">AVERAGE(OFFSET(F174,1-MIN(5,ROW()-4),0,MIN(5,ROW()-4),1))</f>
        <v>3948200</v>
      </c>
      <c r="BS174" s="42" t="n">
        <f aca="false">IFERROR(IF(MATCH(G174,周线!$A$5:$A$84,0)&lt;=1,"",INDEX(周线!$R$5:$R$84,MATCH(G174,周线!$A$5:$A$84,0)-1)),"")</f>
        <v>1</v>
      </c>
      <c r="BT174" s="42" t="n">
        <f aca="false">IFERROR(IF(MATCH(G174,周线!$A$5:$A$84,0)&lt;=1,"",INDEX(周线!$S$5:$S$84,MATCH(G174,周线!$A$5:$A$84,0)-1)),"")</f>
        <v>1</v>
      </c>
      <c r="BU174" s="42" t="n">
        <f aca="false">IFERROR(IF(MATCH(G174,周线!$A$5:$A$84,0)&lt;=1,"",INDEX(周线!$U$5:$U$84,MATCH(G174,周线!$A$5:$A$84,0)-1)),"")</f>
        <v>1</v>
      </c>
      <c r="BV174" s="42" t="n">
        <f aca="false">IF(AND(BS174=1,S174&lt;&gt;-1,V174&lt;0,BO174=1,E174&lt;=H174,E174&gt;=AJ174),1,0)</f>
        <v>0</v>
      </c>
      <c r="BW174" s="42" t="n">
        <f aca="false">BL174</f>
        <v>0</v>
      </c>
      <c r="BX174" s="42" t="n">
        <f aca="false">BQ174</f>
        <v>0</v>
      </c>
      <c r="BY174" s="42" t="n">
        <f aca="false">IF(BS174=1,10,0)+IF(BU174=1,5,IF(BU174=-1,0,3))+IF(BT174=1,5,0)+IF(AND(AE174&gt;AF174,AH174&gt;AH173),5,0)</f>
        <v>20</v>
      </c>
      <c r="BZ174" s="42" t="n">
        <f aca="false">IF(AND(E174&lt;=H174,E174&gt;=I174),10,IF(AND(E174&gt;=AJ174,E174&lt;I174),6,0))+IF(AND(V174&lt;0,BO174=1),8,0)+IF(AT174&lt;30,7,IF(AT174&lt;50,3,0))</f>
        <v>25</v>
      </c>
      <c r="CA174" s="42" t="n">
        <f aca="false">IF(AND(BV174=1,BW174=1),25,IF(BW174=1,22,IF(BV174=1,15,IF(BX174=1,12,0))))</f>
        <v>0</v>
      </c>
      <c r="CB174" s="42" t="n">
        <f aca="false">IF(W174&gt;0,6,0)+IF(F174&lt;BR174,4,0)</f>
        <v>0</v>
      </c>
      <c r="CC174" s="42" t="n">
        <f aca="false">IF(BC174&gt;=3,15,IF(BC174&gt;=p_RRmin,10,IF(BC174&gt;=1.5,4,0)))</f>
        <v>4</v>
      </c>
      <c r="CD174" s="42" t="n">
        <f aca="false">BY174+BZ174+CA174+CB174+CC174</f>
        <v>49</v>
      </c>
      <c r="CE174" s="42" t="n">
        <f aca="false">IF(AND(BS174&lt;&gt;1,BW174+BX174=0),1,0)</f>
        <v>0</v>
      </c>
      <c r="CF174" s="42" t="n">
        <f aca="false">IF(BU174=-1,1,0)</f>
        <v>0</v>
      </c>
      <c r="CG174" s="42" t="n">
        <f aca="false">IF(S174=-1,1,0)</f>
        <v>1</v>
      </c>
      <c r="CH174" s="42" t="n">
        <f aca="false">IF(BV174+BW174+BX174=0,1,0)</f>
        <v>1</v>
      </c>
      <c r="CI174" s="42" t="n">
        <f aca="false">IF(BC174&lt;p_RRmin,1,0)</f>
        <v>1</v>
      </c>
      <c r="CJ174" s="46" t="str">
        <f aca="false">IF(SUM(CE174:CI174)=0,IF(CD174&gt;=p_GradeA,"A",IF(CD174&gt;=p_GradeB,"B","C")),IF(AND(CI174=1,SUM(CE174:CH174)=0,CD174&gt;=p_GradeB),"B","C"))</f>
        <v>C</v>
      </c>
    </row>
    <row r="175" customFormat="false" ht="15" hidden="false" customHeight="false" outlineLevel="0" collapsed="false">
      <c r="A175" s="36" t="n">
        <v>45897</v>
      </c>
      <c r="B175" s="37" t="n">
        <v>24.07</v>
      </c>
      <c r="C175" s="37" t="n">
        <v>24.12</v>
      </c>
      <c r="D175" s="37" t="n">
        <v>23.89</v>
      </c>
      <c r="E175" s="37" t="n">
        <v>23.91</v>
      </c>
      <c r="F175" s="38" t="n">
        <v>3945400</v>
      </c>
      <c r="G175" s="39" t="n">
        <f aca="false">A175-WEEKDAY(A175,3)</f>
        <v>45894</v>
      </c>
      <c r="H175" s="40" t="n">
        <f aca="false">2/(p_EmaF+1)*E175+(1-2/(p_EmaF+1))*H174</f>
        <v>24.0675290696224</v>
      </c>
      <c r="I175" s="40" t="n">
        <f aca="false">2/(p_EmaS+1)*E175+(1-2/(p_EmaS+1))*I174</f>
        <v>23.5581795130487</v>
      </c>
      <c r="J175" s="41" t="n">
        <f aca="false">2/(p_MacdF+1)*E175+(1-2/(p_MacdF+1))*J174</f>
        <v>24.0991378715282</v>
      </c>
      <c r="K175" s="41" t="n">
        <f aca="false">2/(p_MacdS+1)*E175+(1-2/(p_MacdS+1))*K174</f>
        <v>23.5581795130487</v>
      </c>
      <c r="L175" s="41" t="n">
        <f aca="false">J175-K175</f>
        <v>0.5409583584795</v>
      </c>
      <c r="M175" s="41" t="n">
        <f aca="false">2/(p_MacdSig+1)*L175+(1-2/(p_MacdSig+1))*M174</f>
        <v>0.644113534271446</v>
      </c>
      <c r="N175" s="41" t="n">
        <f aca="false">L175-M175</f>
        <v>-0.103155175791946</v>
      </c>
      <c r="O175" s="42" t="n">
        <f aca="false">IF(H175&gt;H174,1,0)</f>
        <v>0</v>
      </c>
      <c r="P175" s="42" t="n">
        <f aca="false">IF(H175&lt;H174,1,0)</f>
        <v>1</v>
      </c>
      <c r="Q175" s="42" t="n">
        <f aca="false">IF(N175&gt;N174,1,0)</f>
        <v>0</v>
      </c>
      <c r="R175" s="42" t="n">
        <f aca="false">IF(N175&lt;N174,1,0)</f>
        <v>1</v>
      </c>
      <c r="S175" s="42" t="n">
        <f aca="false">IF(AND(O175=1,Q175=1),1,IF(AND(P175=1,R175=1),-1,0))</f>
        <v>-1</v>
      </c>
      <c r="T175" s="43" t="str">
        <f aca="false">IF(S175=1,"绿",IF(S175=-1,"红","蓝"))</f>
        <v>红</v>
      </c>
      <c r="U175" s="44" t="n">
        <f aca="false">F175*(E175-E174)</f>
        <v>-78907.9999999983</v>
      </c>
      <c r="V175" s="44" t="n">
        <f aca="false">2/(p_FiS+1)*U175+(1-2/(p_FiS+1))*V174</f>
        <v>-375967.038798828</v>
      </c>
      <c r="W175" s="44" t="n">
        <f aca="false">2/(p_FiL+1)*U175+(1-2/(p_FiL+1))*W174</f>
        <v>-29734.8070527526</v>
      </c>
      <c r="X175" s="41" t="n">
        <f aca="false">MAX(C175-D175,ABS(C175-E174),ABS(D175-E174))</f>
        <v>0.23</v>
      </c>
      <c r="Y175" s="41" t="n">
        <f aca="true">AVERAGE(OFFSET(X175,1-MIN(p_AtrN,ROW()-4),0,MIN(p_AtrN,ROW()-4),1))</f>
        <v>0.563076923076923</v>
      </c>
      <c r="Z175" s="41" t="n">
        <f aca="false">IF(AND(C175-C174&gt;D174-D175,C175-C174&gt;0),C175-C174,0)</f>
        <v>0</v>
      </c>
      <c r="AA175" s="41" t="n">
        <f aca="false">IF(AND(D174-D175&gt;C175-C174,D174-D175&gt;0),D174-D175,0)</f>
        <v>0</v>
      </c>
      <c r="AB175" s="41" t="n">
        <f aca="false">2/(p_AdxN+1)*X175+(1-2/(p_AdxN+1))*AB174</f>
        <v>0.464817885720337</v>
      </c>
      <c r="AC175" s="41" t="n">
        <f aca="false">2/(p_AdxN+1)*Z175+(1-2/(p_AdxN+1))*AC174</f>
        <v>0.0791996436951089</v>
      </c>
      <c r="AD175" s="41" t="n">
        <f aca="false">2/(p_AdxN+1)*AA175+(1-2/(p_AdxN+1))*AD174</f>
        <v>0.11040552972303</v>
      </c>
      <c r="AE175" s="45" t="n">
        <f aca="false">100*AC175/AB175</f>
        <v>17.0388545983707</v>
      </c>
      <c r="AF175" s="45" t="n">
        <f aca="false">100*AD175/AB175</f>
        <v>23.7524271579895</v>
      </c>
      <c r="AG175" s="45" t="n">
        <f aca="false">IFERROR(100*ABS(AE175-AF175)/(AE175+AF175),0)</f>
        <v>16.4583515657045</v>
      </c>
      <c r="AH175" s="45" t="n">
        <f aca="false">2/(p_AdxN+1)*AG175+(1-2/(p_AdxN+1))*AH174</f>
        <v>43.1992014940434</v>
      </c>
      <c r="AI175" s="40" t="n">
        <f aca="false">I175*(1+p_ChPct)</f>
        <v>24.9716702838316</v>
      </c>
      <c r="AJ175" s="40" t="n">
        <f aca="false">I175*(1-p_ChPct)</f>
        <v>22.1446887422657</v>
      </c>
      <c r="AK175" s="40" t="n">
        <f aca="false">I175+1*Y175</f>
        <v>24.1212564361256</v>
      </c>
      <c r="AL175" s="40" t="n">
        <f aca="false">I175+2*Y175</f>
        <v>24.6843333592025</v>
      </c>
      <c r="AM175" s="40" t="n">
        <f aca="false">I175+3*Y175</f>
        <v>25.2474102822794</v>
      </c>
      <c r="AN175" s="40" t="n">
        <f aca="false">I175-1*Y175</f>
        <v>22.9951025899717</v>
      </c>
      <c r="AO175" s="40" t="n">
        <f aca="false">I175-2*Y175</f>
        <v>22.4320256668948</v>
      </c>
      <c r="AP175" s="40" t="n">
        <f aca="false">I175-3*Y175</f>
        <v>21.8689487438179</v>
      </c>
      <c r="AQ175" s="40" t="n">
        <f aca="true">MAX(OFFSET(C175,1-MIN(p_StochN,ROW()-4),0,MIN(p_StochN,ROW()-4),1))</f>
        <v>24.98</v>
      </c>
      <c r="AR175" s="40" t="n">
        <f aca="true">MIN(OFFSET(D175,1-MIN(p_StochN,ROW()-4),0,MIN(p_StochN,ROW()-4),1))</f>
        <v>23.79</v>
      </c>
      <c r="AS175" s="45" t="n">
        <f aca="false">IF(AQ175=AR175,50,100*(E175-AR175)/(AQ175-AR175))</f>
        <v>10.0840336134455</v>
      </c>
      <c r="AT175" s="45" t="n">
        <f aca="true">AVERAGE(OFFSET(AS175,1-MIN(p_StochSm,ROW()-4),0,MIN(p_StochSm,ROW()-4),1))</f>
        <v>9.1986219775267</v>
      </c>
      <c r="AU175" s="45" t="n">
        <f aca="true">AVERAGE(OFFSET(AT175,1-MIN(p_StochSm,ROW()-4),0,MIN(p_StochSm,ROW()-4),1))</f>
        <v>20.0023879283514</v>
      </c>
      <c r="AV175" s="41" t="n">
        <f aca="false">MAX(0,H175-D175)</f>
        <v>0.177529069622416</v>
      </c>
      <c r="AW175" s="41" t="n">
        <f aca="true">IF(COUNTIF(OFFSET(AV175,1-MIN(p_PenLb,ROW()-4),0,MIN(p_PenLb,ROW()-4),1),"&gt;0")&gt;0,SUM(OFFSET(AV175,1-MIN(p_PenLb,ROW()-4),0,MIN(p_PenLb,ROW()-4),1))/COUNTIF(OFFSET(AV175,1-MIN(p_PenLb,ROW()-4),0,MIN(p_PenLb,ROW()-4),1),"&gt;0"),0.5*Y175)</f>
        <v>0.175453076926354</v>
      </c>
      <c r="AX175" s="41" t="n">
        <f aca="false">2*H175-H174</f>
        <v>24.0412742246854</v>
      </c>
      <c r="AY175" s="40" t="n">
        <f aca="false">ROUND(MAX(AX175-AW175,0.01),2)</f>
        <v>23.87</v>
      </c>
      <c r="AZ175" s="40" t="n">
        <f aca="true">IF(MIN(p_StopLb,ROW()-4)&lt;2,D175,SMALL(OFFSET(D175,1-MIN(p_StopLb,ROW()-4),0,MIN(p_StopLb,ROW()-4),1),2))</f>
        <v>23.79</v>
      </c>
      <c r="BA175" s="40" t="n">
        <f aca="false">IF(MOD(ROUND(ROUNDDOWN(MIN(AZ175-0.01,AY175-p_StopAtr*Y175),2)*100,0),50)=0,ROUNDDOWN(MIN(AZ175-0.01,AY175-p_StopAtr*Y175),2)-0.01,ROUNDDOWN(MIN(AZ175-0.01,AY175-p_StopAtr*Y175),2))</f>
        <v>23.3</v>
      </c>
      <c r="BB175" s="40" t="n">
        <f aca="false">ROUND(AI175,2)</f>
        <v>24.97</v>
      </c>
      <c r="BC175" s="40" t="n">
        <f aca="false">IF(AY175-BA175&gt;0,(BB175-AY175)/(AY175-BA175),0)</f>
        <v>1.9298245614035</v>
      </c>
      <c r="BD175" s="42" t="n">
        <f aca="false">IF(N175&lt;0,1,0)</f>
        <v>1</v>
      </c>
      <c r="BE175" s="41" t="n">
        <f aca="false">IF(AND(BD175=1,BD174=0),N175,IF(BD175=1,MIN(BE174,N175),BE174))</f>
        <v>-0.103155175791946</v>
      </c>
      <c r="BF175" s="40" t="n">
        <f aca="false">IF(AND(BD175=1,BD174=0),D175,IF(BD175=1,MIN(BF174,D175),BF174))</f>
        <v>23.79</v>
      </c>
      <c r="BG175" s="42" t="n">
        <f aca="false">IF(AND(BD175=1,BD174=0),ROW(),IF(BD175=1,IF(N175&lt;BE174,ROW(),BG174),BG174))</f>
        <v>175</v>
      </c>
      <c r="BH175" s="41" t="n">
        <f aca="false">IF(AND(BD175=1,BD174=0),BE174,BH174)</f>
        <v>-0.0583119972977335</v>
      </c>
      <c r="BI175" s="40" t="n">
        <f aca="false">IF(AND(BD175=1,BD174=0),BF174,BI174)</f>
        <v>19.27</v>
      </c>
      <c r="BJ175" s="42" t="n">
        <f aca="false">IF(AND(BD175=1,BD174=0),BG174,BJ174)</f>
        <v>124</v>
      </c>
      <c r="BK175" s="42" t="n">
        <f aca="false">IF(AND(ISNUMBER(BG175),ISNUMBER(BJ175)),BG175-BJ175,"")</f>
        <v>51</v>
      </c>
      <c r="BL175" s="42" t="n">
        <f aca="false">IF(AND(BD175=1,N175&gt;N174,ISNUMBER(BH175),ISNUMBER(BK175)),IF(AND(BE175&gt;BH175,BF175&lt;BI175,BK175&gt;=p_GapMin,BK175&lt;=p_GapMax),1,0),0)</f>
        <v>0</v>
      </c>
      <c r="BM175" s="42" t="n">
        <f aca="false">IF(AND(BL175=1,E175&gt;BI175),1,0)</f>
        <v>0</v>
      </c>
      <c r="BN175" s="42" t="n">
        <f aca="false">IF(BL175=1,IF(BE175&gt;=BH175*0.5,1,0),0)</f>
        <v>0</v>
      </c>
      <c r="BO175" s="42" t="n">
        <f aca="true">IF(V175&gt;MIN(OFFSET(V175,-MIN(p_FiLb-1,ROW()-5),0,MIN(p_FiLb-1,ROW()-5),1)),1,0)</f>
        <v>1</v>
      </c>
      <c r="BP175" s="44" t="n">
        <f aca="true">IF(COUNTIF(OFFSET(V175,1-MIN(100,ROW()-4),0,MIN(100,ROW()-4),1),"&lt;0")&gt;=5,AVERAGEIF(OFFSET(V175,1-MIN(100,ROW()-4),0,MIN(100,ROW()-4),1),"&lt;0"),"")</f>
        <v>-993779.862497325</v>
      </c>
      <c r="BQ175" s="42" t="n">
        <f aca="false">IF(ISNUMBER(BP175),IF(AND(V175&lt;5*BP175,V175&gt;V174,E175&lt;AJ175),1,0),0)</f>
        <v>0</v>
      </c>
      <c r="BR175" s="44" t="n">
        <f aca="true">AVERAGE(OFFSET(F175,1-MIN(5,ROW()-4),0,MIN(5,ROW()-4),1))</f>
        <v>3925160</v>
      </c>
      <c r="BS175" s="42" t="n">
        <f aca="false">IFERROR(IF(MATCH(G175,周线!$A$5:$A$84,0)&lt;=1,"",INDEX(周线!$R$5:$R$84,MATCH(G175,周线!$A$5:$A$84,0)-1)),"")</f>
        <v>1</v>
      </c>
      <c r="BT175" s="42" t="n">
        <f aca="false">IFERROR(IF(MATCH(G175,周线!$A$5:$A$84,0)&lt;=1,"",INDEX(周线!$S$5:$S$84,MATCH(G175,周线!$A$5:$A$84,0)-1)),"")</f>
        <v>1</v>
      </c>
      <c r="BU175" s="42" t="n">
        <f aca="false">IFERROR(IF(MATCH(G175,周线!$A$5:$A$84,0)&lt;=1,"",INDEX(周线!$U$5:$U$84,MATCH(G175,周线!$A$5:$A$84,0)-1)),"")</f>
        <v>1</v>
      </c>
      <c r="BV175" s="42" t="n">
        <f aca="false">IF(AND(BS175=1,S175&lt;&gt;-1,V175&lt;0,BO175=1,E175&lt;=H175,E175&gt;=AJ175),1,0)</f>
        <v>0</v>
      </c>
      <c r="BW175" s="42" t="n">
        <f aca="false">BL175</f>
        <v>0</v>
      </c>
      <c r="BX175" s="42" t="n">
        <f aca="false">BQ175</f>
        <v>0</v>
      </c>
      <c r="BY175" s="42" t="n">
        <f aca="false">IF(BS175=1,10,0)+IF(BU175=1,5,IF(BU175=-1,0,3))+IF(BT175=1,5,0)+IF(AND(AE175&gt;AF175,AH175&gt;AH174),5,0)</f>
        <v>20</v>
      </c>
      <c r="BZ175" s="42" t="n">
        <f aca="false">IF(AND(E175&lt;=H175,E175&gt;=I175),10,IF(AND(E175&gt;=AJ175,E175&lt;I175),6,0))+IF(AND(V175&lt;0,BO175=1),8,0)+IF(AT175&lt;30,7,IF(AT175&lt;50,3,0))</f>
        <v>25</v>
      </c>
      <c r="CA175" s="42" t="n">
        <f aca="false">IF(AND(BV175=1,BW175=1),25,IF(BW175=1,22,IF(BV175=1,15,IF(BX175=1,12,0))))</f>
        <v>0</v>
      </c>
      <c r="CB175" s="42" t="n">
        <f aca="false">IF(W175&gt;0,6,0)+IF(F175&lt;BR175,4,0)</f>
        <v>0</v>
      </c>
      <c r="CC175" s="42" t="n">
        <f aca="false">IF(BC175&gt;=3,15,IF(BC175&gt;=p_RRmin,10,IF(BC175&gt;=1.5,4,0)))</f>
        <v>4</v>
      </c>
      <c r="CD175" s="42" t="n">
        <f aca="false">BY175+BZ175+CA175+CB175+CC175</f>
        <v>49</v>
      </c>
      <c r="CE175" s="42" t="n">
        <f aca="false">IF(AND(BS175&lt;&gt;1,BW175+BX175=0),1,0)</f>
        <v>0</v>
      </c>
      <c r="CF175" s="42" t="n">
        <f aca="false">IF(BU175=-1,1,0)</f>
        <v>0</v>
      </c>
      <c r="CG175" s="42" t="n">
        <f aca="false">IF(S175=-1,1,0)</f>
        <v>1</v>
      </c>
      <c r="CH175" s="42" t="n">
        <f aca="false">IF(BV175+BW175+BX175=0,1,0)</f>
        <v>1</v>
      </c>
      <c r="CI175" s="42" t="n">
        <f aca="false">IF(BC175&lt;p_RRmin,1,0)</f>
        <v>1</v>
      </c>
      <c r="CJ175" s="46" t="str">
        <f aca="false">IF(SUM(CE175:CI175)=0,IF(CD175&gt;=p_GradeA,"A",IF(CD175&gt;=p_GradeB,"B","C")),IF(AND(CI175=1,SUM(CE175:CH175)=0,CD175&gt;=p_GradeB),"B","C"))</f>
        <v>C</v>
      </c>
    </row>
    <row r="176" customFormat="false" ht="15" hidden="false" customHeight="false" outlineLevel="0" collapsed="false">
      <c r="A176" s="36" t="n">
        <v>45898</v>
      </c>
      <c r="B176" s="37" t="n">
        <v>23.86</v>
      </c>
      <c r="C176" s="37" t="n">
        <v>24</v>
      </c>
      <c r="D176" s="37" t="n">
        <v>23.68</v>
      </c>
      <c r="E176" s="37" t="n">
        <v>23.88</v>
      </c>
      <c r="F176" s="38" t="n">
        <v>2709000</v>
      </c>
      <c r="G176" s="39" t="n">
        <f aca="false">A176-WEEKDAY(A176,3)</f>
        <v>45894</v>
      </c>
      <c r="H176" s="40" t="n">
        <f aca="false">2/(p_EmaF+1)*E176+(1-2/(p_EmaF+1))*H175</f>
        <v>24.0407392025335</v>
      </c>
      <c r="I176" s="40" t="n">
        <f aca="false">2/(p_EmaS+1)*E176+(1-2/(p_EmaS+1))*I175</f>
        <v>23.5820180676376</v>
      </c>
      <c r="J176" s="41" t="n">
        <f aca="false">2/(p_MacdF+1)*E176+(1-2/(p_MacdF+1))*J175</f>
        <v>24.0654243528315</v>
      </c>
      <c r="K176" s="41" t="n">
        <f aca="false">2/(p_MacdS+1)*E176+(1-2/(p_MacdS+1))*K175</f>
        <v>23.5820180676376</v>
      </c>
      <c r="L176" s="41" t="n">
        <f aca="false">J176-K176</f>
        <v>0.483406285193873</v>
      </c>
      <c r="M176" s="41" t="n">
        <f aca="false">2/(p_MacdSig+1)*L176+(1-2/(p_MacdSig+1))*M175</f>
        <v>0.611972084455932</v>
      </c>
      <c r="N176" s="41" t="n">
        <f aca="false">L176-M176</f>
        <v>-0.128565799262059</v>
      </c>
      <c r="O176" s="42" t="n">
        <f aca="false">IF(H176&gt;H175,1,0)</f>
        <v>0</v>
      </c>
      <c r="P176" s="42" t="n">
        <f aca="false">IF(H176&lt;H175,1,0)</f>
        <v>1</v>
      </c>
      <c r="Q176" s="42" t="n">
        <f aca="false">IF(N176&gt;N175,1,0)</f>
        <v>0</v>
      </c>
      <c r="R176" s="42" t="n">
        <f aca="false">IF(N176&lt;N175,1,0)</f>
        <v>1</v>
      </c>
      <c r="S176" s="42" t="n">
        <f aca="false">IF(AND(O176=1,Q176=1),1,IF(AND(P176=1,R176=1),-1,0))</f>
        <v>-1</v>
      </c>
      <c r="T176" s="43" t="str">
        <f aca="false">IF(S176=1,"绿",IF(S176=-1,"红","蓝"))</f>
        <v>红</v>
      </c>
      <c r="U176" s="44" t="n">
        <f aca="false">F176*(E176-E175)</f>
        <v>-81270.0000000031</v>
      </c>
      <c r="V176" s="44" t="n">
        <f aca="false">2/(p_FiS+1)*U176+(1-2/(p_FiS+1))*V175</f>
        <v>-179502.346266278</v>
      </c>
      <c r="W176" s="44" t="n">
        <f aca="false">2/(p_FiL+1)*U176+(1-2/(p_FiL+1))*W175</f>
        <v>-37096.9774737884</v>
      </c>
      <c r="X176" s="41" t="n">
        <f aca="false">MAX(C176-D176,ABS(C176-E175),ABS(D176-E175))</f>
        <v>0.32</v>
      </c>
      <c r="Y176" s="41" t="n">
        <f aca="true">AVERAGE(OFFSET(X176,1-MIN(p_AtrN,ROW()-4),0,MIN(p_AtrN,ROW()-4),1))</f>
        <v>0.543846153846154</v>
      </c>
      <c r="Z176" s="41" t="n">
        <f aca="false">IF(AND(C176-C175&gt;D175-D176,C176-C175&gt;0),C176-C175,0)</f>
        <v>0</v>
      </c>
      <c r="AA176" s="41" t="n">
        <f aca="false">IF(AND(D175-D176&gt;C176-C175,D175-D176&gt;0),D175-D176,0)</f>
        <v>0.210000000000001</v>
      </c>
      <c r="AB176" s="41" t="n">
        <f aca="false">2/(p_AdxN+1)*X176+(1-2/(p_AdxN+1))*AB175</f>
        <v>0.444129616331717</v>
      </c>
      <c r="AC176" s="41" t="n">
        <f aca="false">2/(p_AdxN+1)*Z176+(1-2/(p_AdxN+1))*AC175</f>
        <v>0.0678854088815219</v>
      </c>
      <c r="AD176" s="41" t="n">
        <f aca="false">2/(p_AdxN+1)*AA176+(1-2/(p_AdxN+1))*AD175</f>
        <v>0.124633311191169</v>
      </c>
      <c r="AE176" s="45" t="n">
        <f aca="false">100*AC176/AB176</f>
        <v>15.2850443620987</v>
      </c>
      <c r="AF176" s="45" t="n">
        <f aca="false">100*AD176/AB176</f>
        <v>28.0623733721196</v>
      </c>
      <c r="AG176" s="45" t="n">
        <f aca="false">IFERROR(100*ABS(AE176-AF176)/(AE176+AF176),0)</f>
        <v>29.4765632600404</v>
      </c>
      <c r="AH176" s="45" t="n">
        <f aca="false">2/(p_AdxN+1)*AG176+(1-2/(p_AdxN+1))*AH175</f>
        <v>41.2388246034716</v>
      </c>
      <c r="AI176" s="40" t="n">
        <f aca="false">I176*(1+p_ChPct)</f>
        <v>24.9969391516959</v>
      </c>
      <c r="AJ176" s="40" t="n">
        <f aca="false">I176*(1-p_ChPct)</f>
        <v>22.1670969835794</v>
      </c>
      <c r="AK176" s="40" t="n">
        <f aca="false">I176+1*Y176</f>
        <v>24.1258642214838</v>
      </c>
      <c r="AL176" s="40" t="n">
        <f aca="false">I176+2*Y176</f>
        <v>24.66971037533</v>
      </c>
      <c r="AM176" s="40" t="n">
        <f aca="false">I176+3*Y176</f>
        <v>25.2135565291761</v>
      </c>
      <c r="AN176" s="40" t="n">
        <f aca="false">I176-1*Y176</f>
        <v>23.0381719137915</v>
      </c>
      <c r="AO176" s="40" t="n">
        <f aca="false">I176-2*Y176</f>
        <v>22.4943257599453</v>
      </c>
      <c r="AP176" s="40" t="n">
        <f aca="false">I176-3*Y176</f>
        <v>21.9504796060992</v>
      </c>
      <c r="AQ176" s="40" t="n">
        <f aca="true">MAX(OFFSET(C176,1-MIN(p_StochN,ROW()-4),0,MIN(p_StochN,ROW()-4),1))</f>
        <v>24.77</v>
      </c>
      <c r="AR176" s="40" t="n">
        <f aca="true">MIN(OFFSET(D176,1-MIN(p_StochN,ROW()-4),0,MIN(p_StochN,ROW()-4),1))</f>
        <v>23.68</v>
      </c>
      <c r="AS176" s="45" t="n">
        <f aca="false">IF(AQ176=AR176,50,100*(E176-AR176)/(AQ176-AR176))</f>
        <v>18.3486238532109</v>
      </c>
      <c r="AT176" s="45" t="n">
        <f aca="true">AVERAGE(OFFSET(AS176,1-MIN(p_StochSm,ROW()-4),0,MIN(p_StochSm,ROW()-4),1))</f>
        <v>13.3991211163365</v>
      </c>
      <c r="AU176" s="45" t="n">
        <f aca="true">AVERAGE(OFFSET(AT176,1-MIN(p_StochSm,ROW()-4),0,MIN(p_StochSm,ROW()-4),1))</f>
        <v>11.793154992673</v>
      </c>
      <c r="AV176" s="41" t="n">
        <f aca="false">MAX(0,H176-D176)</f>
        <v>0.360739202533502</v>
      </c>
      <c r="AW176" s="41" t="n">
        <f aca="true">IF(COUNTIF(OFFSET(AV176,1-MIN(p_PenLb,ROW()-4),0,MIN(p_PenLb,ROW()-4),1),"&gt;0")&gt;0,SUM(OFFSET(AV176,1-MIN(p_PenLb,ROW()-4),0,MIN(p_PenLb,ROW()-4),1))/COUNTIF(OFFSET(AV176,1-MIN(p_PenLb,ROW()-4),0,MIN(p_PenLb,ROW()-4),1),"&gt;0"),0.5*Y176)</f>
        <v>0.212510302047784</v>
      </c>
      <c r="AX176" s="41" t="n">
        <f aca="false">2*H176-H175</f>
        <v>24.0139493354446</v>
      </c>
      <c r="AY176" s="40" t="n">
        <f aca="false">ROUND(MAX(AX176-AW176,0.01),2)</f>
        <v>23.8</v>
      </c>
      <c r="AZ176" s="40" t="n">
        <f aca="true">IF(MIN(p_StopLb,ROW()-4)&lt;2,D176,SMALL(OFFSET(D176,1-MIN(p_StopLb,ROW()-4),0,MIN(p_StopLb,ROW()-4),1),2))</f>
        <v>23.79</v>
      </c>
      <c r="BA176" s="40" t="n">
        <f aca="false">IF(MOD(ROUND(ROUNDDOWN(MIN(AZ176-0.01,AY176-p_StopAtr*Y176),2)*100,0),50)=0,ROUNDDOWN(MIN(AZ176-0.01,AY176-p_StopAtr*Y176),2)-0.01,ROUNDDOWN(MIN(AZ176-0.01,AY176-p_StopAtr*Y176),2))</f>
        <v>23.25</v>
      </c>
      <c r="BB176" s="40" t="n">
        <f aca="false">ROUND(AI176,2)</f>
        <v>25</v>
      </c>
      <c r="BC176" s="40" t="n">
        <f aca="false">IF(AY176-BA176&gt;0,(BB176-AY176)/(AY176-BA176),0)</f>
        <v>2.18181818181818</v>
      </c>
      <c r="BD176" s="42" t="n">
        <f aca="false">IF(N176&lt;0,1,0)</f>
        <v>1</v>
      </c>
      <c r="BE176" s="41" t="n">
        <f aca="false">IF(AND(BD176=1,BD175=0),N176,IF(BD176=1,MIN(BE175,N176),BE175))</f>
        <v>-0.128565799262059</v>
      </c>
      <c r="BF176" s="40" t="n">
        <f aca="false">IF(AND(BD176=1,BD175=0),D176,IF(BD176=1,MIN(BF175,D176),BF175))</f>
        <v>23.68</v>
      </c>
      <c r="BG176" s="42" t="n">
        <f aca="false">IF(AND(BD176=1,BD175=0),ROW(),IF(BD176=1,IF(N176&lt;BE175,ROW(),BG175),BG175))</f>
        <v>176</v>
      </c>
      <c r="BH176" s="41" t="n">
        <f aca="false">IF(AND(BD176=1,BD175=0),BE175,BH175)</f>
        <v>-0.0583119972977335</v>
      </c>
      <c r="BI176" s="40" t="n">
        <f aca="false">IF(AND(BD176=1,BD175=0),BF175,BI175)</f>
        <v>19.27</v>
      </c>
      <c r="BJ176" s="42" t="n">
        <f aca="false">IF(AND(BD176=1,BD175=0),BG175,BJ175)</f>
        <v>124</v>
      </c>
      <c r="BK176" s="42" t="n">
        <f aca="false">IF(AND(ISNUMBER(BG176),ISNUMBER(BJ176)),BG176-BJ176,"")</f>
        <v>52</v>
      </c>
      <c r="BL176" s="42" t="n">
        <f aca="false">IF(AND(BD176=1,N176&gt;N175,ISNUMBER(BH176),ISNUMBER(BK176)),IF(AND(BE176&gt;BH176,BF176&lt;BI176,BK176&gt;=p_GapMin,BK176&lt;=p_GapMax),1,0),0)</f>
        <v>0</v>
      </c>
      <c r="BM176" s="42" t="n">
        <f aca="false">IF(AND(BL176=1,E176&gt;BI176),1,0)</f>
        <v>0</v>
      </c>
      <c r="BN176" s="42" t="n">
        <f aca="false">IF(BL176=1,IF(BE176&gt;=BH176*0.5,1,0),0)</f>
        <v>0</v>
      </c>
      <c r="BO176" s="42" t="n">
        <f aca="true">IF(V176&gt;MIN(OFFSET(V176,-MIN(p_FiLb-1,ROW()-5),0,MIN(p_FiLb-1,ROW()-5),1)),1,0)</f>
        <v>1</v>
      </c>
      <c r="BP176" s="44" t="n">
        <f aca="true">IF(COUNTIF(OFFSET(V176,1-MIN(100,ROW()-4),0,MIN(100,ROW()-4),1),"&lt;0")&gt;=5,AVERAGEIF(OFFSET(V176,1-MIN(100,ROW()-4),0,MIN(100,ROW()-4),1),"&lt;0"),"")</f>
        <v>-978974.81674767</v>
      </c>
      <c r="BQ176" s="42" t="n">
        <f aca="false">IF(ISNUMBER(BP176),IF(AND(V176&lt;5*BP176,V176&gt;V175,E176&lt;AJ176),1,0),0)</f>
        <v>0</v>
      </c>
      <c r="BR176" s="44" t="n">
        <f aca="true">AVERAGE(OFFSET(F176,1-MIN(5,ROW()-4),0,MIN(5,ROW()-4),1))</f>
        <v>3695820</v>
      </c>
      <c r="BS176" s="42" t="n">
        <f aca="false">IFERROR(IF(MATCH(G176,周线!$A$5:$A$84,0)&lt;=1,"",INDEX(周线!$R$5:$R$84,MATCH(G176,周线!$A$5:$A$84,0)-1)),"")</f>
        <v>1</v>
      </c>
      <c r="BT176" s="42" t="n">
        <f aca="false">IFERROR(IF(MATCH(G176,周线!$A$5:$A$84,0)&lt;=1,"",INDEX(周线!$S$5:$S$84,MATCH(G176,周线!$A$5:$A$84,0)-1)),"")</f>
        <v>1</v>
      </c>
      <c r="BU176" s="42" t="n">
        <f aca="false">IFERROR(IF(MATCH(G176,周线!$A$5:$A$84,0)&lt;=1,"",INDEX(周线!$U$5:$U$84,MATCH(G176,周线!$A$5:$A$84,0)-1)),"")</f>
        <v>1</v>
      </c>
      <c r="BV176" s="42" t="n">
        <f aca="false">IF(AND(BS176=1,S176&lt;&gt;-1,V176&lt;0,BO176=1,E176&lt;=H176,E176&gt;=AJ176),1,0)</f>
        <v>0</v>
      </c>
      <c r="BW176" s="42" t="n">
        <f aca="false">BL176</f>
        <v>0</v>
      </c>
      <c r="BX176" s="42" t="n">
        <f aca="false">BQ176</f>
        <v>0</v>
      </c>
      <c r="BY176" s="42" t="n">
        <f aca="false">IF(BS176=1,10,0)+IF(BU176=1,5,IF(BU176=-1,0,3))+IF(BT176=1,5,0)+IF(AND(AE176&gt;AF176,AH176&gt;AH175),5,0)</f>
        <v>20</v>
      </c>
      <c r="BZ176" s="42" t="n">
        <f aca="false">IF(AND(E176&lt;=H176,E176&gt;=I176),10,IF(AND(E176&gt;=AJ176,E176&lt;I176),6,0))+IF(AND(V176&lt;0,BO176=1),8,0)+IF(AT176&lt;30,7,IF(AT176&lt;50,3,0))</f>
        <v>25</v>
      </c>
      <c r="CA176" s="42" t="n">
        <f aca="false">IF(AND(BV176=1,BW176=1),25,IF(BW176=1,22,IF(BV176=1,15,IF(BX176=1,12,0))))</f>
        <v>0</v>
      </c>
      <c r="CB176" s="42" t="n">
        <f aca="false">IF(W176&gt;0,6,0)+IF(F176&lt;BR176,4,0)</f>
        <v>4</v>
      </c>
      <c r="CC176" s="42" t="n">
        <f aca="false">IF(BC176&gt;=3,15,IF(BC176&gt;=p_RRmin,10,IF(BC176&gt;=1.5,4,0)))</f>
        <v>10</v>
      </c>
      <c r="CD176" s="42" t="n">
        <f aca="false">BY176+BZ176+CA176+CB176+CC176</f>
        <v>59</v>
      </c>
      <c r="CE176" s="42" t="n">
        <f aca="false">IF(AND(BS176&lt;&gt;1,BW176+BX176=0),1,0)</f>
        <v>0</v>
      </c>
      <c r="CF176" s="42" t="n">
        <f aca="false">IF(BU176=-1,1,0)</f>
        <v>0</v>
      </c>
      <c r="CG176" s="42" t="n">
        <f aca="false">IF(S176=-1,1,0)</f>
        <v>1</v>
      </c>
      <c r="CH176" s="42" t="n">
        <f aca="false">IF(BV176+BW176+BX176=0,1,0)</f>
        <v>1</v>
      </c>
      <c r="CI176" s="42" t="n">
        <f aca="false">IF(BC176&lt;p_RRmin,1,0)</f>
        <v>0</v>
      </c>
      <c r="CJ176" s="46" t="str">
        <f aca="false">IF(SUM(CE176:CI176)=0,IF(CD176&gt;=p_GradeA,"A",IF(CD176&gt;=p_GradeB,"B","C")),IF(AND(CI176=1,SUM(CE176:CH176)=0,CD176&gt;=p_GradeB),"B","C"))</f>
        <v>C</v>
      </c>
    </row>
    <row r="177" customFormat="false" ht="15" hidden="false" customHeight="false" outlineLevel="0" collapsed="false">
      <c r="A177" s="36" t="n">
        <v>45901</v>
      </c>
      <c r="B177" s="37" t="n">
        <v>23.73</v>
      </c>
      <c r="C177" s="37" t="n">
        <v>24.36</v>
      </c>
      <c r="D177" s="37" t="n">
        <v>23.66</v>
      </c>
      <c r="E177" s="37" t="n">
        <v>24.22</v>
      </c>
      <c r="F177" s="38" t="n">
        <v>4152800</v>
      </c>
      <c r="G177" s="39" t="n">
        <f aca="false">A177-WEEKDAY(A177,3)</f>
        <v>45901</v>
      </c>
      <c r="H177" s="40" t="n">
        <f aca="false">2/(p_EmaF+1)*E177+(1-2/(p_EmaF+1))*H176</f>
        <v>24.0663478878859</v>
      </c>
      <c r="I177" s="40" t="n">
        <f aca="false">2/(p_EmaS+1)*E177+(1-2/(p_EmaS+1))*I176</f>
        <v>23.6292759885534</v>
      </c>
      <c r="J177" s="41" t="n">
        <f aca="false">2/(p_MacdF+1)*E177+(1-2/(p_MacdF+1))*J176</f>
        <v>24.0892052216267</v>
      </c>
      <c r="K177" s="41" t="n">
        <f aca="false">2/(p_MacdS+1)*E177+(1-2/(p_MacdS+1))*K176</f>
        <v>23.6292759885534</v>
      </c>
      <c r="L177" s="41" t="n">
        <f aca="false">J177-K177</f>
        <v>0.459929233073293</v>
      </c>
      <c r="M177" s="41" t="n">
        <f aca="false">2/(p_MacdSig+1)*L177+(1-2/(p_MacdSig+1))*M176</f>
        <v>0.581563514179404</v>
      </c>
      <c r="N177" s="41" t="n">
        <f aca="false">L177-M177</f>
        <v>-0.121634281106111</v>
      </c>
      <c r="O177" s="42" t="n">
        <f aca="false">IF(H177&gt;H176,1,0)</f>
        <v>1</v>
      </c>
      <c r="P177" s="42" t="n">
        <f aca="false">IF(H177&lt;H176,1,0)</f>
        <v>0</v>
      </c>
      <c r="Q177" s="42" t="n">
        <f aca="false">IF(N177&gt;N176,1,0)</f>
        <v>1</v>
      </c>
      <c r="R177" s="42" t="n">
        <f aca="false">IF(N177&lt;N176,1,0)</f>
        <v>0</v>
      </c>
      <c r="S177" s="42" t="n">
        <f aca="false">IF(AND(O177=1,Q177=1),1,IF(AND(P177=1,R177=1),-1,0))</f>
        <v>1</v>
      </c>
      <c r="T177" s="43" t="str">
        <f aca="false">IF(S177=1,"绿",IF(S177=-1,"红","蓝"))</f>
        <v>绿</v>
      </c>
      <c r="U177" s="44" t="n">
        <f aca="false">F177*(E177-E176)</f>
        <v>1411952</v>
      </c>
      <c r="V177" s="44" t="n">
        <f aca="false">2/(p_FiS+1)*U177+(1-2/(p_FiS+1))*V176</f>
        <v>881467.21791124</v>
      </c>
      <c r="W177" s="44" t="n">
        <f aca="false">2/(p_FiL+1)*U177+(1-2/(p_FiL+1))*W176</f>
        <v>169910.019308181</v>
      </c>
      <c r="X177" s="41" t="n">
        <f aca="false">MAX(C177-D177,ABS(C177-E176),ABS(D177-E176))</f>
        <v>0.699999999999999</v>
      </c>
      <c r="Y177" s="41" t="n">
        <f aca="true">AVERAGE(OFFSET(X177,1-MIN(p_AtrN,ROW()-4),0,MIN(p_AtrN,ROW()-4),1))</f>
        <v>0.521538461538462</v>
      </c>
      <c r="Z177" s="41" t="n">
        <f aca="false">IF(AND(C177-C176&gt;D176-D177,C177-C176&gt;0),C177-C176,0)</f>
        <v>0.359999999999999</v>
      </c>
      <c r="AA177" s="41" t="n">
        <f aca="false">IF(AND(D176-D177&gt;C177-C176,D176-D177&gt;0),D176-D177,0)</f>
        <v>0</v>
      </c>
      <c r="AB177" s="41" t="n">
        <f aca="false">2/(p_AdxN+1)*X177+(1-2/(p_AdxN+1))*AB176</f>
        <v>0.480682528284329</v>
      </c>
      <c r="AC177" s="41" t="n">
        <f aca="false">2/(p_AdxN+1)*Z177+(1-2/(p_AdxN+1))*AC176</f>
        <v>0.10961606475559</v>
      </c>
      <c r="AD177" s="41" t="n">
        <f aca="false">2/(p_AdxN+1)*AA177+(1-2/(p_AdxN+1))*AD176</f>
        <v>0.106828552449573</v>
      </c>
      <c r="AE177" s="45" t="n">
        <f aca="false">100*AC177/AB177</f>
        <v>22.8042540149808</v>
      </c>
      <c r="AF177" s="45" t="n">
        <f aca="false">100*AD177/AB177</f>
        <v>22.2243468741978</v>
      </c>
      <c r="AG177" s="45" t="n">
        <f aca="false">IFERROR(100*ABS(AE177-AF177)/(AE177+AF177),0)</f>
        <v>1.28786400050541</v>
      </c>
      <c r="AH177" s="45" t="n">
        <f aca="false">2/(p_AdxN+1)*AG177+(1-2/(p_AdxN+1))*AH176</f>
        <v>35.5315445173336</v>
      </c>
      <c r="AI177" s="40" t="n">
        <f aca="false">I177*(1+p_ChPct)</f>
        <v>25.0470325478666</v>
      </c>
      <c r="AJ177" s="40" t="n">
        <f aca="false">I177*(1-p_ChPct)</f>
        <v>22.2115194292402</v>
      </c>
      <c r="AK177" s="40" t="n">
        <f aca="false">I177+1*Y177</f>
        <v>24.1508144500918</v>
      </c>
      <c r="AL177" s="40" t="n">
        <f aca="false">I177+2*Y177</f>
        <v>24.6723529116303</v>
      </c>
      <c r="AM177" s="40" t="n">
        <f aca="false">I177+3*Y177</f>
        <v>25.1938913731688</v>
      </c>
      <c r="AN177" s="40" t="n">
        <f aca="false">I177-1*Y177</f>
        <v>23.1077375270149</v>
      </c>
      <c r="AO177" s="40" t="n">
        <f aca="false">I177-2*Y177</f>
        <v>22.5861990654765</v>
      </c>
      <c r="AP177" s="40" t="n">
        <f aca="false">I177-3*Y177</f>
        <v>22.064660603938</v>
      </c>
      <c r="AQ177" s="40" t="n">
        <f aca="true">MAX(OFFSET(C177,1-MIN(p_StochN,ROW()-4),0,MIN(p_StochN,ROW()-4),1))</f>
        <v>24.37</v>
      </c>
      <c r="AR177" s="40" t="n">
        <f aca="true">MIN(OFFSET(D177,1-MIN(p_StochN,ROW()-4),0,MIN(p_StochN,ROW()-4),1))</f>
        <v>23.66</v>
      </c>
      <c r="AS177" s="45" t="n">
        <f aca="false">IF(AQ177=AR177,50,100*(E177-AR177)/(AQ177-AR177))</f>
        <v>78.8732394366194</v>
      </c>
      <c r="AT177" s="45" t="n">
        <f aca="true">AVERAGE(OFFSET(AS177,1-MIN(p_StochSm,ROW()-4),0,MIN(p_StochSm,ROW()-4),1))</f>
        <v>35.768632301092</v>
      </c>
      <c r="AU177" s="45" t="n">
        <f aca="true">AVERAGE(OFFSET(AT177,1-MIN(p_StochSm,ROW()-4),0,MIN(p_StochSm,ROW()-4),1))</f>
        <v>19.455458464985</v>
      </c>
      <c r="AV177" s="41" t="n">
        <f aca="false">MAX(0,H177-D177)</f>
        <v>0.406347887885861</v>
      </c>
      <c r="AW177" s="41" t="n">
        <f aca="true">IF(COUNTIF(OFFSET(AV177,1-MIN(p_PenLb,ROW()-4),0,MIN(p_PenLb,ROW()-4),1),"&gt;0")&gt;0,SUM(OFFSET(AV177,1-MIN(p_PenLb,ROW()-4),0,MIN(p_PenLb,ROW()-4),1))/COUNTIF(OFFSET(AV177,1-MIN(p_PenLb,ROW()-4),0,MIN(p_PenLb,ROW()-4),1),"&gt;0"),0.5*Y177)</f>
        <v>0.24481656635413</v>
      </c>
      <c r="AX177" s="41" t="n">
        <f aca="false">2*H177-H176</f>
        <v>24.0919565732382</v>
      </c>
      <c r="AY177" s="40" t="n">
        <f aca="false">ROUND(MAX(AX177-AW177,0.01),2)</f>
        <v>23.85</v>
      </c>
      <c r="AZ177" s="40" t="n">
        <f aca="true">IF(MIN(p_StopLb,ROW()-4)&lt;2,D177,SMALL(OFFSET(D177,1-MIN(p_StopLb,ROW()-4),0,MIN(p_StopLb,ROW()-4),1),2))</f>
        <v>23.68</v>
      </c>
      <c r="BA177" s="40" t="n">
        <f aca="false">IF(MOD(ROUND(ROUNDDOWN(MIN(AZ177-0.01,AY177-p_StopAtr*Y177),2)*100,0),50)=0,ROUNDDOWN(MIN(AZ177-0.01,AY177-p_StopAtr*Y177),2)-0.01,ROUNDDOWN(MIN(AZ177-0.01,AY177-p_StopAtr*Y177),2))</f>
        <v>23.32</v>
      </c>
      <c r="BB177" s="40" t="n">
        <f aca="false">ROUND(AI177,2)</f>
        <v>25.05</v>
      </c>
      <c r="BC177" s="40" t="n">
        <f aca="false">IF(AY177-BA177&gt;0,(BB177-AY177)/(AY177-BA177),0)</f>
        <v>2.26415094339622</v>
      </c>
      <c r="BD177" s="42" t="n">
        <f aca="false">IF(N177&lt;0,1,0)</f>
        <v>1</v>
      </c>
      <c r="BE177" s="41" t="n">
        <f aca="false">IF(AND(BD177=1,BD176=0),N177,IF(BD177=1,MIN(BE176,N177),BE176))</f>
        <v>-0.128565799262059</v>
      </c>
      <c r="BF177" s="40" t="n">
        <f aca="false">IF(AND(BD177=1,BD176=0),D177,IF(BD177=1,MIN(BF176,D177),BF176))</f>
        <v>23.66</v>
      </c>
      <c r="BG177" s="42" t="n">
        <f aca="false">IF(AND(BD177=1,BD176=0),ROW(),IF(BD177=1,IF(N177&lt;BE176,ROW(),BG176),BG176))</f>
        <v>176</v>
      </c>
      <c r="BH177" s="41" t="n">
        <f aca="false">IF(AND(BD177=1,BD176=0),BE176,BH176)</f>
        <v>-0.0583119972977335</v>
      </c>
      <c r="BI177" s="40" t="n">
        <f aca="false">IF(AND(BD177=1,BD176=0),BF176,BI176)</f>
        <v>19.27</v>
      </c>
      <c r="BJ177" s="42" t="n">
        <f aca="false">IF(AND(BD177=1,BD176=0),BG176,BJ176)</f>
        <v>124</v>
      </c>
      <c r="BK177" s="42" t="n">
        <f aca="false">IF(AND(ISNUMBER(BG177),ISNUMBER(BJ177)),BG177-BJ177,"")</f>
        <v>52</v>
      </c>
      <c r="BL177" s="42" t="n">
        <f aca="false">IF(AND(BD177=1,N177&gt;N176,ISNUMBER(BH177),ISNUMBER(BK177)),IF(AND(BE177&gt;BH177,BF177&lt;BI177,BK177&gt;=p_GapMin,BK177&lt;=p_GapMax),1,0),0)</f>
        <v>0</v>
      </c>
      <c r="BM177" s="42" t="n">
        <f aca="false">IF(AND(BL177=1,E177&gt;BI177),1,0)</f>
        <v>0</v>
      </c>
      <c r="BN177" s="42" t="n">
        <f aca="false">IF(BL177=1,IF(BE177&gt;=BH177*0.5,1,0),0)</f>
        <v>0</v>
      </c>
      <c r="BO177" s="42" t="n">
        <f aca="true">IF(V177&gt;MIN(OFFSET(V177,-MIN(p_FiLb-1,ROW()-5),0,MIN(p_FiLb-1,ROW()-5),1)),1,0)</f>
        <v>1</v>
      </c>
      <c r="BP177" s="44" t="n">
        <f aca="true">IF(COUNTIF(OFFSET(V177,1-MIN(100,ROW()-4),0,MIN(100,ROW()-4),1),"&lt;0")&gt;=5,AVERAGEIF(OFFSET(V177,1-MIN(100,ROW()-4),0,MIN(100,ROW()-4),1),"&lt;0"),"")</f>
        <v>-996767.579931407</v>
      </c>
      <c r="BQ177" s="42" t="n">
        <f aca="false">IF(ISNUMBER(BP177),IF(AND(V177&lt;5*BP177,V177&gt;V176,E177&lt;AJ177),1,0),0)</f>
        <v>0</v>
      </c>
      <c r="BR177" s="44" t="n">
        <f aca="true">AVERAGE(OFFSET(F177,1-MIN(5,ROW()-4),0,MIN(5,ROW()-4),1))</f>
        <v>3875940</v>
      </c>
      <c r="BS177" s="42" t="n">
        <f aca="false">IFERROR(IF(MATCH(G177,周线!$A$5:$A$84,0)&lt;=1,"",INDEX(周线!$R$5:$R$84,MATCH(G177,周线!$A$5:$A$84,0)-1)),"")</f>
        <v>1</v>
      </c>
      <c r="BT177" s="42" t="n">
        <f aca="false">IFERROR(IF(MATCH(G177,周线!$A$5:$A$84,0)&lt;=1,"",INDEX(周线!$S$5:$S$84,MATCH(G177,周线!$A$5:$A$84,0)-1)),"")</f>
        <v>0</v>
      </c>
      <c r="BU177" s="42" t="n">
        <f aca="false">IFERROR(IF(MATCH(G177,周线!$A$5:$A$84,0)&lt;=1,"",INDEX(周线!$U$5:$U$84,MATCH(G177,周线!$A$5:$A$84,0)-1)),"")</f>
        <v>0</v>
      </c>
      <c r="BV177" s="42" t="n">
        <f aca="false">IF(AND(BS177=1,S177&lt;&gt;-1,V177&lt;0,BO177=1,E177&lt;=H177,E177&gt;=AJ177),1,0)</f>
        <v>0</v>
      </c>
      <c r="BW177" s="42" t="n">
        <f aca="false">BL177</f>
        <v>0</v>
      </c>
      <c r="BX177" s="42" t="n">
        <f aca="false">BQ177</f>
        <v>0</v>
      </c>
      <c r="BY177" s="42" t="n">
        <f aca="false">IF(BS177=1,10,0)+IF(BU177=1,5,IF(BU177=-1,0,3))+IF(BT177=1,5,0)+IF(AND(AE177&gt;AF177,AH177&gt;AH176),5,0)</f>
        <v>13</v>
      </c>
      <c r="BZ177" s="42" t="n">
        <f aca="false">IF(AND(E177&lt;=H177,E177&gt;=I177),10,IF(AND(E177&gt;=AJ177,E177&lt;I177),6,0))+IF(AND(V177&lt;0,BO177=1),8,0)+IF(AT177&lt;30,7,IF(AT177&lt;50,3,0))</f>
        <v>3</v>
      </c>
      <c r="CA177" s="42" t="n">
        <f aca="false">IF(AND(BV177=1,BW177=1),25,IF(BW177=1,22,IF(BV177=1,15,IF(BX177=1,12,0))))</f>
        <v>0</v>
      </c>
      <c r="CB177" s="42" t="n">
        <f aca="false">IF(W177&gt;0,6,0)+IF(F177&lt;BR177,4,0)</f>
        <v>6</v>
      </c>
      <c r="CC177" s="42" t="n">
        <f aca="false">IF(BC177&gt;=3,15,IF(BC177&gt;=p_RRmin,10,IF(BC177&gt;=1.5,4,0)))</f>
        <v>10</v>
      </c>
      <c r="CD177" s="42" t="n">
        <f aca="false">BY177+BZ177+CA177+CB177+CC177</f>
        <v>32</v>
      </c>
      <c r="CE177" s="42" t="n">
        <f aca="false">IF(AND(BS177&lt;&gt;1,BW177+BX177=0),1,0)</f>
        <v>0</v>
      </c>
      <c r="CF177" s="42" t="n">
        <f aca="false">IF(BU177=-1,1,0)</f>
        <v>0</v>
      </c>
      <c r="CG177" s="42" t="n">
        <f aca="false">IF(S177=-1,1,0)</f>
        <v>0</v>
      </c>
      <c r="CH177" s="42" t="n">
        <f aca="false">IF(BV177+BW177+BX177=0,1,0)</f>
        <v>1</v>
      </c>
      <c r="CI177" s="42" t="n">
        <f aca="false">IF(BC177&lt;p_RRmin,1,0)</f>
        <v>0</v>
      </c>
      <c r="CJ177" s="46" t="str">
        <f aca="false">IF(SUM(CE177:CI177)=0,IF(CD177&gt;=p_GradeA,"A",IF(CD177&gt;=p_GradeB,"B","C")),IF(AND(CI177=1,SUM(CE177:CH177)=0,CD177&gt;=p_GradeB),"B","C"))</f>
        <v>C</v>
      </c>
    </row>
    <row r="178" customFormat="false" ht="15" hidden="false" customHeight="false" outlineLevel="0" collapsed="false">
      <c r="A178" s="36" t="n">
        <v>45902</v>
      </c>
      <c r="B178" s="37" t="n">
        <v>24.24</v>
      </c>
      <c r="C178" s="37" t="n">
        <v>24.47</v>
      </c>
      <c r="D178" s="37" t="n">
        <v>23.73</v>
      </c>
      <c r="E178" s="37" t="n">
        <v>23.8</v>
      </c>
      <c r="F178" s="38" t="n">
        <v>4815200</v>
      </c>
      <c r="G178" s="39" t="n">
        <f aca="false">A178-WEEKDAY(A178,3)</f>
        <v>45901</v>
      </c>
      <c r="H178" s="40" t="n">
        <f aca="false">2/(p_EmaF+1)*E178+(1-2/(p_EmaF+1))*H177</f>
        <v>24.0282981896165</v>
      </c>
      <c r="I178" s="40" t="n">
        <f aca="false">2/(p_EmaS+1)*E178+(1-2/(p_EmaS+1))*I177</f>
        <v>23.6419222116235</v>
      </c>
      <c r="J178" s="41" t="n">
        <f aca="false">2/(p_MacdF+1)*E178+(1-2/(p_MacdF+1))*J177</f>
        <v>24.0447121106072</v>
      </c>
      <c r="K178" s="41" t="n">
        <f aca="false">2/(p_MacdS+1)*E178+(1-2/(p_MacdS+1))*K177</f>
        <v>23.6419222116235</v>
      </c>
      <c r="L178" s="41" t="n">
        <f aca="false">J178-K178</f>
        <v>0.402789898983684</v>
      </c>
      <c r="M178" s="41" t="n">
        <f aca="false">2/(p_MacdSig+1)*L178+(1-2/(p_MacdSig+1))*M177</f>
        <v>0.54580879114026</v>
      </c>
      <c r="N178" s="41" t="n">
        <f aca="false">L178-M178</f>
        <v>-0.143018892156576</v>
      </c>
      <c r="O178" s="42" t="n">
        <f aca="false">IF(H178&gt;H177,1,0)</f>
        <v>0</v>
      </c>
      <c r="P178" s="42" t="n">
        <f aca="false">IF(H178&lt;H177,1,0)</f>
        <v>1</v>
      </c>
      <c r="Q178" s="42" t="n">
        <f aca="false">IF(N178&gt;N177,1,0)</f>
        <v>0</v>
      </c>
      <c r="R178" s="42" t="n">
        <f aca="false">IF(N178&lt;N177,1,0)</f>
        <v>1</v>
      </c>
      <c r="S178" s="42" t="n">
        <f aca="false">IF(AND(O178=1,Q178=1),1,IF(AND(P178=1,R178=1),-1,0))</f>
        <v>-1</v>
      </c>
      <c r="T178" s="43" t="str">
        <f aca="false">IF(S178=1,"绿",IF(S178=-1,"红","蓝"))</f>
        <v>红</v>
      </c>
      <c r="U178" s="44" t="n">
        <f aca="false">F178*(E178-E177)</f>
        <v>-2022383.99999999</v>
      </c>
      <c r="V178" s="44" t="n">
        <f aca="false">2/(p_FiS+1)*U178+(1-2/(p_FiS+1))*V177</f>
        <v>-1054433.59402958</v>
      </c>
      <c r="W178" s="44" t="n">
        <f aca="false">2/(p_FiL+1)*U178+(1-2/(p_FiL+1))*W177</f>
        <v>-143274.840592986</v>
      </c>
      <c r="X178" s="41" t="n">
        <f aca="false">MAX(C178-D178,ABS(C178-E177),ABS(D178-E177))</f>
        <v>0.739999999999998</v>
      </c>
      <c r="Y178" s="41" t="n">
        <f aca="true">AVERAGE(OFFSET(X178,1-MIN(p_AtrN,ROW()-4),0,MIN(p_AtrN,ROW()-4),1))</f>
        <v>0.520769230769231</v>
      </c>
      <c r="Z178" s="41" t="n">
        <f aca="false">IF(AND(C178-C177&gt;D177-D178,C178-C177&gt;0),C178-C177,0)</f>
        <v>0.109999999999999</v>
      </c>
      <c r="AA178" s="41" t="n">
        <f aca="false">IF(AND(D177-D178&gt;C178-C177,D177-D178&gt;0),D177-D178,0)</f>
        <v>0</v>
      </c>
      <c r="AB178" s="41" t="n">
        <f aca="false">2/(p_AdxN+1)*X178+(1-2/(p_AdxN+1))*AB177</f>
        <v>0.517727881386567</v>
      </c>
      <c r="AC178" s="41" t="n">
        <f aca="false">2/(p_AdxN+1)*Z178+(1-2/(p_AdxN+1))*AC177</f>
        <v>0.109670912647649</v>
      </c>
      <c r="AD178" s="41" t="n">
        <f aca="false">2/(p_AdxN+1)*AA178+(1-2/(p_AdxN+1))*AD177</f>
        <v>0.0915673306710626</v>
      </c>
      <c r="AE178" s="45" t="n">
        <f aca="false">100*AC178/AB178</f>
        <v>21.1831188913238</v>
      </c>
      <c r="AF178" s="45" t="n">
        <f aca="false">100*AD178/AB178</f>
        <v>17.6863819707428</v>
      </c>
      <c r="AG178" s="45" t="n">
        <f aca="false">IFERROR(100*ABS(AE178-AF178)/(AE178+AF178),0)</f>
        <v>8.99609422047796</v>
      </c>
      <c r="AH178" s="45" t="n">
        <f aca="false">2/(p_AdxN+1)*AG178+(1-2/(p_AdxN+1))*AH177</f>
        <v>31.740765903497</v>
      </c>
      <c r="AI178" s="40" t="n">
        <f aca="false">I178*(1+p_ChPct)</f>
        <v>25.0604375443209</v>
      </c>
      <c r="AJ178" s="40" t="n">
        <f aca="false">I178*(1-p_ChPct)</f>
        <v>22.2234068789261</v>
      </c>
      <c r="AK178" s="40" t="n">
        <f aca="false">I178+1*Y178</f>
        <v>24.1626914423927</v>
      </c>
      <c r="AL178" s="40" t="n">
        <f aca="false">I178+2*Y178</f>
        <v>24.683460673162</v>
      </c>
      <c r="AM178" s="40" t="n">
        <f aca="false">I178+3*Y178</f>
        <v>25.2042299039312</v>
      </c>
      <c r="AN178" s="40" t="n">
        <f aca="false">I178-1*Y178</f>
        <v>23.1211529808543</v>
      </c>
      <c r="AO178" s="40" t="n">
        <f aca="false">I178-2*Y178</f>
        <v>22.600383750085</v>
      </c>
      <c r="AP178" s="40" t="n">
        <f aca="false">I178-3*Y178</f>
        <v>22.0796145193158</v>
      </c>
      <c r="AQ178" s="40" t="n">
        <f aca="true">MAX(OFFSET(C178,1-MIN(p_StochN,ROW()-4),0,MIN(p_StochN,ROW()-4),1))</f>
        <v>24.47</v>
      </c>
      <c r="AR178" s="40" t="n">
        <f aca="true">MIN(OFFSET(D178,1-MIN(p_StochN,ROW()-4),0,MIN(p_StochN,ROW()-4),1))</f>
        <v>23.66</v>
      </c>
      <c r="AS178" s="45" t="n">
        <f aca="false">IF(AQ178=AR178,50,100*(E178-AR178)/(AQ178-AR178))</f>
        <v>17.2839506172841</v>
      </c>
      <c r="AT178" s="45" t="n">
        <f aca="true">AVERAGE(OFFSET(AS178,1-MIN(p_StochSm,ROW()-4),0,MIN(p_StochSm,ROW()-4),1))</f>
        <v>38.1686046357048</v>
      </c>
      <c r="AU178" s="45" t="n">
        <f aca="true">AVERAGE(OFFSET(AT178,1-MIN(p_StochSm,ROW()-4),0,MIN(p_StochSm,ROW()-4),1))</f>
        <v>29.1121193510444</v>
      </c>
      <c r="AV178" s="41" t="n">
        <f aca="false">MAX(0,H178-D178)</f>
        <v>0.298298189616453</v>
      </c>
      <c r="AW178" s="41" t="n">
        <f aca="true">IF(COUNTIF(OFFSET(AV178,1-MIN(p_PenLb,ROW()-4),0,MIN(p_PenLb,ROW()-4),1),"&gt;0")&gt;0,SUM(OFFSET(AV178,1-MIN(p_PenLb,ROW()-4),0,MIN(p_PenLb,ROW()-4),1))/COUNTIF(OFFSET(AV178,1-MIN(p_PenLb,ROW()-4),0,MIN(p_PenLb,ROW()-4),1),"&gt;0"),0.5*Y178)</f>
        <v>0.252456798248748</v>
      </c>
      <c r="AX178" s="41" t="n">
        <f aca="false">2*H178-H177</f>
        <v>23.990248491347</v>
      </c>
      <c r="AY178" s="40" t="n">
        <f aca="false">ROUND(MAX(AX178-AW178,0.01),2)</f>
        <v>23.74</v>
      </c>
      <c r="AZ178" s="40" t="n">
        <f aca="true">IF(MIN(p_StopLb,ROW()-4)&lt;2,D178,SMALL(OFFSET(D178,1-MIN(p_StopLb,ROW()-4),0,MIN(p_StopLb,ROW()-4),1),2))</f>
        <v>23.68</v>
      </c>
      <c r="BA178" s="40" t="n">
        <f aca="false">IF(MOD(ROUND(ROUNDDOWN(MIN(AZ178-0.01,AY178-p_StopAtr*Y178),2)*100,0),50)=0,ROUNDDOWN(MIN(AZ178-0.01,AY178-p_StopAtr*Y178),2)-0.01,ROUNDDOWN(MIN(AZ178-0.01,AY178-p_StopAtr*Y178),2))</f>
        <v>23.21</v>
      </c>
      <c r="BB178" s="40" t="n">
        <f aca="false">ROUND(AI178,2)</f>
        <v>25.06</v>
      </c>
      <c r="BC178" s="40" t="n">
        <f aca="false">IF(AY178-BA178&gt;0,(BB178-AY178)/(AY178-BA178),0)</f>
        <v>2.49056603773586</v>
      </c>
      <c r="BD178" s="42" t="n">
        <f aca="false">IF(N178&lt;0,1,0)</f>
        <v>1</v>
      </c>
      <c r="BE178" s="41" t="n">
        <f aca="false">IF(AND(BD178=1,BD177=0),N178,IF(BD178=1,MIN(BE177,N178),BE177))</f>
        <v>-0.143018892156576</v>
      </c>
      <c r="BF178" s="40" t="n">
        <f aca="false">IF(AND(BD178=1,BD177=0),D178,IF(BD178=1,MIN(BF177,D178),BF177))</f>
        <v>23.66</v>
      </c>
      <c r="BG178" s="42" t="n">
        <f aca="false">IF(AND(BD178=1,BD177=0),ROW(),IF(BD178=1,IF(N178&lt;BE177,ROW(),BG177),BG177))</f>
        <v>178</v>
      </c>
      <c r="BH178" s="41" t="n">
        <f aca="false">IF(AND(BD178=1,BD177=0),BE177,BH177)</f>
        <v>-0.0583119972977335</v>
      </c>
      <c r="BI178" s="40" t="n">
        <f aca="false">IF(AND(BD178=1,BD177=0),BF177,BI177)</f>
        <v>19.27</v>
      </c>
      <c r="BJ178" s="42" t="n">
        <f aca="false">IF(AND(BD178=1,BD177=0),BG177,BJ177)</f>
        <v>124</v>
      </c>
      <c r="BK178" s="42" t="n">
        <f aca="false">IF(AND(ISNUMBER(BG178),ISNUMBER(BJ178)),BG178-BJ178,"")</f>
        <v>54</v>
      </c>
      <c r="BL178" s="42" t="n">
        <f aca="false">IF(AND(BD178=1,N178&gt;N177,ISNUMBER(BH178),ISNUMBER(BK178)),IF(AND(BE178&gt;BH178,BF178&lt;BI178,BK178&gt;=p_GapMin,BK178&lt;=p_GapMax),1,0),0)</f>
        <v>0</v>
      </c>
      <c r="BM178" s="42" t="n">
        <f aca="false">IF(AND(BL178=1,E178&gt;BI178),1,0)</f>
        <v>0</v>
      </c>
      <c r="BN178" s="42" t="n">
        <f aca="false">IF(BL178=1,IF(BE178&gt;=BH178*0.5,1,0),0)</f>
        <v>0</v>
      </c>
      <c r="BO178" s="42" t="n">
        <f aca="true">IF(V178&gt;MIN(OFFSET(V178,-MIN(p_FiLb-1,ROW()-5),0,MIN(p_FiLb-1,ROW()-5),1)),1,0)</f>
        <v>1</v>
      </c>
      <c r="BP178" s="44" t="n">
        <f aca="true">IF(COUNTIF(OFFSET(V178,1-MIN(100,ROW()-4),0,MIN(100,ROW()-4),1),"&lt;0")&gt;=5,AVERAGEIF(OFFSET(V178,1-MIN(100,ROW()-4),0,MIN(100,ROW()-4),1),"&lt;0"),"")</f>
        <v>-1015336.21682809</v>
      </c>
      <c r="BQ178" s="42" t="n">
        <f aca="false">IF(ISNUMBER(BP178),IF(AND(V178&lt;5*BP178,V178&gt;V177,E178&lt;AJ178),1,0),0)</f>
        <v>0</v>
      </c>
      <c r="BR178" s="44" t="n">
        <f aca="true">AVERAGE(OFFSET(F178,1-MIN(5,ROW()-4),0,MIN(5,ROW()-4),1))</f>
        <v>3954100</v>
      </c>
      <c r="BS178" s="42" t="n">
        <f aca="false">IFERROR(IF(MATCH(G178,周线!$A$5:$A$84,0)&lt;=1,"",INDEX(周线!$R$5:$R$84,MATCH(G178,周线!$A$5:$A$84,0)-1)),"")</f>
        <v>1</v>
      </c>
      <c r="BT178" s="42" t="n">
        <f aca="false">IFERROR(IF(MATCH(G178,周线!$A$5:$A$84,0)&lt;=1,"",INDEX(周线!$S$5:$S$84,MATCH(G178,周线!$A$5:$A$84,0)-1)),"")</f>
        <v>0</v>
      </c>
      <c r="BU178" s="42" t="n">
        <f aca="false">IFERROR(IF(MATCH(G178,周线!$A$5:$A$84,0)&lt;=1,"",INDEX(周线!$U$5:$U$84,MATCH(G178,周线!$A$5:$A$84,0)-1)),"")</f>
        <v>0</v>
      </c>
      <c r="BV178" s="42" t="n">
        <f aca="false">IF(AND(BS178=1,S178&lt;&gt;-1,V178&lt;0,BO178=1,E178&lt;=H178,E178&gt;=AJ178),1,0)</f>
        <v>0</v>
      </c>
      <c r="BW178" s="42" t="n">
        <f aca="false">BL178</f>
        <v>0</v>
      </c>
      <c r="BX178" s="42" t="n">
        <f aca="false">BQ178</f>
        <v>0</v>
      </c>
      <c r="BY178" s="42" t="n">
        <f aca="false">IF(BS178=1,10,0)+IF(BU178=1,5,IF(BU178=-1,0,3))+IF(BT178=1,5,0)+IF(AND(AE178&gt;AF178,AH178&gt;AH177),5,0)</f>
        <v>13</v>
      </c>
      <c r="BZ178" s="42" t="n">
        <f aca="false">IF(AND(E178&lt;=H178,E178&gt;=I178),10,IF(AND(E178&gt;=AJ178,E178&lt;I178),6,0))+IF(AND(V178&lt;0,BO178=1),8,0)+IF(AT178&lt;30,7,IF(AT178&lt;50,3,0))</f>
        <v>21</v>
      </c>
      <c r="CA178" s="42" t="n">
        <f aca="false">IF(AND(BV178=1,BW178=1),25,IF(BW178=1,22,IF(BV178=1,15,IF(BX178=1,12,0))))</f>
        <v>0</v>
      </c>
      <c r="CB178" s="42" t="n">
        <f aca="false">IF(W178&gt;0,6,0)+IF(F178&lt;BR178,4,0)</f>
        <v>0</v>
      </c>
      <c r="CC178" s="42" t="n">
        <f aca="false">IF(BC178&gt;=3,15,IF(BC178&gt;=p_RRmin,10,IF(BC178&gt;=1.5,4,0)))</f>
        <v>10</v>
      </c>
      <c r="CD178" s="42" t="n">
        <f aca="false">BY178+BZ178+CA178+CB178+CC178</f>
        <v>44</v>
      </c>
      <c r="CE178" s="42" t="n">
        <f aca="false">IF(AND(BS178&lt;&gt;1,BW178+BX178=0),1,0)</f>
        <v>0</v>
      </c>
      <c r="CF178" s="42" t="n">
        <f aca="false">IF(BU178=-1,1,0)</f>
        <v>0</v>
      </c>
      <c r="CG178" s="42" t="n">
        <f aca="false">IF(S178=-1,1,0)</f>
        <v>1</v>
      </c>
      <c r="CH178" s="42" t="n">
        <f aca="false">IF(BV178+BW178+BX178=0,1,0)</f>
        <v>1</v>
      </c>
      <c r="CI178" s="42" t="n">
        <f aca="false">IF(BC178&lt;p_RRmin,1,0)</f>
        <v>0</v>
      </c>
      <c r="CJ178" s="46" t="str">
        <f aca="false">IF(SUM(CE178:CI178)=0,IF(CD178&gt;=p_GradeA,"A",IF(CD178&gt;=p_GradeB,"B","C")),IF(AND(CI178=1,SUM(CE178:CH178)=0,CD178&gt;=p_GradeB),"B","C"))</f>
        <v>C</v>
      </c>
    </row>
    <row r="179" customFormat="false" ht="15" hidden="false" customHeight="false" outlineLevel="0" collapsed="false">
      <c r="A179" s="36" t="n">
        <v>45903</v>
      </c>
      <c r="B179" s="37" t="n">
        <v>23.66</v>
      </c>
      <c r="C179" s="37" t="n">
        <v>23.97</v>
      </c>
      <c r="D179" s="37" t="n">
        <v>23.54</v>
      </c>
      <c r="E179" s="37" t="n">
        <v>23.87</v>
      </c>
      <c r="F179" s="38" t="n">
        <v>2964000</v>
      </c>
      <c r="G179" s="39" t="n">
        <f aca="false">A179-WEEKDAY(A179,3)</f>
        <v>45901</v>
      </c>
      <c r="H179" s="40" t="n">
        <f aca="false">2/(p_EmaF+1)*E179+(1-2/(p_EmaF+1))*H178</f>
        <v>24.0056841625284</v>
      </c>
      <c r="I179" s="40" t="n">
        <f aca="false">2/(p_EmaS+1)*E179+(1-2/(p_EmaS+1))*I178</f>
        <v>23.6588168626143</v>
      </c>
      <c r="J179" s="41" t="n">
        <f aca="false">2/(p_MacdF+1)*E179+(1-2/(p_MacdF+1))*J178</f>
        <v>24.0178333243599</v>
      </c>
      <c r="K179" s="41" t="n">
        <f aca="false">2/(p_MacdS+1)*E179+(1-2/(p_MacdS+1))*K178</f>
        <v>23.6588168626143</v>
      </c>
      <c r="L179" s="41" t="n">
        <f aca="false">J179-K179</f>
        <v>0.359016461745579</v>
      </c>
      <c r="M179" s="41" t="n">
        <f aca="false">2/(p_MacdSig+1)*L179+(1-2/(p_MacdSig+1))*M178</f>
        <v>0.508450325261324</v>
      </c>
      <c r="N179" s="41" t="n">
        <f aca="false">L179-M179</f>
        <v>-0.149433863515745</v>
      </c>
      <c r="O179" s="42" t="n">
        <f aca="false">IF(H179&gt;H178,1,0)</f>
        <v>0</v>
      </c>
      <c r="P179" s="42" t="n">
        <f aca="false">IF(H179&lt;H178,1,0)</f>
        <v>1</v>
      </c>
      <c r="Q179" s="42" t="n">
        <f aca="false">IF(N179&gt;N178,1,0)</f>
        <v>0</v>
      </c>
      <c r="R179" s="42" t="n">
        <f aca="false">IF(N179&lt;N178,1,0)</f>
        <v>1</v>
      </c>
      <c r="S179" s="42" t="n">
        <f aca="false">IF(AND(O179=1,Q179=1),1,IF(AND(P179=1,R179=1),-1,0))</f>
        <v>-1</v>
      </c>
      <c r="T179" s="43" t="str">
        <f aca="false">IF(S179=1,"绿",IF(S179=-1,"红","蓝"))</f>
        <v>红</v>
      </c>
      <c r="U179" s="44" t="n">
        <f aca="false">F179*(E179-E178)</f>
        <v>207480.000000001</v>
      </c>
      <c r="V179" s="44" t="n">
        <f aca="false">2/(p_FiS+1)*U179+(1-2/(p_FiS+1))*V178</f>
        <v>-213157.864676526</v>
      </c>
      <c r="W179" s="44" t="n">
        <f aca="false">2/(p_FiL+1)*U179+(1-2/(p_FiL+1))*W178</f>
        <v>-93167.0062225594</v>
      </c>
      <c r="X179" s="41" t="n">
        <f aca="false">MAX(C179-D179,ABS(C179-E178),ABS(D179-E178))</f>
        <v>0.43</v>
      </c>
      <c r="Y179" s="41" t="n">
        <f aca="true">AVERAGE(OFFSET(X179,1-MIN(p_AtrN,ROW()-4),0,MIN(p_AtrN,ROW()-4),1))</f>
        <v>0.469230769230769</v>
      </c>
      <c r="Z179" s="41" t="n">
        <f aca="false">IF(AND(C179-C178&gt;D178-D179,C179-C178&gt;0),C179-C178,0)</f>
        <v>0</v>
      </c>
      <c r="AA179" s="41" t="n">
        <f aca="false">IF(AND(D178-D179&gt;C179-C178,D178-D179&gt;0),D178-D179,0)</f>
        <v>0.190000000000001</v>
      </c>
      <c r="AB179" s="41" t="n">
        <f aca="false">2/(p_AdxN+1)*X179+(1-2/(p_AdxN+1))*AB178</f>
        <v>0.505195326902772</v>
      </c>
      <c r="AC179" s="41" t="n">
        <f aca="false">2/(p_AdxN+1)*Z179+(1-2/(p_AdxN+1))*AC178</f>
        <v>0.0940036394122702</v>
      </c>
      <c r="AD179" s="41" t="n">
        <f aca="false">2/(p_AdxN+1)*AA179+(1-2/(p_AdxN+1))*AD178</f>
        <v>0.105629140575197</v>
      </c>
      <c r="AE179" s="45" t="n">
        <f aca="false">100*AC179/AB179</f>
        <v>18.6073849868294</v>
      </c>
      <c r="AF179" s="45" t="n">
        <f aca="false">100*AD179/AB179</f>
        <v>20.9085743573249</v>
      </c>
      <c r="AG179" s="45" t="n">
        <f aca="false">IFERROR(100*ABS(AE179-AF179)/(AE179+AF179),0)</f>
        <v>5.82344300553064</v>
      </c>
      <c r="AH179" s="45" t="n">
        <f aca="false">2/(p_AdxN+1)*AG179+(1-2/(p_AdxN+1))*AH178</f>
        <v>28.0382912037876</v>
      </c>
      <c r="AI179" s="40" t="n">
        <f aca="false">I179*(1+p_ChPct)</f>
        <v>25.0783458743712</v>
      </c>
      <c r="AJ179" s="40" t="n">
        <f aca="false">I179*(1-p_ChPct)</f>
        <v>22.2392878508575</v>
      </c>
      <c r="AK179" s="40" t="n">
        <f aca="false">I179+1*Y179</f>
        <v>24.1280476318451</v>
      </c>
      <c r="AL179" s="40" t="n">
        <f aca="false">I179+2*Y179</f>
        <v>24.5972784010759</v>
      </c>
      <c r="AM179" s="40" t="n">
        <f aca="false">I179+3*Y179</f>
        <v>25.0665091703067</v>
      </c>
      <c r="AN179" s="40" t="n">
        <f aca="false">I179-1*Y179</f>
        <v>23.1895860933836</v>
      </c>
      <c r="AO179" s="40" t="n">
        <f aca="false">I179-2*Y179</f>
        <v>22.7203553241528</v>
      </c>
      <c r="AP179" s="40" t="n">
        <f aca="false">I179-3*Y179</f>
        <v>22.251124554922</v>
      </c>
      <c r="AQ179" s="40" t="n">
        <f aca="true">MAX(OFFSET(C179,1-MIN(p_StochN,ROW()-4),0,MIN(p_StochN,ROW()-4),1))</f>
        <v>24.47</v>
      </c>
      <c r="AR179" s="40" t="n">
        <f aca="true">MIN(OFFSET(D179,1-MIN(p_StochN,ROW()-4),0,MIN(p_StochN,ROW()-4),1))</f>
        <v>23.54</v>
      </c>
      <c r="AS179" s="45" t="n">
        <f aca="false">IF(AQ179=AR179,50,100*(E179-AR179)/(AQ179-AR179))</f>
        <v>35.4838709677421</v>
      </c>
      <c r="AT179" s="45" t="n">
        <f aca="true">AVERAGE(OFFSET(AS179,1-MIN(p_StochSm,ROW()-4),0,MIN(p_StochSm,ROW()-4),1))</f>
        <v>43.8803536738819</v>
      </c>
      <c r="AU179" s="45" t="n">
        <f aca="true">AVERAGE(OFFSET(AT179,1-MIN(p_StochSm,ROW()-4),0,MIN(p_StochSm,ROW()-4),1))</f>
        <v>39.2725302035596</v>
      </c>
      <c r="AV179" s="41" t="n">
        <f aca="false">MAX(0,H179-D179)</f>
        <v>0.46568416252839</v>
      </c>
      <c r="AW179" s="41" t="n">
        <f aca="true">IF(COUNTIF(OFFSET(AV179,1-MIN(p_PenLb,ROW()-4),0,MIN(p_PenLb,ROW()-4),1),"&gt;0")&gt;0,SUM(OFFSET(AV179,1-MIN(p_PenLb,ROW()-4),0,MIN(p_PenLb,ROW()-4),1))/COUNTIF(OFFSET(AV179,1-MIN(p_PenLb,ROW()-4),0,MIN(p_PenLb,ROW()-4),1),"&gt;0"),0.5*Y179)</f>
        <v>0.279110218783703</v>
      </c>
      <c r="AX179" s="41" t="n">
        <f aca="false">2*H179-H178</f>
        <v>23.9830701354403</v>
      </c>
      <c r="AY179" s="40" t="n">
        <f aca="false">ROUND(MAX(AX179-AW179,0.01),2)</f>
        <v>23.7</v>
      </c>
      <c r="AZ179" s="40" t="n">
        <f aca="true">IF(MIN(p_StopLb,ROW()-4)&lt;2,D179,SMALL(OFFSET(D179,1-MIN(p_StopLb,ROW()-4),0,MIN(p_StopLb,ROW()-4),1),2))</f>
        <v>23.66</v>
      </c>
      <c r="BA179" s="40" t="n">
        <f aca="false">IF(MOD(ROUND(ROUNDDOWN(MIN(AZ179-0.01,AY179-p_StopAtr*Y179),2)*100,0),50)=0,ROUNDDOWN(MIN(AZ179-0.01,AY179-p_StopAtr*Y179),2)-0.01,ROUNDDOWN(MIN(AZ179-0.01,AY179-p_StopAtr*Y179),2))</f>
        <v>23.23</v>
      </c>
      <c r="BB179" s="40" t="n">
        <f aca="false">ROUND(AI179,2)</f>
        <v>25.08</v>
      </c>
      <c r="BC179" s="40" t="n">
        <f aca="false">IF(AY179-BA179&gt;0,(BB179-AY179)/(AY179-BA179),0)</f>
        <v>2.93617021276596</v>
      </c>
      <c r="BD179" s="42" t="n">
        <f aca="false">IF(N179&lt;0,1,0)</f>
        <v>1</v>
      </c>
      <c r="BE179" s="41" t="n">
        <f aca="false">IF(AND(BD179=1,BD178=0),N179,IF(BD179=1,MIN(BE178,N179),BE178))</f>
        <v>-0.149433863515745</v>
      </c>
      <c r="BF179" s="40" t="n">
        <f aca="false">IF(AND(BD179=1,BD178=0),D179,IF(BD179=1,MIN(BF178,D179),BF178))</f>
        <v>23.54</v>
      </c>
      <c r="BG179" s="42" t="n">
        <f aca="false">IF(AND(BD179=1,BD178=0),ROW(),IF(BD179=1,IF(N179&lt;BE178,ROW(),BG178),BG178))</f>
        <v>179</v>
      </c>
      <c r="BH179" s="41" t="n">
        <f aca="false">IF(AND(BD179=1,BD178=0),BE178,BH178)</f>
        <v>-0.0583119972977335</v>
      </c>
      <c r="BI179" s="40" t="n">
        <f aca="false">IF(AND(BD179=1,BD178=0),BF178,BI178)</f>
        <v>19.27</v>
      </c>
      <c r="BJ179" s="42" t="n">
        <f aca="false">IF(AND(BD179=1,BD178=0),BG178,BJ178)</f>
        <v>124</v>
      </c>
      <c r="BK179" s="42" t="n">
        <f aca="false">IF(AND(ISNUMBER(BG179),ISNUMBER(BJ179)),BG179-BJ179,"")</f>
        <v>55</v>
      </c>
      <c r="BL179" s="42" t="n">
        <f aca="false">IF(AND(BD179=1,N179&gt;N178,ISNUMBER(BH179),ISNUMBER(BK179)),IF(AND(BE179&gt;BH179,BF179&lt;BI179,BK179&gt;=p_GapMin,BK179&lt;=p_GapMax),1,0),0)</f>
        <v>0</v>
      </c>
      <c r="BM179" s="42" t="n">
        <f aca="false">IF(AND(BL179=1,E179&gt;BI179),1,0)</f>
        <v>0</v>
      </c>
      <c r="BN179" s="42" t="n">
        <f aca="false">IF(BL179=1,IF(BE179&gt;=BH179*0.5,1,0),0)</f>
        <v>0</v>
      </c>
      <c r="BO179" s="42" t="n">
        <f aca="true">IF(V179&gt;MIN(OFFSET(V179,-MIN(p_FiLb-1,ROW()-5),0,MIN(p_FiLb-1,ROW()-5),1)),1,0)</f>
        <v>1</v>
      </c>
      <c r="BP179" s="44" t="n">
        <f aca="true">IF(COUNTIF(OFFSET(V179,1-MIN(100,ROW()-4),0,MIN(100,ROW()-4),1),"&lt;0")&gt;=5,AVERAGEIF(OFFSET(V179,1-MIN(100,ROW()-4),0,MIN(100,ROW()-4),1),"&lt;0"),"")</f>
        <v>-1003451.02171958</v>
      </c>
      <c r="BQ179" s="42" t="n">
        <f aca="false">IF(ISNUMBER(BP179),IF(AND(V179&lt;5*BP179,V179&gt;V178,E179&lt;AJ179),1,0),0)</f>
        <v>0</v>
      </c>
      <c r="BR179" s="44" t="n">
        <f aca="true">AVERAGE(OFFSET(F179,1-MIN(5,ROW()-4),0,MIN(5,ROW()-4),1))</f>
        <v>3717280</v>
      </c>
      <c r="BS179" s="42" t="n">
        <f aca="false">IFERROR(IF(MATCH(G179,周线!$A$5:$A$84,0)&lt;=1,"",INDEX(周线!$R$5:$R$84,MATCH(G179,周线!$A$5:$A$84,0)-1)),"")</f>
        <v>1</v>
      </c>
      <c r="BT179" s="42" t="n">
        <f aca="false">IFERROR(IF(MATCH(G179,周线!$A$5:$A$84,0)&lt;=1,"",INDEX(周线!$S$5:$S$84,MATCH(G179,周线!$A$5:$A$84,0)-1)),"")</f>
        <v>0</v>
      </c>
      <c r="BU179" s="42" t="n">
        <f aca="false">IFERROR(IF(MATCH(G179,周线!$A$5:$A$84,0)&lt;=1,"",INDEX(周线!$U$5:$U$84,MATCH(G179,周线!$A$5:$A$84,0)-1)),"")</f>
        <v>0</v>
      </c>
      <c r="BV179" s="42" t="n">
        <f aca="false">IF(AND(BS179=1,S179&lt;&gt;-1,V179&lt;0,BO179=1,E179&lt;=H179,E179&gt;=AJ179),1,0)</f>
        <v>0</v>
      </c>
      <c r="BW179" s="42" t="n">
        <f aca="false">BL179</f>
        <v>0</v>
      </c>
      <c r="BX179" s="42" t="n">
        <f aca="false">BQ179</f>
        <v>0</v>
      </c>
      <c r="BY179" s="42" t="n">
        <f aca="false">IF(BS179=1,10,0)+IF(BU179=1,5,IF(BU179=-1,0,3))+IF(BT179=1,5,0)+IF(AND(AE179&gt;AF179,AH179&gt;AH178),5,0)</f>
        <v>13</v>
      </c>
      <c r="BZ179" s="42" t="n">
        <f aca="false">IF(AND(E179&lt;=H179,E179&gt;=I179),10,IF(AND(E179&gt;=AJ179,E179&lt;I179),6,0))+IF(AND(V179&lt;0,BO179=1),8,0)+IF(AT179&lt;30,7,IF(AT179&lt;50,3,0))</f>
        <v>21</v>
      </c>
      <c r="CA179" s="42" t="n">
        <f aca="false">IF(AND(BV179=1,BW179=1),25,IF(BW179=1,22,IF(BV179=1,15,IF(BX179=1,12,0))))</f>
        <v>0</v>
      </c>
      <c r="CB179" s="42" t="n">
        <f aca="false">IF(W179&gt;0,6,0)+IF(F179&lt;BR179,4,0)</f>
        <v>4</v>
      </c>
      <c r="CC179" s="42" t="n">
        <f aca="false">IF(BC179&gt;=3,15,IF(BC179&gt;=p_RRmin,10,IF(BC179&gt;=1.5,4,0)))</f>
        <v>10</v>
      </c>
      <c r="CD179" s="42" t="n">
        <f aca="false">BY179+BZ179+CA179+CB179+CC179</f>
        <v>48</v>
      </c>
      <c r="CE179" s="42" t="n">
        <f aca="false">IF(AND(BS179&lt;&gt;1,BW179+BX179=0),1,0)</f>
        <v>0</v>
      </c>
      <c r="CF179" s="42" t="n">
        <f aca="false">IF(BU179=-1,1,0)</f>
        <v>0</v>
      </c>
      <c r="CG179" s="42" t="n">
        <f aca="false">IF(S179=-1,1,0)</f>
        <v>1</v>
      </c>
      <c r="CH179" s="42" t="n">
        <f aca="false">IF(BV179+BW179+BX179=0,1,0)</f>
        <v>1</v>
      </c>
      <c r="CI179" s="42" t="n">
        <f aca="false">IF(BC179&lt;p_RRmin,1,0)</f>
        <v>0</v>
      </c>
      <c r="CJ179" s="46" t="str">
        <f aca="false">IF(SUM(CE179:CI179)=0,IF(CD179&gt;=p_GradeA,"A",IF(CD179&gt;=p_GradeB,"B","C")),IF(AND(CI179=1,SUM(CE179:CH179)=0,CD179&gt;=p_GradeB),"B","C"))</f>
        <v>C</v>
      </c>
    </row>
    <row r="180" customFormat="false" ht="15" hidden="false" customHeight="false" outlineLevel="0" collapsed="false">
      <c r="A180" s="36" t="n">
        <v>45904</v>
      </c>
      <c r="B180" s="37" t="n">
        <v>23.84</v>
      </c>
      <c r="C180" s="37" t="n">
        <v>24.22</v>
      </c>
      <c r="D180" s="37" t="n">
        <v>23.6</v>
      </c>
      <c r="E180" s="37" t="n">
        <v>24.03</v>
      </c>
      <c r="F180" s="38" t="n">
        <v>2978100</v>
      </c>
      <c r="G180" s="39" t="n">
        <f aca="false">A180-WEEKDAY(A180,3)</f>
        <v>45901</v>
      </c>
      <c r="H180" s="40" t="n">
        <f aca="false">2/(p_EmaF+1)*E180+(1-2/(p_EmaF+1))*H179</f>
        <v>24.0091578535958</v>
      </c>
      <c r="I180" s="40" t="n">
        <f aca="false">2/(p_EmaS+1)*E180+(1-2/(p_EmaS+1))*I179</f>
        <v>23.6863119098281</v>
      </c>
      <c r="J180" s="41" t="n">
        <f aca="false">2/(p_MacdF+1)*E180+(1-2/(p_MacdF+1))*J179</f>
        <v>24.0197051206122</v>
      </c>
      <c r="K180" s="41" t="n">
        <f aca="false">2/(p_MacdS+1)*E180+(1-2/(p_MacdS+1))*K179</f>
        <v>23.6863119098281</v>
      </c>
      <c r="L180" s="41" t="n">
        <f aca="false">J180-K180</f>
        <v>0.333393210784145</v>
      </c>
      <c r="M180" s="41" t="n">
        <f aca="false">2/(p_MacdSig+1)*L180+(1-2/(p_MacdSig+1))*M179</f>
        <v>0.473438902365888</v>
      </c>
      <c r="N180" s="41" t="n">
        <f aca="false">L180-M180</f>
        <v>-0.140045691581743</v>
      </c>
      <c r="O180" s="42" t="n">
        <f aca="false">IF(H180&gt;H179,1,0)</f>
        <v>1</v>
      </c>
      <c r="P180" s="42" t="n">
        <f aca="false">IF(H180&lt;H179,1,0)</f>
        <v>0</v>
      </c>
      <c r="Q180" s="42" t="n">
        <f aca="false">IF(N180&gt;N179,1,0)</f>
        <v>1</v>
      </c>
      <c r="R180" s="42" t="n">
        <f aca="false">IF(N180&lt;N179,1,0)</f>
        <v>0</v>
      </c>
      <c r="S180" s="42" t="n">
        <f aca="false">IF(AND(O180=1,Q180=1),1,IF(AND(P180=1,R180=1),-1,0))</f>
        <v>1</v>
      </c>
      <c r="T180" s="43" t="str">
        <f aca="false">IF(S180=1,"绿",IF(S180=-1,"红","蓝"))</f>
        <v>绿</v>
      </c>
      <c r="U180" s="44" t="n">
        <f aca="false">F180*(E180-E179)</f>
        <v>476496</v>
      </c>
      <c r="V180" s="44" t="n">
        <f aca="false">2/(p_FiS+1)*U180+(1-2/(p_FiS+1))*V179</f>
        <v>246611.378441158</v>
      </c>
      <c r="W180" s="44" t="n">
        <f aca="false">2/(p_FiL+1)*U180+(1-2/(p_FiL+1))*W179</f>
        <v>-11786.5767621938</v>
      </c>
      <c r="X180" s="41" t="n">
        <f aca="false">MAX(C180-D180,ABS(C180-E179),ABS(D180-E179))</f>
        <v>0.619999999999997</v>
      </c>
      <c r="Y180" s="41" t="n">
        <f aca="true">AVERAGE(OFFSET(X180,1-MIN(p_AtrN,ROW()-4),0,MIN(p_AtrN,ROW()-4),1))</f>
        <v>0.441538461538461</v>
      </c>
      <c r="Z180" s="41" t="n">
        <f aca="false">IF(AND(C180-C179&gt;D179-D180,C180-C179&gt;0),C180-C179,0)</f>
        <v>0.25</v>
      </c>
      <c r="AA180" s="41" t="n">
        <f aca="false">IF(AND(D179-D180&gt;C180-C179,D179-D180&gt;0),D179-D180,0)</f>
        <v>0</v>
      </c>
      <c r="AB180" s="41" t="n">
        <f aca="false">2/(p_AdxN+1)*X180+(1-2/(p_AdxN+1))*AB179</f>
        <v>0.52159599448809</v>
      </c>
      <c r="AC180" s="41" t="n">
        <f aca="false">2/(p_AdxN+1)*Z180+(1-2/(p_AdxN+1))*AC179</f>
        <v>0.116288833781946</v>
      </c>
      <c r="AD180" s="41" t="n">
        <f aca="false">2/(p_AdxN+1)*AA180+(1-2/(p_AdxN+1))*AD179</f>
        <v>0.0905392633501686</v>
      </c>
      <c r="AE180" s="45" t="n">
        <f aca="false">100*AC180/AB180</f>
        <v>22.2948095865029</v>
      </c>
      <c r="AF180" s="45" t="n">
        <f aca="false">100*AD180/AB180</f>
        <v>17.3581209033299</v>
      </c>
      <c r="AG180" s="45" t="n">
        <f aca="false">IFERROR(100*ABS(AE180-AF180)/(AE180+AF180),0)</f>
        <v>12.4497448793571</v>
      </c>
      <c r="AH180" s="45" t="n">
        <f aca="false">2/(p_AdxN+1)*AG180+(1-2/(p_AdxN+1))*AH179</f>
        <v>25.8113560145832</v>
      </c>
      <c r="AI180" s="40" t="n">
        <f aca="false">I180*(1+p_ChPct)</f>
        <v>25.1074906244178</v>
      </c>
      <c r="AJ180" s="40" t="n">
        <f aca="false">I180*(1-p_ChPct)</f>
        <v>22.2651331952384</v>
      </c>
      <c r="AK180" s="40" t="n">
        <f aca="false">I180+1*Y180</f>
        <v>24.1278503713666</v>
      </c>
      <c r="AL180" s="40" t="n">
        <f aca="false">I180+2*Y180</f>
        <v>24.569388832905</v>
      </c>
      <c r="AM180" s="40" t="n">
        <f aca="false">I180+3*Y180</f>
        <v>25.0109272944435</v>
      </c>
      <c r="AN180" s="40" t="n">
        <f aca="false">I180-1*Y180</f>
        <v>23.2447734482896</v>
      </c>
      <c r="AO180" s="40" t="n">
        <f aca="false">I180-2*Y180</f>
        <v>22.8032349867512</v>
      </c>
      <c r="AP180" s="40" t="n">
        <f aca="false">I180-3*Y180</f>
        <v>22.3616965252127</v>
      </c>
      <c r="AQ180" s="40" t="n">
        <f aca="true">MAX(OFFSET(C180,1-MIN(p_StochN,ROW()-4),0,MIN(p_StochN,ROW()-4),1))</f>
        <v>24.47</v>
      </c>
      <c r="AR180" s="40" t="n">
        <f aca="true">MIN(OFFSET(D180,1-MIN(p_StochN,ROW()-4),0,MIN(p_StochN,ROW()-4),1))</f>
        <v>23.54</v>
      </c>
      <c r="AS180" s="45" t="n">
        <f aca="false">IF(AQ180=AR180,50,100*(E180-AR180)/(AQ180-AR180))</f>
        <v>52.688172043011</v>
      </c>
      <c r="AT180" s="45" t="n">
        <f aca="true">AVERAGE(OFFSET(AS180,1-MIN(p_StochSm,ROW()-4),0,MIN(p_StochSm,ROW()-4),1))</f>
        <v>35.1519978760124</v>
      </c>
      <c r="AU180" s="45" t="n">
        <f aca="true">AVERAGE(OFFSET(AT180,1-MIN(p_StochSm,ROW()-4),0,MIN(p_StochSm,ROW()-4),1))</f>
        <v>39.0669853951997</v>
      </c>
      <c r="AV180" s="41" t="n">
        <f aca="false">MAX(0,H180-D180)</f>
        <v>0.409157853595762</v>
      </c>
      <c r="AW180" s="41" t="n">
        <f aca="true">IF(COUNTIF(OFFSET(AV180,1-MIN(p_PenLb,ROW()-4),0,MIN(p_PenLb,ROW()-4),1),"&gt;0")&gt;0,SUM(OFFSET(AV180,1-MIN(p_PenLb,ROW()-4),0,MIN(p_PenLb,ROW()-4),1))/COUNTIF(OFFSET(AV180,1-MIN(p_PenLb,ROW()-4),0,MIN(p_PenLb,ROW()-4),1),"&gt;0"),0.5*Y180)</f>
        <v>0.293559955985043</v>
      </c>
      <c r="AX180" s="41" t="n">
        <f aca="false">2*H180-H179</f>
        <v>24.0126315446631</v>
      </c>
      <c r="AY180" s="40" t="n">
        <f aca="false">ROUND(MAX(AX180-AW180,0.01),2)</f>
        <v>23.72</v>
      </c>
      <c r="AZ180" s="40" t="n">
        <f aca="true">IF(MIN(p_StopLb,ROW()-4)&lt;2,D180,SMALL(OFFSET(D180,1-MIN(p_StopLb,ROW()-4),0,MIN(p_StopLb,ROW()-4),1),2))</f>
        <v>23.6</v>
      </c>
      <c r="BA180" s="40" t="n">
        <f aca="false">IF(MOD(ROUND(ROUNDDOWN(MIN(AZ180-0.01,AY180-p_StopAtr*Y180),2)*100,0),50)=0,ROUNDDOWN(MIN(AZ180-0.01,AY180-p_StopAtr*Y180),2)-0.01,ROUNDDOWN(MIN(AZ180-0.01,AY180-p_StopAtr*Y180),2))</f>
        <v>23.27</v>
      </c>
      <c r="BB180" s="40" t="n">
        <f aca="false">ROUND(AI180,2)</f>
        <v>25.11</v>
      </c>
      <c r="BC180" s="40" t="n">
        <f aca="false">IF(AY180-BA180&gt;0,(BB180-AY180)/(AY180-BA180),0)</f>
        <v>3.0888888888889</v>
      </c>
      <c r="BD180" s="42" t="n">
        <f aca="false">IF(N180&lt;0,1,0)</f>
        <v>1</v>
      </c>
      <c r="BE180" s="41" t="n">
        <f aca="false">IF(AND(BD180=1,BD179=0),N180,IF(BD180=1,MIN(BE179,N180),BE179))</f>
        <v>-0.149433863515745</v>
      </c>
      <c r="BF180" s="40" t="n">
        <f aca="false">IF(AND(BD180=1,BD179=0),D180,IF(BD180=1,MIN(BF179,D180),BF179))</f>
        <v>23.54</v>
      </c>
      <c r="BG180" s="42" t="n">
        <f aca="false">IF(AND(BD180=1,BD179=0),ROW(),IF(BD180=1,IF(N180&lt;BE179,ROW(),BG179),BG179))</f>
        <v>179</v>
      </c>
      <c r="BH180" s="41" t="n">
        <f aca="false">IF(AND(BD180=1,BD179=0),BE179,BH179)</f>
        <v>-0.0583119972977335</v>
      </c>
      <c r="BI180" s="40" t="n">
        <f aca="false">IF(AND(BD180=1,BD179=0),BF179,BI179)</f>
        <v>19.27</v>
      </c>
      <c r="BJ180" s="42" t="n">
        <f aca="false">IF(AND(BD180=1,BD179=0),BG179,BJ179)</f>
        <v>124</v>
      </c>
      <c r="BK180" s="42" t="n">
        <f aca="false">IF(AND(ISNUMBER(BG180),ISNUMBER(BJ180)),BG180-BJ180,"")</f>
        <v>55</v>
      </c>
      <c r="BL180" s="42" t="n">
        <f aca="false">IF(AND(BD180=1,N180&gt;N179,ISNUMBER(BH180),ISNUMBER(BK180)),IF(AND(BE180&gt;BH180,BF180&lt;BI180,BK180&gt;=p_GapMin,BK180&lt;=p_GapMax),1,0),0)</f>
        <v>0</v>
      </c>
      <c r="BM180" s="42" t="n">
        <f aca="false">IF(AND(BL180=1,E180&gt;BI180),1,0)</f>
        <v>0</v>
      </c>
      <c r="BN180" s="42" t="n">
        <f aca="false">IF(BL180=1,IF(BE180&gt;=BH180*0.5,1,0),0)</f>
        <v>0</v>
      </c>
      <c r="BO180" s="42" t="n">
        <f aca="true">IF(V180&gt;MIN(OFFSET(V180,-MIN(p_FiLb-1,ROW()-5),0,MIN(p_FiLb-1,ROW()-5),1)),1,0)</f>
        <v>1</v>
      </c>
      <c r="BP180" s="44" t="n">
        <f aca="true">IF(COUNTIF(OFFSET(V180,1-MIN(100,ROW()-4),0,MIN(100,ROW()-4),1),"&lt;0")&gt;=5,AVERAGEIF(OFFSET(V180,1-MIN(100,ROW()-4),0,MIN(100,ROW()-4),1),"&lt;0"),"")</f>
        <v>-1012114.35923293</v>
      </c>
      <c r="BQ180" s="42" t="n">
        <f aca="false">IF(ISNUMBER(BP180),IF(AND(V180&lt;5*BP180,V180&gt;V179,E180&lt;AJ180),1,0),0)</f>
        <v>0</v>
      </c>
      <c r="BR180" s="44" t="n">
        <f aca="true">AVERAGE(OFFSET(F180,1-MIN(5,ROW()-4),0,MIN(5,ROW()-4),1))</f>
        <v>3523820</v>
      </c>
      <c r="BS180" s="42" t="n">
        <f aca="false">IFERROR(IF(MATCH(G180,周线!$A$5:$A$84,0)&lt;=1,"",INDEX(周线!$R$5:$R$84,MATCH(G180,周线!$A$5:$A$84,0)-1)),"")</f>
        <v>1</v>
      </c>
      <c r="BT180" s="42" t="n">
        <f aca="false">IFERROR(IF(MATCH(G180,周线!$A$5:$A$84,0)&lt;=1,"",INDEX(周线!$S$5:$S$84,MATCH(G180,周线!$A$5:$A$84,0)-1)),"")</f>
        <v>0</v>
      </c>
      <c r="BU180" s="42" t="n">
        <f aca="false">IFERROR(IF(MATCH(G180,周线!$A$5:$A$84,0)&lt;=1,"",INDEX(周线!$U$5:$U$84,MATCH(G180,周线!$A$5:$A$84,0)-1)),"")</f>
        <v>0</v>
      </c>
      <c r="BV180" s="42" t="n">
        <f aca="false">IF(AND(BS180=1,S180&lt;&gt;-1,V180&lt;0,BO180=1,E180&lt;=H180,E180&gt;=AJ180),1,0)</f>
        <v>0</v>
      </c>
      <c r="BW180" s="42" t="n">
        <f aca="false">BL180</f>
        <v>0</v>
      </c>
      <c r="BX180" s="42" t="n">
        <f aca="false">BQ180</f>
        <v>0</v>
      </c>
      <c r="BY180" s="42" t="n">
        <f aca="false">IF(BS180=1,10,0)+IF(BU180=1,5,IF(BU180=-1,0,3))+IF(BT180=1,5,0)+IF(AND(AE180&gt;AF180,AH180&gt;AH179),5,0)</f>
        <v>13</v>
      </c>
      <c r="BZ180" s="42" t="n">
        <f aca="false">IF(AND(E180&lt;=H180,E180&gt;=I180),10,IF(AND(E180&gt;=AJ180,E180&lt;I180),6,0))+IF(AND(V180&lt;0,BO180=1),8,0)+IF(AT180&lt;30,7,IF(AT180&lt;50,3,0))</f>
        <v>3</v>
      </c>
      <c r="CA180" s="42" t="n">
        <f aca="false">IF(AND(BV180=1,BW180=1),25,IF(BW180=1,22,IF(BV180=1,15,IF(BX180=1,12,0))))</f>
        <v>0</v>
      </c>
      <c r="CB180" s="42" t="n">
        <f aca="false">IF(W180&gt;0,6,0)+IF(F180&lt;BR180,4,0)</f>
        <v>4</v>
      </c>
      <c r="CC180" s="42" t="n">
        <f aca="false">IF(BC180&gt;=3,15,IF(BC180&gt;=p_RRmin,10,IF(BC180&gt;=1.5,4,0)))</f>
        <v>15</v>
      </c>
      <c r="CD180" s="42" t="n">
        <f aca="false">BY180+BZ180+CA180+CB180+CC180</f>
        <v>35</v>
      </c>
      <c r="CE180" s="42" t="n">
        <f aca="false">IF(AND(BS180&lt;&gt;1,BW180+BX180=0),1,0)</f>
        <v>0</v>
      </c>
      <c r="CF180" s="42" t="n">
        <f aca="false">IF(BU180=-1,1,0)</f>
        <v>0</v>
      </c>
      <c r="CG180" s="42" t="n">
        <f aca="false">IF(S180=-1,1,0)</f>
        <v>0</v>
      </c>
      <c r="CH180" s="42" t="n">
        <f aca="false">IF(BV180+BW180+BX180=0,1,0)</f>
        <v>1</v>
      </c>
      <c r="CI180" s="42" t="n">
        <f aca="false">IF(BC180&lt;p_RRmin,1,0)</f>
        <v>0</v>
      </c>
      <c r="CJ180" s="46" t="str">
        <f aca="false">IF(SUM(CE180:CI180)=0,IF(CD180&gt;=p_GradeA,"A",IF(CD180&gt;=p_GradeB,"B","C")),IF(AND(CI180=1,SUM(CE180:CH180)=0,CD180&gt;=p_GradeB),"B","C"))</f>
        <v>C</v>
      </c>
    </row>
    <row r="181" customFormat="false" ht="15" hidden="false" customHeight="false" outlineLevel="0" collapsed="false">
      <c r="A181" s="36" t="n">
        <v>45905</v>
      </c>
      <c r="B181" s="37" t="n">
        <v>23.98</v>
      </c>
      <c r="C181" s="37" t="n">
        <v>24.14</v>
      </c>
      <c r="D181" s="37" t="n">
        <v>23.68</v>
      </c>
      <c r="E181" s="37" t="n">
        <v>23.83</v>
      </c>
      <c r="F181" s="38" t="n">
        <v>2684900</v>
      </c>
      <c r="G181" s="39" t="n">
        <f aca="false">A181-WEEKDAY(A181,3)</f>
        <v>45901</v>
      </c>
      <c r="H181" s="40" t="n">
        <f aca="false">2/(p_EmaF+1)*E181+(1-2/(p_EmaF+1))*H180</f>
        <v>23.9835638745107</v>
      </c>
      <c r="I181" s="40" t="n">
        <f aca="false">2/(p_EmaS+1)*E181+(1-2/(p_EmaS+1))*I180</f>
        <v>23.6969554720631</v>
      </c>
      <c r="J181" s="41" t="n">
        <f aca="false">2/(p_MacdF+1)*E181+(1-2/(p_MacdF+1))*J180</f>
        <v>23.9905197174411</v>
      </c>
      <c r="K181" s="41" t="n">
        <f aca="false">2/(p_MacdS+1)*E181+(1-2/(p_MacdS+1))*K180</f>
        <v>23.6969554720631</v>
      </c>
      <c r="L181" s="41" t="n">
        <f aca="false">J181-K181</f>
        <v>0.293564245378075</v>
      </c>
      <c r="M181" s="41" t="n">
        <f aca="false">2/(p_MacdSig+1)*L181+(1-2/(p_MacdSig+1))*M180</f>
        <v>0.437463970968325</v>
      </c>
      <c r="N181" s="41" t="n">
        <f aca="false">L181-M181</f>
        <v>-0.14389972559025</v>
      </c>
      <c r="O181" s="42" t="n">
        <f aca="false">IF(H181&gt;H180,1,0)</f>
        <v>0</v>
      </c>
      <c r="P181" s="42" t="n">
        <f aca="false">IF(H181&lt;H180,1,0)</f>
        <v>1</v>
      </c>
      <c r="Q181" s="42" t="n">
        <f aca="false">IF(N181&gt;N180,1,0)</f>
        <v>0</v>
      </c>
      <c r="R181" s="42" t="n">
        <f aca="false">IF(N181&lt;N180,1,0)</f>
        <v>1</v>
      </c>
      <c r="S181" s="42" t="n">
        <f aca="false">IF(AND(O181=1,Q181=1),1,IF(AND(P181=1,R181=1),-1,0))</f>
        <v>-1</v>
      </c>
      <c r="T181" s="43" t="str">
        <f aca="false">IF(S181=1,"绿",IF(S181=-1,"红","蓝"))</f>
        <v>红</v>
      </c>
      <c r="U181" s="44" t="n">
        <f aca="false">F181*(E181-E180)</f>
        <v>-536980.000000008</v>
      </c>
      <c r="V181" s="44" t="n">
        <f aca="false">2/(p_FiS+1)*U181+(1-2/(p_FiS+1))*V180</f>
        <v>-275782.873852952</v>
      </c>
      <c r="W181" s="44" t="n">
        <f aca="false">2/(p_FiL+1)*U181+(1-2/(p_FiL+1))*W180</f>
        <v>-86814.20865331</v>
      </c>
      <c r="X181" s="41" t="n">
        <f aca="false">MAX(C181-D181,ABS(C181-E180),ABS(D181-E180))</f>
        <v>0.460000000000001</v>
      </c>
      <c r="Y181" s="41" t="n">
        <f aca="true">AVERAGE(OFFSET(X181,1-MIN(p_AtrN,ROW()-4),0,MIN(p_AtrN,ROW()-4),1))</f>
        <v>0.444615384615384</v>
      </c>
      <c r="Z181" s="41" t="n">
        <f aca="false">IF(AND(C181-C180&gt;D180-D181,C181-C180&gt;0),C181-C180,0)</f>
        <v>0</v>
      </c>
      <c r="AA181" s="41" t="n">
        <f aca="false">IF(AND(D180-D181&gt;C181-C180,D180-D181&gt;0),D180-D181,0)</f>
        <v>0</v>
      </c>
      <c r="AB181" s="41" t="n">
        <f aca="false">2/(p_AdxN+1)*X181+(1-2/(p_AdxN+1))*AB180</f>
        <v>0.512796566704077</v>
      </c>
      <c r="AC181" s="41" t="n">
        <f aca="false">2/(p_AdxN+1)*Z181+(1-2/(p_AdxN+1))*AC180</f>
        <v>0.0996761432416679</v>
      </c>
      <c r="AD181" s="41" t="n">
        <f aca="false">2/(p_AdxN+1)*AA181+(1-2/(p_AdxN+1))*AD180</f>
        <v>0.0776050828715731</v>
      </c>
      <c r="AE181" s="45" t="n">
        <f aca="false">100*AC181/AB181</f>
        <v>19.4377555767039</v>
      </c>
      <c r="AF181" s="45" t="n">
        <f aca="false">100*AD181/AB181</f>
        <v>15.1336978268728</v>
      </c>
      <c r="AG181" s="45" t="n">
        <f aca="false">IFERROR(100*ABS(AE181-AF181)/(AE181+AF181),0)</f>
        <v>12.4497448793572</v>
      </c>
      <c r="AH181" s="45" t="n">
        <f aca="false">2/(p_AdxN+1)*AG181+(1-2/(p_AdxN+1))*AH180</f>
        <v>23.9025544238366</v>
      </c>
      <c r="AI181" s="40" t="n">
        <f aca="false">I181*(1+p_ChPct)</f>
        <v>25.1187728003868</v>
      </c>
      <c r="AJ181" s="40" t="n">
        <f aca="false">I181*(1-p_ChPct)</f>
        <v>22.2751381437393</v>
      </c>
      <c r="AK181" s="40" t="n">
        <f aca="false">I181+1*Y181</f>
        <v>24.1415708566784</v>
      </c>
      <c r="AL181" s="40" t="n">
        <f aca="false">I181+2*Y181</f>
        <v>24.5861862412938</v>
      </c>
      <c r="AM181" s="40" t="n">
        <f aca="false">I181+3*Y181</f>
        <v>25.0308016259092</v>
      </c>
      <c r="AN181" s="40" t="n">
        <f aca="false">I181-1*Y181</f>
        <v>23.2523400874477</v>
      </c>
      <c r="AO181" s="40" t="n">
        <f aca="false">I181-2*Y181</f>
        <v>22.8077247028323</v>
      </c>
      <c r="AP181" s="40" t="n">
        <f aca="false">I181-3*Y181</f>
        <v>22.3631093182169</v>
      </c>
      <c r="AQ181" s="40" t="n">
        <f aca="true">MAX(OFFSET(C181,1-MIN(p_StochN,ROW()-4),0,MIN(p_StochN,ROW()-4),1))</f>
        <v>24.47</v>
      </c>
      <c r="AR181" s="40" t="n">
        <f aca="true">MIN(OFFSET(D181,1-MIN(p_StochN,ROW()-4),0,MIN(p_StochN,ROW()-4),1))</f>
        <v>23.54</v>
      </c>
      <c r="AS181" s="45" t="n">
        <f aca="false">IF(AQ181=AR181,50,100*(E181-AR181)/(AQ181-AR181))</f>
        <v>31.1827956989247</v>
      </c>
      <c r="AT181" s="45" t="n">
        <f aca="true">AVERAGE(OFFSET(AS181,1-MIN(p_StochSm,ROW()-4),0,MIN(p_StochSm,ROW()-4),1))</f>
        <v>39.7849462365593</v>
      </c>
      <c r="AU181" s="45" t="n">
        <f aca="true">AVERAGE(OFFSET(AT181,1-MIN(p_StochSm,ROW()-4),0,MIN(p_StochSm,ROW()-4),1))</f>
        <v>39.6057659288178</v>
      </c>
      <c r="AV181" s="41" t="n">
        <f aca="false">MAX(0,H181-D181)</f>
        <v>0.303563874510655</v>
      </c>
      <c r="AW181" s="41" t="n">
        <f aca="true">IF(COUNTIF(OFFSET(AV181,1-MIN(p_PenLb,ROW()-4),0,MIN(p_PenLb,ROW()-4),1),"&gt;0")&gt;0,SUM(OFFSET(AV181,1-MIN(p_PenLb,ROW()-4),0,MIN(p_PenLb,ROW()-4),1))/COUNTIF(OFFSET(AV181,1-MIN(p_PenLb,ROW()-4),0,MIN(p_PenLb,ROW()-4),1),"&gt;0"),0.5*Y181)</f>
        <v>0.294560347837604</v>
      </c>
      <c r="AX181" s="41" t="n">
        <f aca="false">2*H181-H180</f>
        <v>23.9579698954255</v>
      </c>
      <c r="AY181" s="40" t="n">
        <f aca="false">ROUND(MAX(AX181-AW181,0.01),2)</f>
        <v>23.66</v>
      </c>
      <c r="AZ181" s="40" t="n">
        <f aca="true">IF(MIN(p_StopLb,ROW()-4)&lt;2,D181,SMALL(OFFSET(D181,1-MIN(p_StopLb,ROW()-4),0,MIN(p_StopLb,ROW()-4),1),2))</f>
        <v>23.6</v>
      </c>
      <c r="BA181" s="40" t="n">
        <f aca="false">IF(MOD(ROUND(ROUNDDOWN(MIN(AZ181-0.01,AY181-p_StopAtr*Y181),2)*100,0),50)=0,ROUNDDOWN(MIN(AZ181-0.01,AY181-p_StopAtr*Y181),2)-0.01,ROUNDDOWN(MIN(AZ181-0.01,AY181-p_StopAtr*Y181),2))</f>
        <v>23.21</v>
      </c>
      <c r="BB181" s="40" t="n">
        <f aca="false">ROUND(AI181,2)</f>
        <v>25.12</v>
      </c>
      <c r="BC181" s="40" t="n">
        <f aca="false">IF(AY181-BA181&gt;0,(BB181-AY181)/(AY181-BA181),0)</f>
        <v>3.24444444444445</v>
      </c>
      <c r="BD181" s="42" t="n">
        <f aca="false">IF(N181&lt;0,1,0)</f>
        <v>1</v>
      </c>
      <c r="BE181" s="41" t="n">
        <f aca="false">IF(AND(BD181=1,BD180=0),N181,IF(BD181=1,MIN(BE180,N181),BE180))</f>
        <v>-0.149433863515745</v>
      </c>
      <c r="BF181" s="40" t="n">
        <f aca="false">IF(AND(BD181=1,BD180=0),D181,IF(BD181=1,MIN(BF180,D181),BF180))</f>
        <v>23.54</v>
      </c>
      <c r="BG181" s="42" t="n">
        <f aca="false">IF(AND(BD181=1,BD180=0),ROW(),IF(BD181=1,IF(N181&lt;BE180,ROW(),BG180),BG180))</f>
        <v>179</v>
      </c>
      <c r="BH181" s="41" t="n">
        <f aca="false">IF(AND(BD181=1,BD180=0),BE180,BH180)</f>
        <v>-0.0583119972977335</v>
      </c>
      <c r="BI181" s="40" t="n">
        <f aca="false">IF(AND(BD181=1,BD180=0),BF180,BI180)</f>
        <v>19.27</v>
      </c>
      <c r="BJ181" s="42" t="n">
        <f aca="false">IF(AND(BD181=1,BD180=0),BG180,BJ180)</f>
        <v>124</v>
      </c>
      <c r="BK181" s="42" t="n">
        <f aca="false">IF(AND(ISNUMBER(BG181),ISNUMBER(BJ181)),BG181-BJ181,"")</f>
        <v>55</v>
      </c>
      <c r="BL181" s="42" t="n">
        <f aca="false">IF(AND(BD181=1,N181&gt;N180,ISNUMBER(BH181),ISNUMBER(BK181)),IF(AND(BE181&gt;BH181,BF181&lt;BI181,BK181&gt;=p_GapMin,BK181&lt;=p_GapMax),1,0),0)</f>
        <v>0</v>
      </c>
      <c r="BM181" s="42" t="n">
        <f aca="false">IF(AND(BL181=1,E181&gt;BI181),1,0)</f>
        <v>0</v>
      </c>
      <c r="BN181" s="42" t="n">
        <f aca="false">IF(BL181=1,IF(BE181&gt;=BH181*0.5,1,0),0)</f>
        <v>0</v>
      </c>
      <c r="BO181" s="42" t="n">
        <f aca="true">IF(V181&gt;MIN(OFFSET(V181,-MIN(p_FiLb-1,ROW()-5),0,MIN(p_FiLb-1,ROW()-5),1)),1,0)</f>
        <v>1</v>
      </c>
      <c r="BP181" s="44" t="n">
        <f aca="true">IF(COUNTIF(OFFSET(V181,1-MIN(100,ROW()-4),0,MIN(100,ROW()-4),1),"&lt;0")&gt;=5,AVERAGEIF(OFFSET(V181,1-MIN(100,ROW()-4),0,MIN(100,ROW()-4),1),"&lt;0"),"")</f>
        <v>-998478.590985151</v>
      </c>
      <c r="BQ181" s="42" t="n">
        <f aca="false">IF(ISNUMBER(BP181),IF(AND(V181&lt;5*BP181,V181&gt;V180,E181&lt;AJ181),1,0),0)</f>
        <v>0</v>
      </c>
      <c r="BR181" s="44" t="n">
        <f aca="true">AVERAGE(OFFSET(F181,1-MIN(5,ROW()-4),0,MIN(5,ROW()-4),1))</f>
        <v>3519000</v>
      </c>
      <c r="BS181" s="42" t="n">
        <f aca="false">IFERROR(IF(MATCH(G181,周线!$A$5:$A$84,0)&lt;=1,"",INDEX(周线!$R$5:$R$84,MATCH(G181,周线!$A$5:$A$84,0)-1)),"")</f>
        <v>1</v>
      </c>
      <c r="BT181" s="42" t="n">
        <f aca="false">IFERROR(IF(MATCH(G181,周线!$A$5:$A$84,0)&lt;=1,"",INDEX(周线!$S$5:$S$84,MATCH(G181,周线!$A$5:$A$84,0)-1)),"")</f>
        <v>0</v>
      </c>
      <c r="BU181" s="42" t="n">
        <f aca="false">IFERROR(IF(MATCH(G181,周线!$A$5:$A$84,0)&lt;=1,"",INDEX(周线!$U$5:$U$84,MATCH(G181,周线!$A$5:$A$84,0)-1)),"")</f>
        <v>0</v>
      </c>
      <c r="BV181" s="42" t="n">
        <f aca="false">IF(AND(BS181=1,S181&lt;&gt;-1,V181&lt;0,BO181=1,E181&lt;=H181,E181&gt;=AJ181),1,0)</f>
        <v>0</v>
      </c>
      <c r="BW181" s="42" t="n">
        <f aca="false">BL181</f>
        <v>0</v>
      </c>
      <c r="BX181" s="42" t="n">
        <f aca="false">BQ181</f>
        <v>0</v>
      </c>
      <c r="BY181" s="42" t="n">
        <f aca="false">IF(BS181=1,10,0)+IF(BU181=1,5,IF(BU181=-1,0,3))+IF(BT181=1,5,0)+IF(AND(AE181&gt;AF181,AH181&gt;AH180),5,0)</f>
        <v>13</v>
      </c>
      <c r="BZ181" s="42" t="n">
        <f aca="false">IF(AND(E181&lt;=H181,E181&gt;=I181),10,IF(AND(E181&gt;=AJ181,E181&lt;I181),6,0))+IF(AND(V181&lt;0,BO181=1),8,0)+IF(AT181&lt;30,7,IF(AT181&lt;50,3,0))</f>
        <v>21</v>
      </c>
      <c r="CA181" s="42" t="n">
        <f aca="false">IF(AND(BV181=1,BW181=1),25,IF(BW181=1,22,IF(BV181=1,15,IF(BX181=1,12,0))))</f>
        <v>0</v>
      </c>
      <c r="CB181" s="42" t="n">
        <f aca="false">IF(W181&gt;0,6,0)+IF(F181&lt;BR181,4,0)</f>
        <v>4</v>
      </c>
      <c r="CC181" s="42" t="n">
        <f aca="false">IF(BC181&gt;=3,15,IF(BC181&gt;=p_RRmin,10,IF(BC181&gt;=1.5,4,0)))</f>
        <v>15</v>
      </c>
      <c r="CD181" s="42" t="n">
        <f aca="false">BY181+BZ181+CA181+CB181+CC181</f>
        <v>53</v>
      </c>
      <c r="CE181" s="42" t="n">
        <f aca="false">IF(AND(BS181&lt;&gt;1,BW181+BX181=0),1,0)</f>
        <v>0</v>
      </c>
      <c r="CF181" s="42" t="n">
        <f aca="false">IF(BU181=-1,1,0)</f>
        <v>0</v>
      </c>
      <c r="CG181" s="42" t="n">
        <f aca="false">IF(S181=-1,1,0)</f>
        <v>1</v>
      </c>
      <c r="CH181" s="42" t="n">
        <f aca="false">IF(BV181+BW181+BX181=0,1,0)</f>
        <v>1</v>
      </c>
      <c r="CI181" s="42" t="n">
        <f aca="false">IF(BC181&lt;p_RRmin,1,0)</f>
        <v>0</v>
      </c>
      <c r="CJ181" s="46" t="str">
        <f aca="false">IF(SUM(CE181:CI181)=0,IF(CD181&gt;=p_GradeA,"A",IF(CD181&gt;=p_GradeB,"B","C")),IF(AND(CI181=1,SUM(CE181:CH181)=0,CD181&gt;=p_GradeB),"B","C"))</f>
        <v>C</v>
      </c>
    </row>
    <row r="182" customFormat="false" ht="15" hidden="false" customHeight="false" outlineLevel="0" collapsed="false">
      <c r="A182" s="36" t="n">
        <v>45908</v>
      </c>
      <c r="B182" s="37" t="n">
        <v>23.73</v>
      </c>
      <c r="C182" s="37" t="n">
        <v>24.18</v>
      </c>
      <c r="D182" s="37" t="n">
        <v>23.49</v>
      </c>
      <c r="E182" s="37" t="n">
        <v>24.03</v>
      </c>
      <c r="F182" s="38" t="n">
        <v>4498100</v>
      </c>
      <c r="G182" s="39" t="n">
        <f aca="false">A182-WEEKDAY(A182,3)</f>
        <v>45908</v>
      </c>
      <c r="H182" s="40" t="n">
        <f aca="false">2/(p_EmaF+1)*E182+(1-2/(p_EmaF+1))*H181</f>
        <v>23.9901976067234</v>
      </c>
      <c r="I182" s="40" t="n">
        <f aca="false">2/(p_EmaS+1)*E182+(1-2/(p_EmaS+1))*I181</f>
        <v>23.7216254370954</v>
      </c>
      <c r="J182" s="41" t="n">
        <f aca="false">2/(p_MacdF+1)*E182+(1-2/(p_MacdF+1))*J181</f>
        <v>23.9965936070656</v>
      </c>
      <c r="K182" s="41" t="n">
        <f aca="false">2/(p_MacdS+1)*E182+(1-2/(p_MacdS+1))*K181</f>
        <v>23.7216254370954</v>
      </c>
      <c r="L182" s="41" t="n">
        <f aca="false">J182-K182</f>
        <v>0.274968169970151</v>
      </c>
      <c r="M182" s="41" t="n">
        <f aca="false">2/(p_MacdSig+1)*L182+(1-2/(p_MacdSig+1))*M181</f>
        <v>0.404964810768691</v>
      </c>
      <c r="N182" s="41" t="n">
        <f aca="false">L182-M182</f>
        <v>-0.129996640798539</v>
      </c>
      <c r="O182" s="42" t="n">
        <f aca="false">IF(H182&gt;H181,1,0)</f>
        <v>1</v>
      </c>
      <c r="P182" s="42" t="n">
        <f aca="false">IF(H182&lt;H181,1,0)</f>
        <v>0</v>
      </c>
      <c r="Q182" s="42" t="n">
        <f aca="false">IF(N182&gt;N181,1,0)</f>
        <v>1</v>
      </c>
      <c r="R182" s="42" t="n">
        <f aca="false">IF(N182&lt;N181,1,0)</f>
        <v>0</v>
      </c>
      <c r="S182" s="42" t="n">
        <f aca="false">IF(AND(O182=1,Q182=1),1,IF(AND(P182=1,R182=1),-1,0))</f>
        <v>1</v>
      </c>
      <c r="T182" s="43" t="str">
        <f aca="false">IF(S182=1,"绿",IF(S182=-1,"红","蓝"))</f>
        <v>绿</v>
      </c>
      <c r="U182" s="44" t="n">
        <f aca="false">F182*(E182-E181)</f>
        <v>899620.000000013</v>
      </c>
      <c r="V182" s="44" t="n">
        <f aca="false">2/(p_FiS+1)*U182+(1-2/(p_FiS+1))*V181</f>
        <v>507819.042049024</v>
      </c>
      <c r="W182" s="44" t="n">
        <f aca="false">2/(p_FiL+1)*U182+(1-2/(p_FiL+1))*W181</f>
        <v>54104.9640114504</v>
      </c>
      <c r="X182" s="41" t="n">
        <f aca="false">MAX(C182-D182,ABS(C182-E181),ABS(D182-E181))</f>
        <v>0.690000000000001</v>
      </c>
      <c r="Y182" s="41" t="n">
        <f aca="true">AVERAGE(OFFSET(X182,1-MIN(p_AtrN,ROW()-4),0,MIN(p_AtrN,ROW()-4),1))</f>
        <v>0.478461538461538</v>
      </c>
      <c r="Z182" s="41" t="n">
        <f aca="false">IF(AND(C182-C181&gt;D181-D182,C182-C181&gt;0),C182-C181,0)</f>
        <v>0</v>
      </c>
      <c r="AA182" s="41" t="n">
        <f aca="false">IF(AND(D181-D182&gt;C182-C181,D181-D182&gt;0),D181-D182,0)</f>
        <v>0.190000000000001</v>
      </c>
      <c r="AB182" s="41" t="n">
        <f aca="false">2/(p_AdxN+1)*X182+(1-2/(p_AdxN+1))*AB181</f>
        <v>0.538111342889209</v>
      </c>
      <c r="AC182" s="41" t="n">
        <f aca="false">2/(p_AdxN+1)*Z182+(1-2/(p_AdxN+1))*AC181</f>
        <v>0.085436694207144</v>
      </c>
      <c r="AD182" s="41" t="n">
        <f aca="false">2/(p_AdxN+1)*AA182+(1-2/(p_AdxN+1))*AD181</f>
        <v>0.0936614996042057</v>
      </c>
      <c r="AE182" s="45" t="n">
        <f aca="false">100*AC182/AB182</f>
        <v>15.8771405464936</v>
      </c>
      <c r="AF182" s="45" t="n">
        <f aca="false">100*AD182/AB182</f>
        <v>17.4055984587356</v>
      </c>
      <c r="AG182" s="45" t="n">
        <f aca="false">IFERROR(100*ABS(AE182-AF182)/(AE182+AF182),0)</f>
        <v>4.59234413370202</v>
      </c>
      <c r="AH182" s="45" t="n">
        <f aca="false">2/(p_AdxN+1)*AG182+(1-2/(p_AdxN+1))*AH181</f>
        <v>21.1439529538174</v>
      </c>
      <c r="AI182" s="40" t="n">
        <f aca="false">I182*(1+p_ChPct)</f>
        <v>25.1449229633212</v>
      </c>
      <c r="AJ182" s="40" t="n">
        <f aca="false">I182*(1-p_ChPct)</f>
        <v>22.2983279108697</v>
      </c>
      <c r="AK182" s="40" t="n">
        <f aca="false">I182+1*Y182</f>
        <v>24.200086975557</v>
      </c>
      <c r="AL182" s="40" t="n">
        <f aca="false">I182+2*Y182</f>
        <v>24.6785485140185</v>
      </c>
      <c r="AM182" s="40" t="n">
        <f aca="false">I182+3*Y182</f>
        <v>25.15701005248</v>
      </c>
      <c r="AN182" s="40" t="n">
        <f aca="false">I182-1*Y182</f>
        <v>23.2431638986339</v>
      </c>
      <c r="AO182" s="40" t="n">
        <f aca="false">I182-2*Y182</f>
        <v>22.7647023601723</v>
      </c>
      <c r="AP182" s="40" t="n">
        <f aca="false">I182-3*Y182</f>
        <v>22.2862408217108</v>
      </c>
      <c r="AQ182" s="40" t="n">
        <f aca="true">MAX(OFFSET(C182,1-MIN(p_StochN,ROW()-4),0,MIN(p_StochN,ROW()-4),1))</f>
        <v>24.47</v>
      </c>
      <c r="AR182" s="40" t="n">
        <f aca="true">MIN(OFFSET(D182,1-MIN(p_StochN,ROW()-4),0,MIN(p_StochN,ROW()-4),1))</f>
        <v>23.49</v>
      </c>
      <c r="AS182" s="45" t="n">
        <f aca="false">IF(AQ182=AR182,50,100*(E182-AR182)/(AQ182-AR182))</f>
        <v>55.1020408163268</v>
      </c>
      <c r="AT182" s="45" t="n">
        <f aca="true">AVERAGE(OFFSET(AS182,1-MIN(p_StochSm,ROW()-4),0,MIN(p_StochSm,ROW()-4),1))</f>
        <v>46.3243361860875</v>
      </c>
      <c r="AU182" s="45" t="n">
        <f aca="true">AVERAGE(OFFSET(AT182,1-MIN(p_StochSm,ROW()-4),0,MIN(p_StochSm,ROW()-4),1))</f>
        <v>40.4204267662197</v>
      </c>
      <c r="AV182" s="41" t="n">
        <f aca="false">MAX(0,H182-D182)</f>
        <v>0.500197606723418</v>
      </c>
      <c r="AW182" s="41" t="n">
        <f aca="true">IF(COUNTIF(OFFSET(AV182,1-MIN(p_PenLb,ROW()-4),0,MIN(p_PenLb,ROW()-4),1),"&gt;0")&gt;0,SUM(OFFSET(AV182,1-MIN(p_PenLb,ROW()-4),0,MIN(p_PenLb,ROW()-4),1))/COUNTIF(OFFSET(AV182,1-MIN(p_PenLb,ROW()-4),0,MIN(p_PenLb,ROW()-4),1),"&gt;0"),0.5*Y182)</f>
        <v>0.313254644099951</v>
      </c>
      <c r="AX182" s="41" t="n">
        <f aca="false">2*H182-H181</f>
        <v>23.9968313389362</v>
      </c>
      <c r="AY182" s="40" t="n">
        <f aca="false">ROUND(MAX(AX182-AW182,0.01),2)</f>
        <v>23.68</v>
      </c>
      <c r="AZ182" s="40" t="n">
        <f aca="true">IF(MIN(p_StopLb,ROW()-4)&lt;2,D182,SMALL(OFFSET(D182,1-MIN(p_StopLb,ROW()-4),0,MIN(p_StopLb,ROW()-4),1),2))</f>
        <v>23.54</v>
      </c>
      <c r="BA182" s="40" t="n">
        <f aca="false">IF(MOD(ROUND(ROUNDDOWN(MIN(AZ182-0.01,AY182-p_StopAtr*Y182),2)*100,0),50)=0,ROUNDDOWN(MIN(AZ182-0.01,AY182-p_StopAtr*Y182),2)-0.01,ROUNDDOWN(MIN(AZ182-0.01,AY182-p_StopAtr*Y182),2))</f>
        <v>23.2</v>
      </c>
      <c r="BB182" s="40" t="n">
        <f aca="false">ROUND(AI182,2)</f>
        <v>25.14</v>
      </c>
      <c r="BC182" s="40" t="n">
        <f aca="false">IF(AY182-BA182&gt;0,(BB182-AY182)/(AY182-BA182),0)</f>
        <v>3.04166666666667</v>
      </c>
      <c r="BD182" s="42" t="n">
        <f aca="false">IF(N182&lt;0,1,0)</f>
        <v>1</v>
      </c>
      <c r="BE182" s="41" t="n">
        <f aca="false">IF(AND(BD182=1,BD181=0),N182,IF(BD182=1,MIN(BE181,N182),BE181))</f>
        <v>-0.149433863515745</v>
      </c>
      <c r="BF182" s="40" t="n">
        <f aca="false">IF(AND(BD182=1,BD181=0),D182,IF(BD182=1,MIN(BF181,D182),BF181))</f>
        <v>23.49</v>
      </c>
      <c r="BG182" s="42" t="n">
        <f aca="false">IF(AND(BD182=1,BD181=0),ROW(),IF(BD182=1,IF(N182&lt;BE181,ROW(),BG181),BG181))</f>
        <v>179</v>
      </c>
      <c r="BH182" s="41" t="n">
        <f aca="false">IF(AND(BD182=1,BD181=0),BE181,BH181)</f>
        <v>-0.0583119972977335</v>
      </c>
      <c r="BI182" s="40" t="n">
        <f aca="false">IF(AND(BD182=1,BD181=0),BF181,BI181)</f>
        <v>19.27</v>
      </c>
      <c r="BJ182" s="42" t="n">
        <f aca="false">IF(AND(BD182=1,BD181=0),BG181,BJ181)</f>
        <v>124</v>
      </c>
      <c r="BK182" s="42" t="n">
        <f aca="false">IF(AND(ISNUMBER(BG182),ISNUMBER(BJ182)),BG182-BJ182,"")</f>
        <v>55</v>
      </c>
      <c r="BL182" s="42" t="n">
        <f aca="false">IF(AND(BD182=1,N182&gt;N181,ISNUMBER(BH182),ISNUMBER(BK182)),IF(AND(BE182&gt;BH182,BF182&lt;BI182,BK182&gt;=p_GapMin,BK182&lt;=p_GapMax),1,0),0)</f>
        <v>0</v>
      </c>
      <c r="BM182" s="42" t="n">
        <f aca="false">IF(AND(BL182=1,E182&gt;BI182),1,0)</f>
        <v>0</v>
      </c>
      <c r="BN182" s="42" t="n">
        <f aca="false">IF(BL182=1,IF(BE182&gt;=BH182*0.5,1,0),0)</f>
        <v>0</v>
      </c>
      <c r="BO182" s="42" t="n">
        <f aca="true">IF(V182&gt;MIN(OFFSET(V182,-MIN(p_FiLb-1,ROW()-5),0,MIN(p_FiLb-1,ROW()-5),1)),1,0)</f>
        <v>1</v>
      </c>
      <c r="BP182" s="44" t="n">
        <f aca="true">IF(COUNTIF(OFFSET(V182,1-MIN(100,ROW()-4),0,MIN(100,ROW()-4),1),"&lt;0")&gt;=5,AVERAGEIF(OFFSET(V182,1-MIN(100,ROW()-4),0,MIN(100,ROW()-4),1),"&lt;0"),"")</f>
        <v>-946414.668941868</v>
      </c>
      <c r="BQ182" s="42" t="n">
        <f aca="false">IF(ISNUMBER(BP182),IF(AND(V182&lt;5*BP182,V182&gt;V181,E182&lt;AJ182),1,0),0)</f>
        <v>0</v>
      </c>
      <c r="BR182" s="44" t="n">
        <f aca="true">AVERAGE(OFFSET(F182,1-MIN(5,ROW()-4),0,MIN(5,ROW()-4),1))</f>
        <v>3588060</v>
      </c>
      <c r="BS182" s="42" t="n">
        <f aca="false">IFERROR(IF(MATCH(G182,周线!$A$5:$A$84,0)&lt;=1,"",INDEX(周线!$R$5:$R$84,MATCH(G182,周线!$A$5:$A$84,0)-1)),"")</f>
        <v>1</v>
      </c>
      <c r="BT182" s="42" t="n">
        <f aca="false">IFERROR(IF(MATCH(G182,周线!$A$5:$A$84,0)&lt;=1,"",INDEX(周线!$S$5:$S$84,MATCH(G182,周线!$A$5:$A$84,0)-1)),"")</f>
        <v>0</v>
      </c>
      <c r="BU182" s="42" t="n">
        <f aca="false">IFERROR(IF(MATCH(G182,周线!$A$5:$A$84,0)&lt;=1,"",INDEX(周线!$U$5:$U$84,MATCH(G182,周线!$A$5:$A$84,0)-1)),"")</f>
        <v>0</v>
      </c>
      <c r="BV182" s="42" t="n">
        <f aca="false">IF(AND(BS182=1,S182&lt;&gt;-1,V182&lt;0,BO182=1,E182&lt;=H182,E182&gt;=AJ182),1,0)</f>
        <v>0</v>
      </c>
      <c r="BW182" s="42" t="n">
        <f aca="false">BL182</f>
        <v>0</v>
      </c>
      <c r="BX182" s="42" t="n">
        <f aca="false">BQ182</f>
        <v>0</v>
      </c>
      <c r="BY182" s="42" t="n">
        <f aca="false">IF(BS182=1,10,0)+IF(BU182=1,5,IF(BU182=-1,0,3))+IF(BT182=1,5,0)+IF(AND(AE182&gt;AF182,AH182&gt;AH181),5,0)</f>
        <v>13</v>
      </c>
      <c r="BZ182" s="42" t="n">
        <f aca="false">IF(AND(E182&lt;=H182,E182&gt;=I182),10,IF(AND(E182&gt;=AJ182,E182&lt;I182),6,0))+IF(AND(V182&lt;0,BO182=1),8,0)+IF(AT182&lt;30,7,IF(AT182&lt;50,3,0))</f>
        <v>3</v>
      </c>
      <c r="CA182" s="42" t="n">
        <f aca="false">IF(AND(BV182=1,BW182=1),25,IF(BW182=1,22,IF(BV182=1,15,IF(BX182=1,12,0))))</f>
        <v>0</v>
      </c>
      <c r="CB182" s="42" t="n">
        <f aca="false">IF(W182&gt;0,6,0)+IF(F182&lt;BR182,4,0)</f>
        <v>6</v>
      </c>
      <c r="CC182" s="42" t="n">
        <f aca="false">IF(BC182&gt;=3,15,IF(BC182&gt;=p_RRmin,10,IF(BC182&gt;=1.5,4,0)))</f>
        <v>15</v>
      </c>
      <c r="CD182" s="42" t="n">
        <f aca="false">BY182+BZ182+CA182+CB182+CC182</f>
        <v>37</v>
      </c>
      <c r="CE182" s="42" t="n">
        <f aca="false">IF(AND(BS182&lt;&gt;1,BW182+BX182=0),1,0)</f>
        <v>0</v>
      </c>
      <c r="CF182" s="42" t="n">
        <f aca="false">IF(BU182=-1,1,0)</f>
        <v>0</v>
      </c>
      <c r="CG182" s="42" t="n">
        <f aca="false">IF(S182=-1,1,0)</f>
        <v>0</v>
      </c>
      <c r="CH182" s="42" t="n">
        <f aca="false">IF(BV182+BW182+BX182=0,1,0)</f>
        <v>1</v>
      </c>
      <c r="CI182" s="42" t="n">
        <f aca="false">IF(BC182&lt;p_RRmin,1,0)</f>
        <v>0</v>
      </c>
      <c r="CJ182" s="46" t="str">
        <f aca="false">IF(SUM(CE182:CI182)=0,IF(CD182&gt;=p_GradeA,"A",IF(CD182&gt;=p_GradeB,"B","C")),IF(AND(CI182=1,SUM(CE182:CH182)=0,CD182&gt;=p_GradeB),"B","C"))</f>
        <v>C</v>
      </c>
    </row>
    <row r="183" customFormat="false" ht="15" hidden="false" customHeight="false" outlineLevel="0" collapsed="false">
      <c r="A183" s="36" t="n">
        <v>45909</v>
      </c>
      <c r="B183" s="37" t="n">
        <v>24.08</v>
      </c>
      <c r="C183" s="37" t="n">
        <v>24.26</v>
      </c>
      <c r="D183" s="37" t="n">
        <v>23.79</v>
      </c>
      <c r="E183" s="37" t="n">
        <v>23.89</v>
      </c>
      <c r="F183" s="38" t="n">
        <v>2680400</v>
      </c>
      <c r="G183" s="39" t="n">
        <f aca="false">A183-WEEKDAY(A183,3)</f>
        <v>45908</v>
      </c>
      <c r="H183" s="40" t="n">
        <f aca="false">2/(p_EmaF+1)*E183+(1-2/(p_EmaF+1))*H182</f>
        <v>23.9758836629058</v>
      </c>
      <c r="I183" s="40" t="n">
        <f aca="false">2/(p_EmaS+1)*E183+(1-2/(p_EmaS+1))*I182</f>
        <v>23.7340976269402</v>
      </c>
      <c r="J183" s="41" t="n">
        <f aca="false">2/(p_MacdF+1)*E183+(1-2/(p_MacdF+1))*J182</f>
        <v>23.9801945905939</v>
      </c>
      <c r="K183" s="41" t="n">
        <f aca="false">2/(p_MacdS+1)*E183+(1-2/(p_MacdS+1))*K182</f>
        <v>23.7340976269402</v>
      </c>
      <c r="L183" s="41" t="n">
        <f aca="false">J183-K183</f>
        <v>0.246096963653738</v>
      </c>
      <c r="M183" s="41" t="n">
        <f aca="false">2/(p_MacdSig+1)*L183+(1-2/(p_MacdSig+1))*M182</f>
        <v>0.3731912413457</v>
      </c>
      <c r="N183" s="41" t="n">
        <f aca="false">L183-M183</f>
        <v>-0.127094277691962</v>
      </c>
      <c r="O183" s="42" t="n">
        <f aca="false">IF(H183&gt;H182,1,0)</f>
        <v>0</v>
      </c>
      <c r="P183" s="42" t="n">
        <f aca="false">IF(H183&lt;H182,1,0)</f>
        <v>1</v>
      </c>
      <c r="Q183" s="42" t="n">
        <f aca="false">IF(N183&gt;N182,1,0)</f>
        <v>1</v>
      </c>
      <c r="R183" s="42" t="n">
        <f aca="false">IF(N183&lt;N182,1,0)</f>
        <v>0</v>
      </c>
      <c r="S183" s="42" t="n">
        <f aca="false">IF(AND(O183=1,Q183=1),1,IF(AND(P183=1,R183=1),-1,0))</f>
        <v>0</v>
      </c>
      <c r="T183" s="43" t="str">
        <f aca="false">IF(S183=1,"绿",IF(S183=-1,"红","蓝"))</f>
        <v>蓝</v>
      </c>
      <c r="U183" s="44" t="n">
        <f aca="false">F183*(E183-E182)</f>
        <v>-375256.000000002</v>
      </c>
      <c r="V183" s="44" t="n">
        <f aca="false">2/(p_FiS+1)*U183+(1-2/(p_FiS+1))*V182</f>
        <v>-80897.6526503262</v>
      </c>
      <c r="W183" s="44" t="n">
        <f aca="false">2/(p_FiL+1)*U183+(1-2/(p_FiL+1))*W182</f>
        <v>-7232.31656161419</v>
      </c>
      <c r="X183" s="41" t="n">
        <f aca="false">MAX(C183-D183,ABS(C183-E182),ABS(D183-E182))</f>
        <v>0.470000000000002</v>
      </c>
      <c r="Y183" s="41" t="n">
        <f aca="true">AVERAGE(OFFSET(X183,1-MIN(p_AtrN,ROW()-4),0,MIN(p_AtrN,ROW()-4),1))</f>
        <v>0.486153846153846</v>
      </c>
      <c r="Z183" s="41" t="n">
        <f aca="false">IF(AND(C183-C182&gt;D182-D183,C183-C182&gt;0),C183-C182,0)</f>
        <v>0.0800000000000019</v>
      </c>
      <c r="AA183" s="41" t="n">
        <f aca="false">IF(AND(D182-D183&gt;C183-C182,D182-D183&gt;0),D182-D183,0)</f>
        <v>0</v>
      </c>
      <c r="AB183" s="41" t="n">
        <f aca="false">2/(p_AdxN+1)*X183+(1-2/(p_AdxN+1))*AB182</f>
        <v>0.528381151047894</v>
      </c>
      <c r="AC183" s="41" t="n">
        <f aca="false">2/(p_AdxN+1)*Z183+(1-2/(p_AdxN+1))*AC182</f>
        <v>0.0846600236061237</v>
      </c>
      <c r="AD183" s="41" t="n">
        <f aca="false">2/(p_AdxN+1)*AA183+(1-2/(p_AdxN+1))*AD182</f>
        <v>0.0802812853750335</v>
      </c>
      <c r="AE183" s="45" t="n">
        <f aca="false">100*AC183/AB183</f>
        <v>16.0225290849654</v>
      </c>
      <c r="AF183" s="45" t="n">
        <f aca="false">100*AD183/AB183</f>
        <v>15.1938208272226</v>
      </c>
      <c r="AG183" s="45" t="n">
        <f aca="false">IFERROR(100*ABS(AE183-AF183)/(AE183+AF183),0)</f>
        <v>2.65472504015982</v>
      </c>
      <c r="AH183" s="45" t="n">
        <f aca="false">2/(p_AdxN+1)*AG183+(1-2/(p_AdxN+1))*AH182</f>
        <v>18.5026346804378</v>
      </c>
      <c r="AI183" s="40" t="n">
        <f aca="false">I183*(1+p_ChPct)</f>
        <v>25.1581434845566</v>
      </c>
      <c r="AJ183" s="40" t="n">
        <f aca="false">I183*(1-p_ChPct)</f>
        <v>22.3100517693238</v>
      </c>
      <c r="AK183" s="40" t="n">
        <f aca="false">I183+1*Y183</f>
        <v>24.2202514730941</v>
      </c>
      <c r="AL183" s="40" t="n">
        <f aca="false">I183+2*Y183</f>
        <v>24.7064053192479</v>
      </c>
      <c r="AM183" s="40" t="n">
        <f aca="false">I183+3*Y183</f>
        <v>25.1925591654017</v>
      </c>
      <c r="AN183" s="40" t="n">
        <f aca="false">I183-1*Y183</f>
        <v>23.2479437807864</v>
      </c>
      <c r="AO183" s="40" t="n">
        <f aca="false">I183-2*Y183</f>
        <v>22.7617899346325</v>
      </c>
      <c r="AP183" s="40" t="n">
        <f aca="false">I183-3*Y183</f>
        <v>22.2756360884787</v>
      </c>
      <c r="AQ183" s="40" t="n">
        <f aca="true">MAX(OFFSET(C183,1-MIN(p_StochN,ROW()-4),0,MIN(p_StochN,ROW()-4),1))</f>
        <v>24.26</v>
      </c>
      <c r="AR183" s="40" t="n">
        <f aca="true">MIN(OFFSET(D183,1-MIN(p_StochN,ROW()-4),0,MIN(p_StochN,ROW()-4),1))</f>
        <v>23.49</v>
      </c>
      <c r="AS183" s="45" t="n">
        <f aca="false">IF(AQ183=AR183,50,100*(E183-AR183)/(AQ183-AR183))</f>
        <v>51.948051948052</v>
      </c>
      <c r="AT183" s="45" t="n">
        <f aca="true">AVERAGE(OFFSET(AS183,1-MIN(p_StochSm,ROW()-4),0,MIN(p_StochSm,ROW()-4),1))</f>
        <v>46.0776294877678</v>
      </c>
      <c r="AU183" s="45" t="n">
        <f aca="true">AVERAGE(OFFSET(AT183,1-MIN(p_StochSm,ROW()-4),0,MIN(p_StochSm,ROW()-4),1))</f>
        <v>44.0623039701382</v>
      </c>
      <c r="AV183" s="41" t="n">
        <f aca="false">MAX(0,H183-D183)</f>
        <v>0.185883662905788</v>
      </c>
      <c r="AW183" s="41" t="n">
        <f aca="true">IF(COUNTIF(OFFSET(AV183,1-MIN(p_PenLb,ROW()-4),0,MIN(p_PenLb,ROW()-4),1),"&gt;0")&gt;0,SUM(OFFSET(AV183,1-MIN(p_PenLb,ROW()-4),0,MIN(p_PenLb,ROW()-4),1))/COUNTIF(OFFSET(AV183,1-MIN(p_PenLb,ROW()-4),0,MIN(p_PenLb,ROW()-4),1),"&gt;0"),0.5*Y183)</f>
        <v>0.302640395667104</v>
      </c>
      <c r="AX183" s="41" t="n">
        <f aca="false">2*H183-H182</f>
        <v>23.9615697190882</v>
      </c>
      <c r="AY183" s="40" t="n">
        <f aca="false">ROUND(MAX(AX183-AW183,0.01),2)</f>
        <v>23.66</v>
      </c>
      <c r="AZ183" s="40" t="n">
        <f aca="true">IF(MIN(p_StopLb,ROW()-4)&lt;2,D183,SMALL(OFFSET(D183,1-MIN(p_StopLb,ROW()-4),0,MIN(p_StopLb,ROW()-4),1),2))</f>
        <v>23.54</v>
      </c>
      <c r="BA183" s="40" t="n">
        <f aca="false">IF(MOD(ROUND(ROUNDDOWN(MIN(AZ183-0.01,AY183-p_StopAtr*Y183),2)*100,0),50)=0,ROUNDDOWN(MIN(AZ183-0.01,AY183-p_StopAtr*Y183),2)-0.01,ROUNDDOWN(MIN(AZ183-0.01,AY183-p_StopAtr*Y183),2))</f>
        <v>23.17</v>
      </c>
      <c r="BB183" s="40" t="n">
        <f aca="false">ROUND(AI183,2)</f>
        <v>25.16</v>
      </c>
      <c r="BC183" s="40" t="n">
        <f aca="false">IF(AY183-BA183&gt;0,(BB183-AY183)/(AY183-BA183),0)</f>
        <v>3.06122448979593</v>
      </c>
      <c r="BD183" s="42" t="n">
        <f aca="false">IF(N183&lt;0,1,0)</f>
        <v>1</v>
      </c>
      <c r="BE183" s="41" t="n">
        <f aca="false">IF(AND(BD183=1,BD182=0),N183,IF(BD183=1,MIN(BE182,N183),BE182))</f>
        <v>-0.149433863515745</v>
      </c>
      <c r="BF183" s="40" t="n">
        <f aca="false">IF(AND(BD183=1,BD182=0),D183,IF(BD183=1,MIN(BF182,D183),BF182))</f>
        <v>23.49</v>
      </c>
      <c r="BG183" s="42" t="n">
        <f aca="false">IF(AND(BD183=1,BD182=0),ROW(),IF(BD183=1,IF(N183&lt;BE182,ROW(),BG182),BG182))</f>
        <v>179</v>
      </c>
      <c r="BH183" s="41" t="n">
        <f aca="false">IF(AND(BD183=1,BD182=0),BE182,BH182)</f>
        <v>-0.0583119972977335</v>
      </c>
      <c r="BI183" s="40" t="n">
        <f aca="false">IF(AND(BD183=1,BD182=0),BF182,BI182)</f>
        <v>19.27</v>
      </c>
      <c r="BJ183" s="42" t="n">
        <f aca="false">IF(AND(BD183=1,BD182=0),BG182,BJ182)</f>
        <v>124</v>
      </c>
      <c r="BK183" s="42" t="n">
        <f aca="false">IF(AND(ISNUMBER(BG183),ISNUMBER(BJ183)),BG183-BJ183,"")</f>
        <v>55</v>
      </c>
      <c r="BL183" s="42" t="n">
        <f aca="false">IF(AND(BD183=1,N183&gt;N182,ISNUMBER(BH183),ISNUMBER(BK183)),IF(AND(BE183&gt;BH183,BF183&lt;BI183,BK183&gt;=p_GapMin,BK183&lt;=p_GapMax),1,0),0)</f>
        <v>0</v>
      </c>
      <c r="BM183" s="42" t="n">
        <f aca="false">IF(AND(BL183=1,E183&gt;BI183),1,0)</f>
        <v>0</v>
      </c>
      <c r="BN183" s="42" t="n">
        <f aca="false">IF(BL183=1,IF(BE183&gt;=BH183*0.5,1,0),0)</f>
        <v>0</v>
      </c>
      <c r="BO183" s="42" t="n">
        <f aca="true">IF(V183&gt;MIN(OFFSET(V183,-MIN(p_FiLb-1,ROW()-5),0,MIN(p_FiLb-1,ROW()-5),1)),1,0)</f>
        <v>1</v>
      </c>
      <c r="BP183" s="44" t="n">
        <f aca="true">IF(COUNTIF(OFFSET(V183,1-MIN(100,ROW()-4),0,MIN(100,ROW()-4),1),"&lt;0")&gt;=5,AVERAGEIF(OFFSET(V183,1-MIN(100,ROW()-4),0,MIN(100,ROW()-4),1),"&lt;0"),"")</f>
        <v>-917325.42679515</v>
      </c>
      <c r="BQ183" s="42" t="n">
        <f aca="false">IF(ISNUMBER(BP183),IF(AND(V183&lt;5*BP183,V183&gt;V182,E183&lt;AJ183),1,0),0)</f>
        <v>0</v>
      </c>
      <c r="BR183" s="44" t="n">
        <f aca="true">AVERAGE(OFFSET(F183,1-MIN(5,ROW()-4),0,MIN(5,ROW()-4),1))</f>
        <v>3161100</v>
      </c>
      <c r="BS183" s="42" t="n">
        <f aca="false">IFERROR(IF(MATCH(G183,周线!$A$5:$A$84,0)&lt;=1,"",INDEX(周线!$R$5:$R$84,MATCH(G183,周线!$A$5:$A$84,0)-1)),"")</f>
        <v>1</v>
      </c>
      <c r="BT183" s="42" t="n">
        <f aca="false">IFERROR(IF(MATCH(G183,周线!$A$5:$A$84,0)&lt;=1,"",INDEX(周线!$S$5:$S$84,MATCH(G183,周线!$A$5:$A$84,0)-1)),"")</f>
        <v>0</v>
      </c>
      <c r="BU183" s="42" t="n">
        <f aca="false">IFERROR(IF(MATCH(G183,周线!$A$5:$A$84,0)&lt;=1,"",INDEX(周线!$U$5:$U$84,MATCH(G183,周线!$A$5:$A$84,0)-1)),"")</f>
        <v>0</v>
      </c>
      <c r="BV183" s="42" t="n">
        <f aca="false">IF(AND(BS183=1,S183&lt;&gt;-1,V183&lt;0,BO183=1,E183&lt;=H183,E183&gt;=AJ183),1,0)</f>
        <v>1</v>
      </c>
      <c r="BW183" s="42" t="n">
        <f aca="false">BL183</f>
        <v>0</v>
      </c>
      <c r="BX183" s="42" t="n">
        <f aca="false">BQ183</f>
        <v>0</v>
      </c>
      <c r="BY183" s="42" t="n">
        <f aca="false">IF(BS183=1,10,0)+IF(BU183=1,5,IF(BU183=-1,0,3))+IF(BT183=1,5,0)+IF(AND(AE183&gt;AF183,AH183&gt;AH182),5,0)</f>
        <v>13</v>
      </c>
      <c r="BZ183" s="42" t="n">
        <f aca="false">IF(AND(E183&lt;=H183,E183&gt;=I183),10,IF(AND(E183&gt;=AJ183,E183&lt;I183),6,0))+IF(AND(V183&lt;0,BO183=1),8,0)+IF(AT183&lt;30,7,IF(AT183&lt;50,3,0))</f>
        <v>21</v>
      </c>
      <c r="CA183" s="42" t="n">
        <f aca="false">IF(AND(BV183=1,BW183=1),25,IF(BW183=1,22,IF(BV183=1,15,IF(BX183=1,12,0))))</f>
        <v>15</v>
      </c>
      <c r="CB183" s="42" t="n">
        <f aca="false">IF(W183&gt;0,6,0)+IF(F183&lt;BR183,4,0)</f>
        <v>4</v>
      </c>
      <c r="CC183" s="42" t="n">
        <f aca="false">IF(BC183&gt;=3,15,IF(BC183&gt;=p_RRmin,10,IF(BC183&gt;=1.5,4,0)))</f>
        <v>15</v>
      </c>
      <c r="CD183" s="42" t="n">
        <f aca="false">BY183+BZ183+CA183+CB183+CC183</f>
        <v>68</v>
      </c>
      <c r="CE183" s="42" t="n">
        <f aca="false">IF(AND(BS183&lt;&gt;1,BW183+BX183=0),1,0)</f>
        <v>0</v>
      </c>
      <c r="CF183" s="42" t="n">
        <f aca="false">IF(BU183=-1,1,0)</f>
        <v>0</v>
      </c>
      <c r="CG183" s="42" t="n">
        <f aca="false">IF(S183=-1,1,0)</f>
        <v>0</v>
      </c>
      <c r="CH183" s="42" t="n">
        <f aca="false">IF(BV183+BW183+BX183=0,1,0)</f>
        <v>0</v>
      </c>
      <c r="CI183" s="42" t="n">
        <f aca="false">IF(BC183&lt;p_RRmin,1,0)</f>
        <v>0</v>
      </c>
      <c r="CJ183" s="46" t="str">
        <f aca="false">IF(SUM(CE183:CI183)=0,IF(CD183&gt;=p_GradeA,"A",IF(CD183&gt;=p_GradeB,"B","C")),IF(AND(CI183=1,SUM(CE183:CH183)=0,CD183&gt;=p_GradeB),"B","C"))</f>
        <v>B</v>
      </c>
    </row>
    <row r="184" customFormat="false" ht="15" hidden="false" customHeight="false" outlineLevel="0" collapsed="false">
      <c r="A184" s="36" t="n">
        <v>45910</v>
      </c>
      <c r="B184" s="37" t="n">
        <v>23.8</v>
      </c>
      <c r="C184" s="37" t="n">
        <v>24.92</v>
      </c>
      <c r="D184" s="37" t="n">
        <v>23.68</v>
      </c>
      <c r="E184" s="37" t="n">
        <v>24.65</v>
      </c>
      <c r="F184" s="38" t="n">
        <v>4487000</v>
      </c>
      <c r="G184" s="39" t="n">
        <f aca="false">A184-WEEKDAY(A184,3)</f>
        <v>45908</v>
      </c>
      <c r="H184" s="40" t="n">
        <f aca="false">2/(p_EmaF+1)*E184+(1-2/(p_EmaF+1))*H183</f>
        <v>24.0721859967764</v>
      </c>
      <c r="I184" s="40" t="n">
        <f aca="false">2/(p_EmaS+1)*E184+(1-2/(p_EmaS+1))*I183</f>
        <v>23.8019422471669</v>
      </c>
      <c r="J184" s="41" t="n">
        <f aca="false">2/(p_MacdF+1)*E184+(1-2/(p_MacdF+1))*J183</f>
        <v>24.0832415766564</v>
      </c>
      <c r="K184" s="41" t="n">
        <f aca="false">2/(p_MacdS+1)*E184+(1-2/(p_MacdS+1))*K183</f>
        <v>23.8019422471669</v>
      </c>
      <c r="L184" s="41" t="n">
        <f aca="false">J184-K184</f>
        <v>0.281299329489556</v>
      </c>
      <c r="M184" s="41" t="n">
        <f aca="false">2/(p_MacdSig+1)*L184+(1-2/(p_MacdSig+1))*M183</f>
        <v>0.354812858974471</v>
      </c>
      <c r="N184" s="41" t="n">
        <f aca="false">L184-M184</f>
        <v>-0.073513529484915</v>
      </c>
      <c r="O184" s="42" t="n">
        <f aca="false">IF(H184&gt;H183,1,0)</f>
        <v>1</v>
      </c>
      <c r="P184" s="42" t="n">
        <f aca="false">IF(H184&lt;H183,1,0)</f>
        <v>0</v>
      </c>
      <c r="Q184" s="42" t="n">
        <f aca="false">IF(N184&gt;N183,1,0)</f>
        <v>1</v>
      </c>
      <c r="R184" s="42" t="n">
        <f aca="false">IF(N184&lt;N183,1,0)</f>
        <v>0</v>
      </c>
      <c r="S184" s="42" t="n">
        <f aca="false">IF(AND(O184=1,Q184=1),1,IF(AND(P184=1,R184=1),-1,0))</f>
        <v>1</v>
      </c>
      <c r="T184" s="43" t="str">
        <f aca="false">IF(S184=1,"绿",IF(S184=-1,"红","蓝"))</f>
        <v>绿</v>
      </c>
      <c r="U184" s="44" t="n">
        <f aca="false">F184*(E184-E183)</f>
        <v>3410119.99999999</v>
      </c>
      <c r="V184" s="44" t="n">
        <f aca="false">2/(p_FiS+1)*U184+(1-2/(p_FiS+1))*V183</f>
        <v>2246447.44911655</v>
      </c>
      <c r="W184" s="44" t="n">
        <f aca="false">2/(p_FiL+1)*U184+(1-2/(p_FiL+1))*W183</f>
        <v>480960.871518615</v>
      </c>
      <c r="X184" s="41" t="n">
        <f aca="false">MAX(C184-D184,ABS(C184-E183),ABS(D184-E183))</f>
        <v>1.24</v>
      </c>
      <c r="Y184" s="41" t="n">
        <f aca="true">AVERAGE(OFFSET(X184,1-MIN(p_AtrN,ROW()-4),0,MIN(p_AtrN,ROW()-4),1))</f>
        <v>0.56</v>
      </c>
      <c r="Z184" s="41" t="n">
        <f aca="false">IF(AND(C184-C183&gt;D183-D184,C184-C183&gt;0),C184-C183,0)</f>
        <v>0.66</v>
      </c>
      <c r="AA184" s="41" t="n">
        <f aca="false">IF(AND(D183-D184&gt;C184-C183,D183-D184&gt;0),D183-D184,0)</f>
        <v>0</v>
      </c>
      <c r="AB184" s="41" t="n">
        <f aca="false">2/(p_AdxN+1)*X184+(1-2/(p_AdxN+1))*AB183</f>
        <v>0.630040986612481</v>
      </c>
      <c r="AC184" s="41" t="n">
        <f aca="false">2/(p_AdxN+1)*Z184+(1-2/(p_AdxN+1))*AC183</f>
        <v>0.166851448805249</v>
      </c>
      <c r="AD184" s="41" t="n">
        <f aca="false">2/(p_AdxN+1)*AA184+(1-2/(p_AdxN+1))*AD183</f>
        <v>0.0688125303214573</v>
      </c>
      <c r="AE184" s="45" t="n">
        <f aca="false">100*AC184/AB184</f>
        <v>26.4826340429617</v>
      </c>
      <c r="AF184" s="45" t="n">
        <f aca="false">100*AD184/AB184</f>
        <v>10.9219133014567</v>
      </c>
      <c r="AG184" s="45" t="n">
        <f aca="false">IFERROR(100*ABS(AE184-AF184)/(AE184+AF184),0)</f>
        <v>41.60114704296</v>
      </c>
      <c r="AH184" s="45" t="n">
        <f aca="false">2/(p_AdxN+1)*AG184+(1-2/(p_AdxN+1))*AH183</f>
        <v>21.8024221607981</v>
      </c>
      <c r="AI184" s="40" t="n">
        <f aca="false">I184*(1+p_ChPct)</f>
        <v>25.2300587819969</v>
      </c>
      <c r="AJ184" s="40" t="n">
        <f aca="false">I184*(1-p_ChPct)</f>
        <v>22.3738257123368</v>
      </c>
      <c r="AK184" s="40" t="n">
        <f aca="false">I184+1*Y184</f>
        <v>24.3619422471669</v>
      </c>
      <c r="AL184" s="40" t="n">
        <f aca="false">I184+2*Y184</f>
        <v>24.9219422471669</v>
      </c>
      <c r="AM184" s="40" t="n">
        <f aca="false">I184+3*Y184</f>
        <v>25.4819422471669</v>
      </c>
      <c r="AN184" s="40" t="n">
        <f aca="false">I184-1*Y184</f>
        <v>23.2419422471669</v>
      </c>
      <c r="AO184" s="40" t="n">
        <f aca="false">I184-2*Y184</f>
        <v>22.6819422471669</v>
      </c>
      <c r="AP184" s="40" t="n">
        <f aca="false">I184-3*Y184</f>
        <v>22.1219422471669</v>
      </c>
      <c r="AQ184" s="40" t="n">
        <f aca="true">MAX(OFFSET(C184,1-MIN(p_StochN,ROW()-4),0,MIN(p_StochN,ROW()-4),1))</f>
        <v>24.92</v>
      </c>
      <c r="AR184" s="40" t="n">
        <f aca="true">MIN(OFFSET(D184,1-MIN(p_StochN,ROW()-4),0,MIN(p_StochN,ROW()-4),1))</f>
        <v>23.49</v>
      </c>
      <c r="AS184" s="45" t="n">
        <f aca="false">IF(AQ184=AR184,50,100*(E184-AR184)/(AQ184-AR184))</f>
        <v>81.118881118881</v>
      </c>
      <c r="AT184" s="45" t="n">
        <f aca="true">AVERAGE(OFFSET(AS184,1-MIN(p_StochSm,ROW()-4),0,MIN(p_StochSm,ROW()-4),1))</f>
        <v>62.7229912944199</v>
      </c>
      <c r="AU184" s="45" t="n">
        <f aca="true">AVERAGE(OFFSET(AT184,1-MIN(p_StochSm,ROW()-4),0,MIN(p_StochSm,ROW()-4),1))</f>
        <v>51.7083189894251</v>
      </c>
      <c r="AV184" s="41" t="n">
        <f aca="false">MAX(0,H184-D184)</f>
        <v>0.392185996776391</v>
      </c>
      <c r="AW184" s="41" t="n">
        <f aca="true">IF(COUNTIF(OFFSET(AV184,1-MIN(p_PenLb,ROW()-4),0,MIN(p_PenLb,ROW()-4),1),"&gt;0")&gt;0,SUM(OFFSET(AV184,1-MIN(p_PenLb,ROW()-4),0,MIN(p_PenLb,ROW()-4),1))/COUNTIF(OFFSET(AV184,1-MIN(p_PenLb,ROW()-4),0,MIN(p_PenLb,ROW()-4),1),"&gt;0"),0.5*Y184)</f>
        <v>0.309528518829357</v>
      </c>
      <c r="AX184" s="41" t="n">
        <f aca="false">2*H184-H183</f>
        <v>24.168488330647</v>
      </c>
      <c r="AY184" s="40" t="n">
        <f aca="false">ROUND(MAX(AX184-AW184,0.01),2)</f>
        <v>23.86</v>
      </c>
      <c r="AZ184" s="40" t="n">
        <f aca="true">IF(MIN(p_StopLb,ROW()-4)&lt;2,D184,SMALL(OFFSET(D184,1-MIN(p_StopLb,ROW()-4),0,MIN(p_StopLb,ROW()-4),1),2))</f>
        <v>23.54</v>
      </c>
      <c r="BA184" s="40" t="n">
        <f aca="false">IF(MOD(ROUND(ROUNDDOWN(MIN(AZ184-0.01,AY184-p_StopAtr*Y184),2)*100,0),50)=0,ROUNDDOWN(MIN(AZ184-0.01,AY184-p_StopAtr*Y184),2)-0.01,ROUNDDOWN(MIN(AZ184-0.01,AY184-p_StopAtr*Y184),2))</f>
        <v>23.3</v>
      </c>
      <c r="BB184" s="40" t="n">
        <f aca="false">ROUND(AI184,2)</f>
        <v>25.23</v>
      </c>
      <c r="BC184" s="40" t="n">
        <f aca="false">IF(AY184-BA184&gt;0,(BB184-AY184)/(AY184-BA184),0)</f>
        <v>2.44642857142858</v>
      </c>
      <c r="BD184" s="42" t="n">
        <f aca="false">IF(N184&lt;0,1,0)</f>
        <v>1</v>
      </c>
      <c r="BE184" s="41" t="n">
        <f aca="false">IF(AND(BD184=1,BD183=0),N184,IF(BD184=1,MIN(BE183,N184),BE183))</f>
        <v>-0.149433863515745</v>
      </c>
      <c r="BF184" s="40" t="n">
        <f aca="false">IF(AND(BD184=1,BD183=0),D184,IF(BD184=1,MIN(BF183,D184),BF183))</f>
        <v>23.49</v>
      </c>
      <c r="BG184" s="42" t="n">
        <f aca="false">IF(AND(BD184=1,BD183=0),ROW(),IF(BD184=1,IF(N184&lt;BE183,ROW(),BG183),BG183))</f>
        <v>179</v>
      </c>
      <c r="BH184" s="41" t="n">
        <f aca="false">IF(AND(BD184=1,BD183=0),BE183,BH183)</f>
        <v>-0.0583119972977335</v>
      </c>
      <c r="BI184" s="40" t="n">
        <f aca="false">IF(AND(BD184=1,BD183=0),BF183,BI183)</f>
        <v>19.27</v>
      </c>
      <c r="BJ184" s="42" t="n">
        <f aca="false">IF(AND(BD184=1,BD183=0),BG183,BJ183)</f>
        <v>124</v>
      </c>
      <c r="BK184" s="42" t="n">
        <f aca="false">IF(AND(ISNUMBER(BG184),ISNUMBER(BJ184)),BG184-BJ184,"")</f>
        <v>55</v>
      </c>
      <c r="BL184" s="42" t="n">
        <f aca="false">IF(AND(BD184=1,N184&gt;N183,ISNUMBER(BH184),ISNUMBER(BK184)),IF(AND(BE184&gt;BH184,BF184&lt;BI184,BK184&gt;=p_GapMin,BK184&lt;=p_GapMax),1,0),0)</f>
        <v>0</v>
      </c>
      <c r="BM184" s="42" t="n">
        <f aca="false">IF(AND(BL184=1,E184&gt;BI184),1,0)</f>
        <v>0</v>
      </c>
      <c r="BN184" s="42" t="n">
        <f aca="false">IF(BL184=1,IF(BE184&gt;=BH184*0.5,1,0),0)</f>
        <v>0</v>
      </c>
      <c r="BO184" s="42" t="n">
        <f aca="true">IF(V184&gt;MIN(OFFSET(V184,-MIN(p_FiLb-1,ROW()-5),0,MIN(p_FiLb-1,ROW()-5),1)),1,0)</f>
        <v>1</v>
      </c>
      <c r="BP184" s="44" t="n">
        <f aca="true">IF(COUNTIF(OFFSET(V184,1-MIN(100,ROW()-4),0,MIN(100,ROW()-4),1),"&lt;0")&gt;=5,AVERAGEIF(OFFSET(V184,1-MIN(100,ROW()-4),0,MIN(100,ROW()-4),1),"&lt;0"),"")</f>
        <v>-932028.944705145</v>
      </c>
      <c r="BQ184" s="42" t="n">
        <f aca="false">IF(ISNUMBER(BP184),IF(AND(V184&lt;5*BP184,V184&gt;V183,E184&lt;AJ184),1,0),0)</f>
        <v>0</v>
      </c>
      <c r="BR184" s="44" t="n">
        <f aca="true">AVERAGE(OFFSET(F184,1-MIN(5,ROW()-4),0,MIN(5,ROW()-4),1))</f>
        <v>3465700</v>
      </c>
      <c r="BS184" s="42" t="n">
        <f aca="false">IFERROR(IF(MATCH(G184,周线!$A$5:$A$84,0)&lt;=1,"",INDEX(周线!$R$5:$R$84,MATCH(G184,周线!$A$5:$A$84,0)-1)),"")</f>
        <v>1</v>
      </c>
      <c r="BT184" s="42" t="n">
        <f aca="false">IFERROR(IF(MATCH(G184,周线!$A$5:$A$84,0)&lt;=1,"",INDEX(周线!$S$5:$S$84,MATCH(G184,周线!$A$5:$A$84,0)-1)),"")</f>
        <v>0</v>
      </c>
      <c r="BU184" s="42" t="n">
        <f aca="false">IFERROR(IF(MATCH(G184,周线!$A$5:$A$84,0)&lt;=1,"",INDEX(周线!$U$5:$U$84,MATCH(G184,周线!$A$5:$A$84,0)-1)),"")</f>
        <v>0</v>
      </c>
      <c r="BV184" s="42" t="n">
        <f aca="false">IF(AND(BS184=1,S184&lt;&gt;-1,V184&lt;0,BO184=1,E184&lt;=H184,E184&gt;=AJ184),1,0)</f>
        <v>0</v>
      </c>
      <c r="BW184" s="42" t="n">
        <f aca="false">BL184</f>
        <v>0</v>
      </c>
      <c r="BX184" s="42" t="n">
        <f aca="false">BQ184</f>
        <v>0</v>
      </c>
      <c r="BY184" s="42" t="n">
        <f aca="false">IF(BS184=1,10,0)+IF(BU184=1,5,IF(BU184=-1,0,3))+IF(BT184=1,5,0)+IF(AND(AE184&gt;AF184,AH184&gt;AH183),5,0)</f>
        <v>18</v>
      </c>
      <c r="BZ184" s="42" t="n">
        <f aca="false">IF(AND(E184&lt;=H184,E184&gt;=I184),10,IF(AND(E184&gt;=AJ184,E184&lt;I184),6,0))+IF(AND(V184&lt;0,BO184=1),8,0)+IF(AT184&lt;30,7,IF(AT184&lt;50,3,0))</f>
        <v>0</v>
      </c>
      <c r="CA184" s="42" t="n">
        <f aca="false">IF(AND(BV184=1,BW184=1),25,IF(BW184=1,22,IF(BV184=1,15,IF(BX184=1,12,0))))</f>
        <v>0</v>
      </c>
      <c r="CB184" s="42" t="n">
        <f aca="false">IF(W184&gt;0,6,0)+IF(F184&lt;BR184,4,0)</f>
        <v>6</v>
      </c>
      <c r="CC184" s="42" t="n">
        <f aca="false">IF(BC184&gt;=3,15,IF(BC184&gt;=p_RRmin,10,IF(BC184&gt;=1.5,4,0)))</f>
        <v>10</v>
      </c>
      <c r="CD184" s="42" t="n">
        <f aca="false">BY184+BZ184+CA184+CB184+CC184</f>
        <v>34</v>
      </c>
      <c r="CE184" s="42" t="n">
        <f aca="false">IF(AND(BS184&lt;&gt;1,BW184+BX184=0),1,0)</f>
        <v>0</v>
      </c>
      <c r="CF184" s="42" t="n">
        <f aca="false">IF(BU184=-1,1,0)</f>
        <v>0</v>
      </c>
      <c r="CG184" s="42" t="n">
        <f aca="false">IF(S184=-1,1,0)</f>
        <v>0</v>
      </c>
      <c r="CH184" s="42" t="n">
        <f aca="false">IF(BV184+BW184+BX184=0,1,0)</f>
        <v>1</v>
      </c>
      <c r="CI184" s="42" t="n">
        <f aca="false">IF(BC184&lt;p_RRmin,1,0)</f>
        <v>0</v>
      </c>
      <c r="CJ184" s="46" t="str">
        <f aca="false">IF(SUM(CE184:CI184)=0,IF(CD184&gt;=p_GradeA,"A",IF(CD184&gt;=p_GradeB,"B","C")),IF(AND(CI184=1,SUM(CE184:CH184)=0,CD184&gt;=p_GradeB),"B","C"))</f>
        <v>C</v>
      </c>
    </row>
    <row r="185" customFormat="false" ht="15" hidden="false" customHeight="false" outlineLevel="0" collapsed="false">
      <c r="A185" s="36" t="n">
        <v>45911</v>
      </c>
      <c r="B185" s="37" t="n">
        <v>24.7</v>
      </c>
      <c r="C185" s="37" t="n">
        <v>24.97</v>
      </c>
      <c r="D185" s="37" t="n">
        <v>24.48</v>
      </c>
      <c r="E185" s="37" t="n">
        <v>24.84</v>
      </c>
      <c r="F185" s="38" t="n">
        <v>3263400</v>
      </c>
      <c r="G185" s="39" t="n">
        <f aca="false">A185-WEEKDAY(A185,3)</f>
        <v>45908</v>
      </c>
      <c r="H185" s="40" t="n">
        <f aca="false">2/(p_EmaF+1)*E185+(1-2/(p_EmaF+1))*H184</f>
        <v>24.1818737115226</v>
      </c>
      <c r="I185" s="40" t="n">
        <f aca="false">2/(p_EmaS+1)*E185+(1-2/(p_EmaS+1))*I184</f>
        <v>23.8788354140434</v>
      </c>
      <c r="J185" s="41" t="n">
        <f aca="false">2/(p_MacdF+1)*E185+(1-2/(p_MacdF+1))*J184</f>
        <v>24.1996659494785</v>
      </c>
      <c r="K185" s="41" t="n">
        <f aca="false">2/(p_MacdS+1)*E185+(1-2/(p_MacdS+1))*K184</f>
        <v>23.8788354140434</v>
      </c>
      <c r="L185" s="41" t="n">
        <f aca="false">J185-K185</f>
        <v>0.320830535435118</v>
      </c>
      <c r="M185" s="41" t="n">
        <f aca="false">2/(p_MacdSig+1)*L185+(1-2/(p_MacdSig+1))*M184</f>
        <v>0.348016394266601</v>
      </c>
      <c r="N185" s="41" t="n">
        <f aca="false">L185-M185</f>
        <v>-0.0271858588314831</v>
      </c>
      <c r="O185" s="42" t="n">
        <f aca="false">IF(H185&gt;H184,1,0)</f>
        <v>1</v>
      </c>
      <c r="P185" s="42" t="n">
        <f aca="false">IF(H185&lt;H184,1,0)</f>
        <v>0</v>
      </c>
      <c r="Q185" s="42" t="n">
        <f aca="false">IF(N185&gt;N184,1,0)</f>
        <v>1</v>
      </c>
      <c r="R185" s="42" t="n">
        <f aca="false">IF(N185&lt;N184,1,0)</f>
        <v>0</v>
      </c>
      <c r="S185" s="42" t="n">
        <f aca="false">IF(AND(O185=1,Q185=1),1,IF(AND(P185=1,R185=1),-1,0))</f>
        <v>1</v>
      </c>
      <c r="T185" s="43" t="str">
        <f aca="false">IF(S185=1,"绿",IF(S185=-1,"红","蓝"))</f>
        <v>绿</v>
      </c>
      <c r="U185" s="44" t="n">
        <f aca="false">F185*(E185-E184)</f>
        <v>620046.000000004</v>
      </c>
      <c r="V185" s="44" t="n">
        <f aca="false">2/(p_FiS+1)*U185+(1-2/(p_FiS+1))*V184</f>
        <v>1162179.81637219</v>
      </c>
      <c r="W185" s="44" t="n">
        <f aca="false">2/(p_FiL+1)*U185+(1-2/(p_FiL+1))*W184</f>
        <v>500830.175587385</v>
      </c>
      <c r="X185" s="41" t="n">
        <f aca="false">MAX(C185-D185,ABS(C185-E184),ABS(D185-E184))</f>
        <v>0.489999999999998</v>
      </c>
      <c r="Y185" s="41" t="n">
        <f aca="true">AVERAGE(OFFSET(X185,1-MIN(p_AtrN,ROW()-4),0,MIN(p_AtrN,ROW()-4),1))</f>
        <v>0.553076923076923</v>
      </c>
      <c r="Z185" s="41" t="n">
        <f aca="false">IF(AND(C185-C184&gt;D184-D185,C185-C184&gt;0),C185-C184,0)</f>
        <v>0.0499999999999972</v>
      </c>
      <c r="AA185" s="41" t="n">
        <f aca="false">IF(AND(D184-D185&gt;C185-C184,D184-D185&gt;0),D184-D185,0)</f>
        <v>0</v>
      </c>
      <c r="AB185" s="41" t="n">
        <f aca="false">2/(p_AdxN+1)*X185+(1-2/(p_AdxN+1))*AB184</f>
        <v>0.610035131382126</v>
      </c>
      <c r="AC185" s="41" t="n">
        <f aca="false">2/(p_AdxN+1)*Z185+(1-2/(p_AdxN+1))*AC184</f>
        <v>0.150158384690213</v>
      </c>
      <c r="AD185" s="41" t="n">
        <f aca="false">2/(p_AdxN+1)*AA185+(1-2/(p_AdxN+1))*AD184</f>
        <v>0.0589821688469634</v>
      </c>
      <c r="AE185" s="45" t="n">
        <f aca="false">100*AC185/AB185</f>
        <v>24.6147110167256</v>
      </c>
      <c r="AF185" s="45" t="n">
        <f aca="false">100*AD185/AB185</f>
        <v>9.66865116658616</v>
      </c>
      <c r="AG185" s="45" t="n">
        <f aca="false">IFERROR(100*ABS(AE185-AF185)/(AE185+AF185),0)</f>
        <v>43.5956653557591</v>
      </c>
      <c r="AH185" s="45" t="n">
        <f aca="false">2/(p_AdxN+1)*AG185+(1-2/(p_AdxN+1))*AH184</f>
        <v>24.9157426172211</v>
      </c>
      <c r="AI185" s="40" t="n">
        <f aca="false">I185*(1+p_ChPct)</f>
        <v>25.311565538886</v>
      </c>
      <c r="AJ185" s="40" t="n">
        <f aca="false">I185*(1-p_ChPct)</f>
        <v>22.4461052892008</v>
      </c>
      <c r="AK185" s="40" t="n">
        <f aca="false">I185+1*Y185</f>
        <v>24.4319123371203</v>
      </c>
      <c r="AL185" s="40" t="n">
        <f aca="false">I185+2*Y185</f>
        <v>24.9849892601972</v>
      </c>
      <c r="AM185" s="40" t="n">
        <f aca="false">I185+3*Y185</f>
        <v>25.5380661832742</v>
      </c>
      <c r="AN185" s="40" t="n">
        <f aca="false">I185-1*Y185</f>
        <v>23.3257584909665</v>
      </c>
      <c r="AO185" s="40" t="n">
        <f aca="false">I185-2*Y185</f>
        <v>22.7726815678895</v>
      </c>
      <c r="AP185" s="40" t="n">
        <f aca="false">I185-3*Y185</f>
        <v>22.2196046448126</v>
      </c>
      <c r="AQ185" s="40" t="n">
        <f aca="true">MAX(OFFSET(C185,1-MIN(p_StochN,ROW()-4),0,MIN(p_StochN,ROW()-4),1))</f>
        <v>24.97</v>
      </c>
      <c r="AR185" s="40" t="n">
        <f aca="true">MIN(OFFSET(D185,1-MIN(p_StochN,ROW()-4),0,MIN(p_StochN,ROW()-4),1))</f>
        <v>23.49</v>
      </c>
      <c r="AS185" s="45" t="n">
        <f aca="false">IF(AQ185=AR185,50,100*(E185-AR185)/(AQ185-AR185))</f>
        <v>91.2162162162163</v>
      </c>
      <c r="AT185" s="45" t="n">
        <f aca="true">AVERAGE(OFFSET(AS185,1-MIN(p_StochSm,ROW()-4),0,MIN(p_StochSm,ROW()-4),1))</f>
        <v>74.7610497610498</v>
      </c>
      <c r="AU185" s="45" t="n">
        <f aca="true">AVERAGE(OFFSET(AT185,1-MIN(p_StochSm,ROW()-4),0,MIN(p_StochSm,ROW()-4),1))</f>
        <v>61.1872235144125</v>
      </c>
      <c r="AV185" s="41" t="n">
        <f aca="false">MAX(0,H185-D185)</f>
        <v>0</v>
      </c>
      <c r="AW185" s="41" t="n">
        <f aca="true">IF(COUNTIF(OFFSET(AV185,1-MIN(p_PenLb,ROW()-4),0,MIN(p_PenLb,ROW()-4),1),"&gt;0")&gt;0,SUM(OFFSET(AV185,1-MIN(p_PenLb,ROW()-4),0,MIN(p_PenLb,ROW()-4),1))/COUNTIF(OFFSET(AV185,1-MIN(p_PenLb,ROW()-4),0,MIN(p_PenLb,ROW()-4),1),"&gt;0"),0.5*Y185)</f>
        <v>0.309528518829357</v>
      </c>
      <c r="AX185" s="41" t="n">
        <f aca="false">2*H185-H184</f>
        <v>24.2915614262689</v>
      </c>
      <c r="AY185" s="40" t="n">
        <f aca="false">ROUND(MAX(AX185-AW185,0.01),2)</f>
        <v>23.98</v>
      </c>
      <c r="AZ185" s="40" t="n">
        <f aca="true">IF(MIN(p_StopLb,ROW()-4)&lt;2,D185,SMALL(OFFSET(D185,1-MIN(p_StopLb,ROW()-4),0,MIN(p_StopLb,ROW()-4),1),2))</f>
        <v>23.54</v>
      </c>
      <c r="BA185" s="40" t="n">
        <f aca="false">IF(MOD(ROUND(ROUNDDOWN(MIN(AZ185-0.01,AY185-p_StopAtr*Y185),2)*100,0),50)=0,ROUNDDOWN(MIN(AZ185-0.01,AY185-p_StopAtr*Y185),2)-0.01,ROUNDDOWN(MIN(AZ185-0.01,AY185-p_StopAtr*Y185),2))</f>
        <v>23.42</v>
      </c>
      <c r="BB185" s="40" t="n">
        <f aca="false">ROUND(AI185,2)</f>
        <v>25.31</v>
      </c>
      <c r="BC185" s="40" t="n">
        <f aca="false">IF(AY185-BA185&gt;0,(BB185-AY185)/(AY185-BA185),0)</f>
        <v>2.375</v>
      </c>
      <c r="BD185" s="42" t="n">
        <f aca="false">IF(N185&lt;0,1,0)</f>
        <v>1</v>
      </c>
      <c r="BE185" s="41" t="n">
        <f aca="false">IF(AND(BD185=1,BD184=0),N185,IF(BD185=1,MIN(BE184,N185),BE184))</f>
        <v>-0.149433863515745</v>
      </c>
      <c r="BF185" s="40" t="n">
        <f aca="false">IF(AND(BD185=1,BD184=0),D185,IF(BD185=1,MIN(BF184,D185),BF184))</f>
        <v>23.49</v>
      </c>
      <c r="BG185" s="42" t="n">
        <f aca="false">IF(AND(BD185=1,BD184=0),ROW(),IF(BD185=1,IF(N185&lt;BE184,ROW(),BG184),BG184))</f>
        <v>179</v>
      </c>
      <c r="BH185" s="41" t="n">
        <f aca="false">IF(AND(BD185=1,BD184=0),BE184,BH184)</f>
        <v>-0.0583119972977335</v>
      </c>
      <c r="BI185" s="40" t="n">
        <f aca="false">IF(AND(BD185=1,BD184=0),BF184,BI184)</f>
        <v>19.27</v>
      </c>
      <c r="BJ185" s="42" t="n">
        <f aca="false">IF(AND(BD185=1,BD184=0),BG184,BJ184)</f>
        <v>124</v>
      </c>
      <c r="BK185" s="42" t="n">
        <f aca="false">IF(AND(ISNUMBER(BG185),ISNUMBER(BJ185)),BG185-BJ185,"")</f>
        <v>55</v>
      </c>
      <c r="BL185" s="42" t="n">
        <f aca="false">IF(AND(BD185=1,N185&gt;N184,ISNUMBER(BH185),ISNUMBER(BK185)),IF(AND(BE185&gt;BH185,BF185&lt;BI185,BK185&gt;=p_GapMin,BK185&lt;=p_GapMax),1,0),0)</f>
        <v>0</v>
      </c>
      <c r="BM185" s="42" t="n">
        <f aca="false">IF(AND(BL185=1,E185&gt;BI185),1,0)</f>
        <v>0</v>
      </c>
      <c r="BN185" s="42" t="n">
        <f aca="false">IF(BL185=1,IF(BE185&gt;=BH185*0.5,1,0),0)</f>
        <v>0</v>
      </c>
      <c r="BO185" s="42" t="n">
        <f aca="true">IF(V185&gt;MIN(OFFSET(V185,-MIN(p_FiLb-1,ROW()-5),0,MIN(p_FiLb-1,ROW()-5),1)),1,0)</f>
        <v>1</v>
      </c>
      <c r="BP185" s="44" t="n">
        <f aca="true">IF(COUNTIF(OFFSET(V185,1-MIN(100,ROW()-4),0,MIN(100,ROW()-4),1),"&lt;0")&gt;=5,AVERAGEIF(OFFSET(V185,1-MIN(100,ROW()-4),0,MIN(100,ROW()-4),1),"&lt;0"),"")</f>
        <v>-945691.783519785</v>
      </c>
      <c r="BQ185" s="42" t="n">
        <f aca="false">IF(ISNUMBER(BP185),IF(AND(V185&lt;5*BP185,V185&gt;V184,E185&lt;AJ185),1,0),0)</f>
        <v>0</v>
      </c>
      <c r="BR185" s="44" t="n">
        <f aca="true">AVERAGE(OFFSET(F185,1-MIN(5,ROW()-4),0,MIN(5,ROW()-4),1))</f>
        <v>3522760</v>
      </c>
      <c r="BS185" s="42" t="n">
        <f aca="false">IFERROR(IF(MATCH(G185,周线!$A$5:$A$84,0)&lt;=1,"",INDEX(周线!$R$5:$R$84,MATCH(G185,周线!$A$5:$A$84,0)-1)),"")</f>
        <v>1</v>
      </c>
      <c r="BT185" s="42" t="n">
        <f aca="false">IFERROR(IF(MATCH(G185,周线!$A$5:$A$84,0)&lt;=1,"",INDEX(周线!$S$5:$S$84,MATCH(G185,周线!$A$5:$A$84,0)-1)),"")</f>
        <v>0</v>
      </c>
      <c r="BU185" s="42" t="n">
        <f aca="false">IFERROR(IF(MATCH(G185,周线!$A$5:$A$84,0)&lt;=1,"",INDEX(周线!$U$5:$U$84,MATCH(G185,周线!$A$5:$A$84,0)-1)),"")</f>
        <v>0</v>
      </c>
      <c r="BV185" s="42" t="n">
        <f aca="false">IF(AND(BS185=1,S185&lt;&gt;-1,V185&lt;0,BO185=1,E185&lt;=H185,E185&gt;=AJ185),1,0)</f>
        <v>0</v>
      </c>
      <c r="BW185" s="42" t="n">
        <f aca="false">BL185</f>
        <v>0</v>
      </c>
      <c r="BX185" s="42" t="n">
        <f aca="false">BQ185</f>
        <v>0</v>
      </c>
      <c r="BY185" s="42" t="n">
        <f aca="false">IF(BS185=1,10,0)+IF(BU185=1,5,IF(BU185=-1,0,3))+IF(BT185=1,5,0)+IF(AND(AE185&gt;AF185,AH185&gt;AH184),5,0)</f>
        <v>18</v>
      </c>
      <c r="BZ185" s="42" t="n">
        <f aca="false">IF(AND(E185&lt;=H185,E185&gt;=I185),10,IF(AND(E185&gt;=AJ185,E185&lt;I185),6,0))+IF(AND(V185&lt;0,BO185=1),8,0)+IF(AT185&lt;30,7,IF(AT185&lt;50,3,0))</f>
        <v>0</v>
      </c>
      <c r="CA185" s="42" t="n">
        <f aca="false">IF(AND(BV185=1,BW185=1),25,IF(BW185=1,22,IF(BV185=1,15,IF(BX185=1,12,0))))</f>
        <v>0</v>
      </c>
      <c r="CB185" s="42" t="n">
        <f aca="false">IF(W185&gt;0,6,0)+IF(F185&lt;BR185,4,0)</f>
        <v>10</v>
      </c>
      <c r="CC185" s="42" t="n">
        <f aca="false">IF(BC185&gt;=3,15,IF(BC185&gt;=p_RRmin,10,IF(BC185&gt;=1.5,4,0)))</f>
        <v>10</v>
      </c>
      <c r="CD185" s="42" t="n">
        <f aca="false">BY185+BZ185+CA185+CB185+CC185</f>
        <v>38</v>
      </c>
      <c r="CE185" s="42" t="n">
        <f aca="false">IF(AND(BS185&lt;&gt;1,BW185+BX185=0),1,0)</f>
        <v>0</v>
      </c>
      <c r="CF185" s="42" t="n">
        <f aca="false">IF(BU185=-1,1,0)</f>
        <v>0</v>
      </c>
      <c r="CG185" s="42" t="n">
        <f aca="false">IF(S185=-1,1,0)</f>
        <v>0</v>
      </c>
      <c r="CH185" s="42" t="n">
        <f aca="false">IF(BV185+BW185+BX185=0,1,0)</f>
        <v>1</v>
      </c>
      <c r="CI185" s="42" t="n">
        <f aca="false">IF(BC185&lt;p_RRmin,1,0)</f>
        <v>0</v>
      </c>
      <c r="CJ185" s="46" t="str">
        <f aca="false">IF(SUM(CE185:CI185)=0,IF(CD185&gt;=p_GradeA,"A",IF(CD185&gt;=p_GradeB,"B","C")),IF(AND(CI185=1,SUM(CE185:CH185)=0,CD185&gt;=p_GradeB),"B","C"))</f>
        <v>C</v>
      </c>
    </row>
    <row r="186" customFormat="false" ht="15" hidden="false" customHeight="false" outlineLevel="0" collapsed="false">
      <c r="A186" s="36" t="n">
        <v>45912</v>
      </c>
      <c r="B186" s="37" t="n">
        <v>24.79</v>
      </c>
      <c r="C186" s="37" t="n">
        <v>25.07</v>
      </c>
      <c r="D186" s="37" t="n">
        <v>24.18</v>
      </c>
      <c r="E186" s="37" t="n">
        <v>24.58</v>
      </c>
      <c r="F186" s="38" t="n">
        <v>3117400</v>
      </c>
      <c r="G186" s="39" t="n">
        <f aca="false">A186-WEEKDAY(A186,3)</f>
        <v>45908</v>
      </c>
      <c r="H186" s="40" t="n">
        <f aca="false">2/(p_EmaF+1)*E186+(1-2/(p_EmaF+1))*H185</f>
        <v>24.2387488955908</v>
      </c>
      <c r="I186" s="40" t="n">
        <f aca="false">2/(p_EmaS+1)*E186+(1-2/(p_EmaS+1))*I185</f>
        <v>23.9307735315217</v>
      </c>
      <c r="J186" s="41" t="n">
        <f aca="false">2/(p_MacdF+1)*E186+(1-2/(p_MacdF+1))*J185</f>
        <v>24.258178880328</v>
      </c>
      <c r="K186" s="41" t="n">
        <f aca="false">2/(p_MacdS+1)*E186+(1-2/(p_MacdS+1))*K185</f>
        <v>23.9307735315217</v>
      </c>
      <c r="L186" s="41" t="n">
        <f aca="false">J186-K186</f>
        <v>0.327405348806309</v>
      </c>
      <c r="M186" s="41" t="n">
        <f aca="false">2/(p_MacdSig+1)*L186+(1-2/(p_MacdSig+1))*M185</f>
        <v>0.343894185174542</v>
      </c>
      <c r="N186" s="41" t="n">
        <f aca="false">L186-M186</f>
        <v>-0.0164888363682333</v>
      </c>
      <c r="O186" s="42" t="n">
        <f aca="false">IF(H186&gt;H185,1,0)</f>
        <v>1</v>
      </c>
      <c r="P186" s="42" t="n">
        <f aca="false">IF(H186&lt;H185,1,0)</f>
        <v>0</v>
      </c>
      <c r="Q186" s="42" t="n">
        <f aca="false">IF(N186&gt;N185,1,0)</f>
        <v>1</v>
      </c>
      <c r="R186" s="42" t="n">
        <f aca="false">IF(N186&lt;N185,1,0)</f>
        <v>0</v>
      </c>
      <c r="S186" s="42" t="n">
        <f aca="false">IF(AND(O186=1,Q186=1),1,IF(AND(P186=1,R186=1),-1,0))</f>
        <v>1</v>
      </c>
      <c r="T186" s="43" t="str">
        <f aca="false">IF(S186=1,"绿",IF(S186=-1,"红","蓝"))</f>
        <v>绿</v>
      </c>
      <c r="U186" s="44" t="n">
        <f aca="false">F186*(E186-E185)</f>
        <v>-810524.000000005</v>
      </c>
      <c r="V186" s="44" t="n">
        <f aca="false">2/(p_FiS+1)*U186+(1-2/(p_FiS+1))*V185</f>
        <v>-152956.061209274</v>
      </c>
      <c r="W186" s="44" t="n">
        <f aca="false">2/(p_FiL+1)*U186+(1-2/(p_FiL+1))*W185</f>
        <v>313493.864789187</v>
      </c>
      <c r="X186" s="41" t="n">
        <f aca="false">MAX(C186-D186,ABS(C186-E185),ABS(D186-E185))</f>
        <v>0.890000000000001</v>
      </c>
      <c r="Y186" s="41" t="n">
        <f aca="true">AVERAGE(OFFSET(X186,1-MIN(p_AtrN,ROW()-4),0,MIN(p_AtrN,ROW()-4),1))</f>
        <v>0.598461538461539</v>
      </c>
      <c r="Z186" s="41" t="n">
        <f aca="false">IF(AND(C186-C185&gt;D185-D186,C186-C185&gt;0),C186-C185,0)</f>
        <v>0</v>
      </c>
      <c r="AA186" s="41" t="n">
        <f aca="false">IF(AND(D185-D186&gt;C186-C185,D185-D186&gt;0),D185-D186,0)</f>
        <v>0.300000000000001</v>
      </c>
      <c r="AB186" s="41" t="n">
        <f aca="false">2/(p_AdxN+1)*X186+(1-2/(p_AdxN+1))*AB185</f>
        <v>0.650030112613251</v>
      </c>
      <c r="AC186" s="41" t="n">
        <f aca="false">2/(p_AdxN+1)*Z186+(1-2/(p_AdxN+1))*AC185</f>
        <v>0.128707186877325</v>
      </c>
      <c r="AD186" s="41" t="n">
        <f aca="false">2/(p_AdxN+1)*AA186+(1-2/(p_AdxN+1))*AD185</f>
        <v>0.0934132875831116</v>
      </c>
      <c r="AE186" s="45" t="n">
        <f aca="false">100*AC186/AB186</f>
        <v>19.8001883881805</v>
      </c>
      <c r="AF186" s="45" t="n">
        <f aca="false">100*AD186/AB186</f>
        <v>14.3706092641726</v>
      </c>
      <c r="AG186" s="45" t="n">
        <f aca="false">IFERROR(100*ABS(AE186-AF186)/(AE186+AF186),0)</f>
        <v>15.8895299408791</v>
      </c>
      <c r="AH186" s="45" t="n">
        <f aca="false">2/(p_AdxN+1)*AG186+(1-2/(p_AdxN+1))*AH185</f>
        <v>23.6262836634579</v>
      </c>
      <c r="AI186" s="40" t="n">
        <f aca="false">I186*(1+p_ChPct)</f>
        <v>25.366619943413</v>
      </c>
      <c r="AJ186" s="40" t="n">
        <f aca="false">I186*(1-p_ChPct)</f>
        <v>22.4949271196304</v>
      </c>
      <c r="AK186" s="40" t="n">
        <f aca="false">I186+1*Y186</f>
        <v>24.5292350699832</v>
      </c>
      <c r="AL186" s="40" t="n">
        <f aca="false">I186+2*Y186</f>
        <v>25.1276966084447</v>
      </c>
      <c r="AM186" s="40" t="n">
        <f aca="false">I186+3*Y186</f>
        <v>25.7261581469063</v>
      </c>
      <c r="AN186" s="40" t="n">
        <f aca="false">I186-1*Y186</f>
        <v>23.3323119930601</v>
      </c>
      <c r="AO186" s="40" t="n">
        <f aca="false">I186-2*Y186</f>
        <v>22.7338504545986</v>
      </c>
      <c r="AP186" s="40" t="n">
        <f aca="false">I186-3*Y186</f>
        <v>22.135388916137</v>
      </c>
      <c r="AQ186" s="40" t="n">
        <f aca="true">MAX(OFFSET(C186,1-MIN(p_StochN,ROW()-4),0,MIN(p_StochN,ROW()-4),1))</f>
        <v>25.07</v>
      </c>
      <c r="AR186" s="40" t="n">
        <f aca="true">MIN(OFFSET(D186,1-MIN(p_StochN,ROW()-4),0,MIN(p_StochN,ROW()-4),1))</f>
        <v>23.49</v>
      </c>
      <c r="AS186" s="45" t="n">
        <f aca="false">IF(AQ186=AR186,50,100*(E186-AR186)/(AQ186-AR186))</f>
        <v>68.9873417721518</v>
      </c>
      <c r="AT186" s="45" t="n">
        <f aca="true">AVERAGE(OFFSET(AS186,1-MIN(p_StochSm,ROW()-4),0,MIN(p_StochSm,ROW()-4),1))</f>
        <v>80.4408130357497</v>
      </c>
      <c r="AU186" s="45" t="n">
        <f aca="true">AVERAGE(OFFSET(AT186,1-MIN(p_StochSm,ROW()-4),0,MIN(p_StochSm,ROW()-4),1))</f>
        <v>72.6416180304065</v>
      </c>
      <c r="AV186" s="41" t="n">
        <f aca="false">MAX(0,H186-D186)</f>
        <v>0.0587488955908171</v>
      </c>
      <c r="AW186" s="41" t="n">
        <f aca="true">IF(COUNTIF(OFFSET(AV186,1-MIN(p_PenLb,ROW()-4),0,MIN(p_PenLb,ROW()-4),1),"&gt;0")&gt;0,SUM(OFFSET(AV186,1-MIN(p_PenLb,ROW()-4),0,MIN(p_PenLb,ROW()-4),1))/COUNTIF(OFFSET(AV186,1-MIN(p_PenLb,ROW()-4),0,MIN(p_PenLb,ROW()-4),1),"&gt;0"),0.5*Y186)</f>
        <v>0.291615688598032</v>
      </c>
      <c r="AX186" s="41" t="n">
        <f aca="false">2*H186-H185</f>
        <v>24.295624079659</v>
      </c>
      <c r="AY186" s="40" t="n">
        <f aca="false">ROUND(MAX(AX186-AW186,0.01),2)</f>
        <v>24</v>
      </c>
      <c r="AZ186" s="40" t="n">
        <f aca="true">IF(MIN(p_StopLb,ROW()-4)&lt;2,D186,SMALL(OFFSET(D186,1-MIN(p_StopLb,ROW()-4),0,MIN(p_StopLb,ROW()-4),1),2))</f>
        <v>23.54</v>
      </c>
      <c r="BA186" s="40" t="n">
        <f aca="false">IF(MOD(ROUND(ROUNDDOWN(MIN(AZ186-0.01,AY186-p_StopAtr*Y186),2)*100,0),50)=0,ROUNDDOWN(MIN(AZ186-0.01,AY186-p_StopAtr*Y186),2)-0.01,ROUNDDOWN(MIN(AZ186-0.01,AY186-p_StopAtr*Y186),2))</f>
        <v>23.4</v>
      </c>
      <c r="BB186" s="40" t="n">
        <f aca="false">ROUND(AI186,2)</f>
        <v>25.37</v>
      </c>
      <c r="BC186" s="40" t="n">
        <f aca="false">IF(AY186-BA186&gt;0,(BB186-AY186)/(AY186-BA186),0)</f>
        <v>2.28333333333333</v>
      </c>
      <c r="BD186" s="42" t="n">
        <f aca="false">IF(N186&lt;0,1,0)</f>
        <v>1</v>
      </c>
      <c r="BE186" s="41" t="n">
        <f aca="false">IF(AND(BD186=1,BD185=0),N186,IF(BD186=1,MIN(BE185,N186),BE185))</f>
        <v>-0.149433863515745</v>
      </c>
      <c r="BF186" s="40" t="n">
        <f aca="false">IF(AND(BD186=1,BD185=0),D186,IF(BD186=1,MIN(BF185,D186),BF185))</f>
        <v>23.49</v>
      </c>
      <c r="BG186" s="42" t="n">
        <f aca="false">IF(AND(BD186=1,BD185=0),ROW(),IF(BD186=1,IF(N186&lt;BE185,ROW(),BG185),BG185))</f>
        <v>179</v>
      </c>
      <c r="BH186" s="41" t="n">
        <f aca="false">IF(AND(BD186=1,BD185=0),BE185,BH185)</f>
        <v>-0.0583119972977335</v>
      </c>
      <c r="BI186" s="40" t="n">
        <f aca="false">IF(AND(BD186=1,BD185=0),BF185,BI185)</f>
        <v>19.27</v>
      </c>
      <c r="BJ186" s="42" t="n">
        <f aca="false">IF(AND(BD186=1,BD185=0),BG185,BJ185)</f>
        <v>124</v>
      </c>
      <c r="BK186" s="42" t="n">
        <f aca="false">IF(AND(ISNUMBER(BG186),ISNUMBER(BJ186)),BG186-BJ186,"")</f>
        <v>55</v>
      </c>
      <c r="BL186" s="42" t="n">
        <f aca="false">IF(AND(BD186=1,N186&gt;N185,ISNUMBER(BH186),ISNUMBER(BK186)),IF(AND(BE186&gt;BH186,BF186&lt;BI186,BK186&gt;=p_GapMin,BK186&lt;=p_GapMax),1,0),0)</f>
        <v>0</v>
      </c>
      <c r="BM186" s="42" t="n">
        <f aca="false">IF(AND(BL186=1,E186&gt;BI186),1,0)</f>
        <v>0</v>
      </c>
      <c r="BN186" s="42" t="n">
        <f aca="false">IF(BL186=1,IF(BE186&gt;=BH186*0.5,1,0),0)</f>
        <v>0</v>
      </c>
      <c r="BO186" s="42" t="n">
        <f aca="true">IF(V186&gt;MIN(OFFSET(V186,-MIN(p_FiLb-1,ROW()-5),0,MIN(p_FiLb-1,ROW()-5),1)),1,0)</f>
        <v>1</v>
      </c>
      <c r="BP186" s="44" t="n">
        <f aca="true">IF(COUNTIF(OFFSET(V186,1-MIN(100,ROW()-4),0,MIN(100,ROW()-4),1),"&lt;0")&gt;=5,AVERAGEIF(OFFSET(V186,1-MIN(100,ROW()-4),0,MIN(100,ROW()-4),1),"&lt;0"),"")</f>
        <v>-947618.594098016</v>
      </c>
      <c r="BQ186" s="42" t="n">
        <f aca="false">IF(ISNUMBER(BP186),IF(AND(V186&lt;5*BP186,V186&gt;V185,E186&lt;AJ186),1,0),0)</f>
        <v>0</v>
      </c>
      <c r="BR186" s="44" t="n">
        <f aca="true">AVERAGE(OFFSET(F186,1-MIN(5,ROW()-4),0,MIN(5,ROW()-4),1))</f>
        <v>3609260</v>
      </c>
      <c r="BS186" s="42" t="n">
        <f aca="false">IFERROR(IF(MATCH(G186,周线!$A$5:$A$84,0)&lt;=1,"",INDEX(周线!$R$5:$R$84,MATCH(G186,周线!$A$5:$A$84,0)-1)),"")</f>
        <v>1</v>
      </c>
      <c r="BT186" s="42" t="n">
        <f aca="false">IFERROR(IF(MATCH(G186,周线!$A$5:$A$84,0)&lt;=1,"",INDEX(周线!$S$5:$S$84,MATCH(G186,周线!$A$5:$A$84,0)-1)),"")</f>
        <v>0</v>
      </c>
      <c r="BU186" s="42" t="n">
        <f aca="false">IFERROR(IF(MATCH(G186,周线!$A$5:$A$84,0)&lt;=1,"",INDEX(周线!$U$5:$U$84,MATCH(G186,周线!$A$5:$A$84,0)-1)),"")</f>
        <v>0</v>
      </c>
      <c r="BV186" s="42" t="n">
        <f aca="false">IF(AND(BS186=1,S186&lt;&gt;-1,V186&lt;0,BO186=1,E186&lt;=H186,E186&gt;=AJ186),1,0)</f>
        <v>0</v>
      </c>
      <c r="BW186" s="42" t="n">
        <f aca="false">BL186</f>
        <v>0</v>
      </c>
      <c r="BX186" s="42" t="n">
        <f aca="false">BQ186</f>
        <v>0</v>
      </c>
      <c r="BY186" s="42" t="n">
        <f aca="false">IF(BS186=1,10,0)+IF(BU186=1,5,IF(BU186=-1,0,3))+IF(BT186=1,5,0)+IF(AND(AE186&gt;AF186,AH186&gt;AH185),5,0)</f>
        <v>13</v>
      </c>
      <c r="BZ186" s="42" t="n">
        <f aca="false">IF(AND(E186&lt;=H186,E186&gt;=I186),10,IF(AND(E186&gt;=AJ186,E186&lt;I186),6,0))+IF(AND(V186&lt;0,BO186=1),8,0)+IF(AT186&lt;30,7,IF(AT186&lt;50,3,0))</f>
        <v>8</v>
      </c>
      <c r="CA186" s="42" t="n">
        <f aca="false">IF(AND(BV186=1,BW186=1),25,IF(BW186=1,22,IF(BV186=1,15,IF(BX186=1,12,0))))</f>
        <v>0</v>
      </c>
      <c r="CB186" s="42" t="n">
        <f aca="false">IF(W186&gt;0,6,0)+IF(F186&lt;BR186,4,0)</f>
        <v>10</v>
      </c>
      <c r="CC186" s="42" t="n">
        <f aca="false">IF(BC186&gt;=3,15,IF(BC186&gt;=p_RRmin,10,IF(BC186&gt;=1.5,4,0)))</f>
        <v>10</v>
      </c>
      <c r="CD186" s="42" t="n">
        <f aca="false">BY186+BZ186+CA186+CB186+CC186</f>
        <v>41</v>
      </c>
      <c r="CE186" s="42" t="n">
        <f aca="false">IF(AND(BS186&lt;&gt;1,BW186+BX186=0),1,0)</f>
        <v>0</v>
      </c>
      <c r="CF186" s="42" t="n">
        <f aca="false">IF(BU186=-1,1,0)</f>
        <v>0</v>
      </c>
      <c r="CG186" s="42" t="n">
        <f aca="false">IF(S186=-1,1,0)</f>
        <v>0</v>
      </c>
      <c r="CH186" s="42" t="n">
        <f aca="false">IF(BV186+BW186+BX186=0,1,0)</f>
        <v>1</v>
      </c>
      <c r="CI186" s="42" t="n">
        <f aca="false">IF(BC186&lt;p_RRmin,1,0)</f>
        <v>0</v>
      </c>
      <c r="CJ186" s="46" t="str">
        <f aca="false">IF(SUM(CE186:CI186)=0,IF(CD186&gt;=p_GradeA,"A",IF(CD186&gt;=p_GradeB,"B","C")),IF(AND(CI186=1,SUM(CE186:CH186)=0,CD186&gt;=p_GradeB),"B","C"))</f>
        <v>C</v>
      </c>
    </row>
    <row r="187" customFormat="false" ht="15" hidden="false" customHeight="false" outlineLevel="0" collapsed="false">
      <c r="A187" s="36" t="n">
        <v>45915</v>
      </c>
      <c r="B187" s="37" t="n">
        <v>24.69</v>
      </c>
      <c r="C187" s="37" t="n">
        <v>25.15</v>
      </c>
      <c r="D187" s="37" t="n">
        <v>24.46</v>
      </c>
      <c r="E187" s="37" t="n">
        <v>24.93</v>
      </c>
      <c r="F187" s="38" t="n">
        <v>3238100</v>
      </c>
      <c r="G187" s="39" t="n">
        <f aca="false">A187-WEEKDAY(A187,3)</f>
        <v>45915</v>
      </c>
      <c r="H187" s="40" t="n">
        <f aca="false">2/(p_EmaF+1)*E187+(1-2/(p_EmaF+1))*H186</f>
        <v>24.3374990533636</v>
      </c>
      <c r="I187" s="40" t="n">
        <f aca="false">2/(p_EmaS+1)*E187+(1-2/(p_EmaS+1))*I186</f>
        <v>24.0047903069645</v>
      </c>
      <c r="J187" s="41" t="n">
        <f aca="false">2/(p_MacdF+1)*E187+(1-2/(p_MacdF+1))*J186</f>
        <v>24.3615359756621</v>
      </c>
      <c r="K187" s="41" t="n">
        <f aca="false">2/(p_MacdS+1)*E187+(1-2/(p_MacdS+1))*K186</f>
        <v>24.0047903069645</v>
      </c>
      <c r="L187" s="41" t="n">
        <f aca="false">J187-K187</f>
        <v>0.356745668697624</v>
      </c>
      <c r="M187" s="41" t="n">
        <f aca="false">2/(p_MacdSig+1)*L187+(1-2/(p_MacdSig+1))*M186</f>
        <v>0.346464481879159</v>
      </c>
      <c r="N187" s="41" t="n">
        <f aca="false">L187-M187</f>
        <v>0.0102811868184651</v>
      </c>
      <c r="O187" s="42" t="n">
        <f aca="false">IF(H187&gt;H186,1,0)</f>
        <v>1</v>
      </c>
      <c r="P187" s="42" t="n">
        <f aca="false">IF(H187&lt;H186,1,0)</f>
        <v>0</v>
      </c>
      <c r="Q187" s="42" t="n">
        <f aca="false">IF(N187&gt;N186,1,0)</f>
        <v>1</v>
      </c>
      <c r="R187" s="42" t="n">
        <f aca="false">IF(N187&lt;N186,1,0)</f>
        <v>0</v>
      </c>
      <c r="S187" s="42" t="n">
        <f aca="false">IF(AND(O187=1,Q187=1),1,IF(AND(P187=1,R187=1),-1,0))</f>
        <v>1</v>
      </c>
      <c r="T187" s="43" t="str">
        <f aca="false">IF(S187=1,"绿",IF(S187=-1,"红","蓝"))</f>
        <v>绿</v>
      </c>
      <c r="U187" s="44" t="n">
        <f aca="false">F187*(E187-E186)</f>
        <v>1133335</v>
      </c>
      <c r="V187" s="44" t="n">
        <f aca="false">2/(p_FiS+1)*U187+(1-2/(p_FiS+1))*V186</f>
        <v>704571.312930245</v>
      </c>
      <c r="W187" s="44" t="n">
        <f aca="false">2/(p_FiL+1)*U187+(1-2/(p_FiL+1))*W186</f>
        <v>430614.026962161</v>
      </c>
      <c r="X187" s="41" t="n">
        <f aca="false">MAX(C187-D187,ABS(C187-E186),ABS(D187-E186))</f>
        <v>0.689999999999998</v>
      </c>
      <c r="Y187" s="41" t="n">
        <f aca="true">AVERAGE(OFFSET(X187,1-MIN(p_AtrN,ROW()-4),0,MIN(p_AtrN,ROW()-4),1))</f>
        <v>0.613076923076923</v>
      </c>
      <c r="Z187" s="41" t="n">
        <f aca="false">IF(AND(C187-C186&gt;D186-D187,C187-C186&gt;0),C187-C186,0)</f>
        <v>0.0799999999999983</v>
      </c>
      <c r="AA187" s="41" t="n">
        <f aca="false">IF(AND(D186-D187&gt;C187-C186,D186-D187&gt;0),D186-D187,0)</f>
        <v>0</v>
      </c>
      <c r="AB187" s="41" t="n">
        <f aca="false">2/(p_AdxN+1)*X187+(1-2/(p_AdxN+1))*AB186</f>
        <v>0.655740096525644</v>
      </c>
      <c r="AC187" s="41" t="n">
        <f aca="false">2/(p_AdxN+1)*Z187+(1-2/(p_AdxN+1))*AC186</f>
        <v>0.121749017323422</v>
      </c>
      <c r="AD187" s="41" t="n">
        <f aca="false">2/(p_AdxN+1)*AA187+(1-2/(p_AdxN+1))*AD186</f>
        <v>0.0800685322140956</v>
      </c>
      <c r="AE187" s="45" t="n">
        <f aca="false">100*AC187/AB187</f>
        <v>18.566657425479</v>
      </c>
      <c r="AF187" s="45" t="n">
        <f aca="false">100*AD187/AB187</f>
        <v>12.2104066288349</v>
      </c>
      <c r="AG187" s="45" t="n">
        <f aca="false">IFERROR(100*ABS(AE187-AF187)/(AE187+AF187),0)</f>
        <v>20.6525573245936</v>
      </c>
      <c r="AH187" s="45" t="n">
        <f aca="false">2/(p_AdxN+1)*AG187+(1-2/(p_AdxN+1))*AH186</f>
        <v>23.2014656150488</v>
      </c>
      <c r="AI187" s="40" t="n">
        <f aca="false">I187*(1+p_ChPct)</f>
        <v>25.4450777253824</v>
      </c>
      <c r="AJ187" s="40" t="n">
        <f aca="false">I187*(1-p_ChPct)</f>
        <v>22.5645028885466</v>
      </c>
      <c r="AK187" s="40" t="n">
        <f aca="false">I187+1*Y187</f>
        <v>24.6178672300414</v>
      </c>
      <c r="AL187" s="40" t="n">
        <f aca="false">I187+2*Y187</f>
        <v>25.2309441531183</v>
      </c>
      <c r="AM187" s="40" t="n">
        <f aca="false">I187+3*Y187</f>
        <v>25.8440210761953</v>
      </c>
      <c r="AN187" s="40" t="n">
        <f aca="false">I187-1*Y187</f>
        <v>23.3917133838876</v>
      </c>
      <c r="AO187" s="40" t="n">
        <f aca="false">I187-2*Y187</f>
        <v>22.7786364608107</v>
      </c>
      <c r="AP187" s="40" t="n">
        <f aca="false">I187-3*Y187</f>
        <v>22.1655595377337</v>
      </c>
      <c r="AQ187" s="40" t="n">
        <f aca="true">MAX(OFFSET(C187,1-MIN(p_StochN,ROW()-4),0,MIN(p_StochN,ROW()-4),1))</f>
        <v>25.15</v>
      </c>
      <c r="AR187" s="40" t="n">
        <f aca="true">MIN(OFFSET(D187,1-MIN(p_StochN,ROW()-4),0,MIN(p_StochN,ROW()-4),1))</f>
        <v>23.68</v>
      </c>
      <c r="AS187" s="45" t="n">
        <f aca="false">IF(AQ187=AR187,50,100*(E187-AR187)/(AQ187-AR187))</f>
        <v>85.0340136054422</v>
      </c>
      <c r="AT187" s="45" t="n">
        <f aca="true">AVERAGE(OFFSET(AS187,1-MIN(p_StochSm,ROW()-4),0,MIN(p_StochSm,ROW()-4),1))</f>
        <v>81.7458571979368</v>
      </c>
      <c r="AU187" s="45" t="n">
        <f aca="true">AVERAGE(OFFSET(AT187,1-MIN(p_StochSm,ROW()-4),0,MIN(p_StochSm,ROW()-4),1))</f>
        <v>78.9825733315787</v>
      </c>
      <c r="AV187" s="41" t="n">
        <f aca="false">MAX(0,H187-D187)</f>
        <v>0</v>
      </c>
      <c r="AW187" s="41" t="n">
        <f aca="true">IF(COUNTIF(OFFSET(AV187,1-MIN(p_PenLb,ROW()-4),0,MIN(p_PenLb,ROW()-4),1),"&gt;0")&gt;0,SUM(OFFSET(AV187,1-MIN(p_PenLb,ROW()-4),0,MIN(p_PenLb,ROW()-4),1))/COUNTIF(OFFSET(AV187,1-MIN(p_PenLb,ROW()-4),0,MIN(p_PenLb,ROW()-4),1),"&gt;0"),0.5*Y187)</f>
        <v>0.291615688598032</v>
      </c>
      <c r="AX187" s="41" t="n">
        <f aca="false">2*H187-H186</f>
        <v>24.4362492111363</v>
      </c>
      <c r="AY187" s="40" t="n">
        <f aca="false">ROUND(MAX(AX187-AW187,0.01),2)</f>
        <v>24.14</v>
      </c>
      <c r="AZ187" s="40" t="n">
        <f aca="true">IF(MIN(p_StopLb,ROW()-4)&lt;2,D187,SMALL(OFFSET(D187,1-MIN(p_StopLb,ROW()-4),0,MIN(p_StopLb,ROW()-4),1),2))</f>
        <v>23.54</v>
      </c>
      <c r="BA187" s="40" t="n">
        <f aca="false">IF(MOD(ROUND(ROUNDDOWN(MIN(AZ187-0.01,AY187-p_StopAtr*Y187),2)*100,0),50)=0,ROUNDDOWN(MIN(AZ187-0.01,AY187-p_StopAtr*Y187),2)-0.01,ROUNDDOWN(MIN(AZ187-0.01,AY187-p_StopAtr*Y187),2))</f>
        <v>23.52</v>
      </c>
      <c r="BB187" s="40" t="n">
        <f aca="false">ROUND(AI187,2)</f>
        <v>25.45</v>
      </c>
      <c r="BC187" s="40" t="n">
        <f aca="false">IF(AY187-BA187&gt;0,(BB187-AY187)/(AY187-BA187),0)</f>
        <v>2.11290322580645</v>
      </c>
      <c r="BD187" s="42" t="n">
        <f aca="false">IF(N187&lt;0,1,0)</f>
        <v>0</v>
      </c>
      <c r="BE187" s="41" t="n">
        <f aca="false">IF(AND(BD187=1,BD186=0),N187,IF(BD187=1,MIN(BE186,N187),BE186))</f>
        <v>-0.149433863515745</v>
      </c>
      <c r="BF187" s="40" t="n">
        <f aca="false">IF(AND(BD187=1,BD186=0),D187,IF(BD187=1,MIN(BF186,D187),BF186))</f>
        <v>23.49</v>
      </c>
      <c r="BG187" s="42" t="n">
        <f aca="false">IF(AND(BD187=1,BD186=0),ROW(),IF(BD187=1,IF(N187&lt;BE186,ROW(),BG186),BG186))</f>
        <v>179</v>
      </c>
      <c r="BH187" s="41" t="n">
        <f aca="false">IF(AND(BD187=1,BD186=0),BE186,BH186)</f>
        <v>-0.0583119972977335</v>
      </c>
      <c r="BI187" s="40" t="n">
        <f aca="false">IF(AND(BD187=1,BD186=0),BF186,BI186)</f>
        <v>19.27</v>
      </c>
      <c r="BJ187" s="42" t="n">
        <f aca="false">IF(AND(BD187=1,BD186=0),BG186,BJ186)</f>
        <v>124</v>
      </c>
      <c r="BK187" s="42" t="n">
        <f aca="false">IF(AND(ISNUMBER(BG187),ISNUMBER(BJ187)),BG187-BJ187,"")</f>
        <v>55</v>
      </c>
      <c r="BL187" s="42" t="n">
        <f aca="false">IF(AND(BD187=1,N187&gt;N186,ISNUMBER(BH187),ISNUMBER(BK187)),IF(AND(BE187&gt;BH187,BF187&lt;BI187,BK187&gt;=p_GapMin,BK187&lt;=p_GapMax),1,0),0)</f>
        <v>0</v>
      </c>
      <c r="BM187" s="42" t="n">
        <f aca="false">IF(AND(BL187=1,E187&gt;BI187),1,0)</f>
        <v>0</v>
      </c>
      <c r="BN187" s="42" t="n">
        <f aca="false">IF(BL187=1,IF(BE187&gt;=BH187*0.5,1,0),0)</f>
        <v>0</v>
      </c>
      <c r="BO187" s="42" t="n">
        <f aca="true">IF(V187&gt;MIN(OFFSET(V187,-MIN(p_FiLb-1,ROW()-5),0,MIN(p_FiLb-1,ROW()-5),1)),1,0)</f>
        <v>1</v>
      </c>
      <c r="BP187" s="44" t="n">
        <f aca="true">IF(COUNTIF(OFFSET(V187,1-MIN(100,ROW()-4),0,MIN(100,ROW()-4),1),"&lt;0")&gt;=5,AVERAGEIF(OFFSET(V187,1-MIN(100,ROW()-4),0,MIN(100,ROW()-4),1),"&lt;0"),"")</f>
        <v>-947841.974501846</v>
      </c>
      <c r="BQ187" s="42" t="n">
        <f aca="false">IF(ISNUMBER(BP187),IF(AND(V187&lt;5*BP187,V187&gt;V186,E187&lt;AJ187),1,0),0)</f>
        <v>0</v>
      </c>
      <c r="BR187" s="44" t="n">
        <f aca="true">AVERAGE(OFFSET(F187,1-MIN(5,ROW()-4),0,MIN(5,ROW()-4),1))</f>
        <v>3357260</v>
      </c>
      <c r="BS187" s="42" t="n">
        <f aca="false">IFERROR(IF(MATCH(G187,周线!$A$5:$A$84,0)&lt;=1,"",INDEX(周线!$R$5:$R$84,MATCH(G187,周线!$A$5:$A$84,0)-1)),"")</f>
        <v>1</v>
      </c>
      <c r="BT187" s="42" t="n">
        <f aca="false">IFERROR(IF(MATCH(G187,周线!$A$5:$A$84,0)&lt;=1,"",INDEX(周线!$S$5:$S$84,MATCH(G187,周线!$A$5:$A$84,0)-1)),"")</f>
        <v>1</v>
      </c>
      <c r="BU187" s="42" t="n">
        <f aca="false">IFERROR(IF(MATCH(G187,周线!$A$5:$A$84,0)&lt;=1,"",INDEX(周线!$U$5:$U$84,MATCH(G187,周线!$A$5:$A$84,0)-1)),"")</f>
        <v>1</v>
      </c>
      <c r="BV187" s="42" t="n">
        <f aca="false">IF(AND(BS187=1,S187&lt;&gt;-1,V187&lt;0,BO187=1,E187&lt;=H187,E187&gt;=AJ187),1,0)</f>
        <v>0</v>
      </c>
      <c r="BW187" s="42" t="n">
        <f aca="false">BL187</f>
        <v>0</v>
      </c>
      <c r="BX187" s="42" t="n">
        <f aca="false">BQ187</f>
        <v>0</v>
      </c>
      <c r="BY187" s="42" t="n">
        <f aca="false">IF(BS187=1,10,0)+IF(BU187=1,5,IF(BU187=-1,0,3))+IF(BT187=1,5,0)+IF(AND(AE187&gt;AF187,AH187&gt;AH186),5,0)</f>
        <v>20</v>
      </c>
      <c r="BZ187" s="42" t="n">
        <f aca="false">IF(AND(E187&lt;=H187,E187&gt;=I187),10,IF(AND(E187&gt;=AJ187,E187&lt;I187),6,0))+IF(AND(V187&lt;0,BO187=1),8,0)+IF(AT187&lt;30,7,IF(AT187&lt;50,3,0))</f>
        <v>0</v>
      </c>
      <c r="CA187" s="42" t="n">
        <f aca="false">IF(AND(BV187=1,BW187=1),25,IF(BW187=1,22,IF(BV187=1,15,IF(BX187=1,12,0))))</f>
        <v>0</v>
      </c>
      <c r="CB187" s="42" t="n">
        <f aca="false">IF(W187&gt;0,6,0)+IF(F187&lt;BR187,4,0)</f>
        <v>10</v>
      </c>
      <c r="CC187" s="42" t="n">
        <f aca="false">IF(BC187&gt;=3,15,IF(BC187&gt;=p_RRmin,10,IF(BC187&gt;=1.5,4,0)))</f>
        <v>10</v>
      </c>
      <c r="CD187" s="42" t="n">
        <f aca="false">BY187+BZ187+CA187+CB187+CC187</f>
        <v>40</v>
      </c>
      <c r="CE187" s="42" t="n">
        <f aca="false">IF(AND(BS187&lt;&gt;1,BW187+BX187=0),1,0)</f>
        <v>0</v>
      </c>
      <c r="CF187" s="42" t="n">
        <f aca="false">IF(BU187=-1,1,0)</f>
        <v>0</v>
      </c>
      <c r="CG187" s="42" t="n">
        <f aca="false">IF(S187=-1,1,0)</f>
        <v>0</v>
      </c>
      <c r="CH187" s="42" t="n">
        <f aca="false">IF(BV187+BW187+BX187=0,1,0)</f>
        <v>1</v>
      </c>
      <c r="CI187" s="42" t="n">
        <f aca="false">IF(BC187&lt;p_RRmin,1,0)</f>
        <v>0</v>
      </c>
      <c r="CJ187" s="46" t="str">
        <f aca="false">IF(SUM(CE187:CI187)=0,IF(CD187&gt;=p_GradeA,"A",IF(CD187&gt;=p_GradeB,"B","C")),IF(AND(CI187=1,SUM(CE187:CH187)=0,CD187&gt;=p_GradeB),"B","C"))</f>
        <v>C</v>
      </c>
    </row>
    <row r="188" customFormat="false" ht="15" hidden="false" customHeight="false" outlineLevel="0" collapsed="false">
      <c r="A188" s="36" t="n">
        <v>45916</v>
      </c>
      <c r="B188" s="37" t="n">
        <v>24.98</v>
      </c>
      <c r="C188" s="37" t="n">
        <v>25.08</v>
      </c>
      <c r="D188" s="37" t="n">
        <v>24.45</v>
      </c>
      <c r="E188" s="37" t="n">
        <v>24.68</v>
      </c>
      <c r="F188" s="38" t="n">
        <v>3214600</v>
      </c>
      <c r="G188" s="39" t="n">
        <f aca="false">A188-WEEKDAY(A188,3)</f>
        <v>45915</v>
      </c>
      <c r="H188" s="40" t="n">
        <f aca="false">2/(p_EmaF+1)*E188+(1-2/(p_EmaF+1))*H187</f>
        <v>24.3864277600259</v>
      </c>
      <c r="I188" s="40" t="n">
        <f aca="false">2/(p_EmaS+1)*E188+(1-2/(p_EmaS+1))*I187</f>
        <v>24.0548058397819</v>
      </c>
      <c r="J188" s="41" t="n">
        <f aca="false">2/(p_MacdF+1)*E188+(1-2/(p_MacdF+1))*J187</f>
        <v>24.4105304409449</v>
      </c>
      <c r="K188" s="41" t="n">
        <f aca="false">2/(p_MacdS+1)*E188+(1-2/(p_MacdS+1))*K187</f>
        <v>24.0548058397819</v>
      </c>
      <c r="L188" s="41" t="n">
        <f aca="false">J188-K188</f>
        <v>0.35572460116293</v>
      </c>
      <c r="M188" s="41" t="n">
        <f aca="false">2/(p_MacdSig+1)*L188+(1-2/(p_MacdSig+1))*M187</f>
        <v>0.348316505735913</v>
      </c>
      <c r="N188" s="41" t="n">
        <f aca="false">L188-M188</f>
        <v>0.00740809542701681</v>
      </c>
      <c r="O188" s="42" t="n">
        <f aca="false">IF(H188&gt;H187,1,0)</f>
        <v>1</v>
      </c>
      <c r="P188" s="42" t="n">
        <f aca="false">IF(H188&lt;H187,1,0)</f>
        <v>0</v>
      </c>
      <c r="Q188" s="42" t="n">
        <f aca="false">IF(N188&gt;N187,1,0)</f>
        <v>0</v>
      </c>
      <c r="R188" s="42" t="n">
        <f aca="false">IF(N188&lt;N187,1,0)</f>
        <v>1</v>
      </c>
      <c r="S188" s="42" t="n">
        <f aca="false">IF(AND(O188=1,Q188=1),1,IF(AND(P188=1,R188=1),-1,0))</f>
        <v>0</v>
      </c>
      <c r="T188" s="43" t="str">
        <f aca="false">IF(S188=1,"绿",IF(S188=-1,"红","蓝"))</f>
        <v>蓝</v>
      </c>
      <c r="U188" s="44" t="n">
        <f aca="false">F188*(E188-E187)</f>
        <v>-803650</v>
      </c>
      <c r="V188" s="44" t="n">
        <f aca="false">2/(p_FiS+1)*U188+(1-2/(p_FiS+1))*V187</f>
        <v>-300909.562356585</v>
      </c>
      <c r="W188" s="44" t="n">
        <f aca="false">2/(p_FiL+1)*U188+(1-2/(p_FiL+1))*W187</f>
        <v>254290.594538995</v>
      </c>
      <c r="X188" s="41" t="n">
        <f aca="false">MAX(C188-D188,ABS(C188-E187),ABS(D188-E187))</f>
        <v>0.629999999999999</v>
      </c>
      <c r="Y188" s="41" t="n">
        <f aca="true">AVERAGE(OFFSET(X188,1-MIN(p_AtrN,ROW()-4),0,MIN(p_AtrN,ROW()-4),1))</f>
        <v>0.643846153846154</v>
      </c>
      <c r="Z188" s="41" t="n">
        <f aca="false">IF(AND(C188-C187&gt;D187-D188,C188-C187&gt;0),C188-C187,0)</f>
        <v>0</v>
      </c>
      <c r="AA188" s="41" t="n">
        <f aca="false">IF(AND(D187-D188&gt;C188-C187,D187-D188&gt;0),D187-D188,0)</f>
        <v>0.0100000000000016</v>
      </c>
      <c r="AB188" s="41" t="n">
        <f aca="false">2/(p_AdxN+1)*X188+(1-2/(p_AdxN+1))*AB187</f>
        <v>0.652062939879123</v>
      </c>
      <c r="AC188" s="41" t="n">
        <f aca="false">2/(p_AdxN+1)*Z188+(1-2/(p_AdxN+1))*AC187</f>
        <v>0.104356300562933</v>
      </c>
      <c r="AD188" s="41" t="n">
        <f aca="false">2/(p_AdxN+1)*AA188+(1-2/(p_AdxN+1))*AD187</f>
        <v>0.0700587418977965</v>
      </c>
      <c r="AE188" s="45" t="n">
        <f aca="false">100*AC188/AB188</f>
        <v>16.0040226457707</v>
      </c>
      <c r="AF188" s="45" t="n">
        <f aca="false">100*AD188/AB188</f>
        <v>10.7441686397304</v>
      </c>
      <c r="AG188" s="45" t="n">
        <f aca="false">IFERROR(100*ABS(AE188-AF188)/(AE188+AF188),0)</f>
        <v>19.6643352438243</v>
      </c>
      <c r="AH188" s="45" t="n">
        <f aca="false">2/(p_AdxN+1)*AG188+(1-2/(p_AdxN+1))*AH187</f>
        <v>22.6961612763024</v>
      </c>
      <c r="AI188" s="40" t="n">
        <f aca="false">I188*(1+p_ChPct)</f>
        <v>25.4980941901689</v>
      </c>
      <c r="AJ188" s="40" t="n">
        <f aca="false">I188*(1-p_ChPct)</f>
        <v>22.611517489395</v>
      </c>
      <c r="AK188" s="40" t="n">
        <f aca="false">I188+1*Y188</f>
        <v>24.6986519936281</v>
      </c>
      <c r="AL188" s="40" t="n">
        <f aca="false">I188+2*Y188</f>
        <v>25.3424981474743</v>
      </c>
      <c r="AM188" s="40" t="n">
        <f aca="false">I188+3*Y188</f>
        <v>25.9863443013204</v>
      </c>
      <c r="AN188" s="40" t="n">
        <f aca="false">I188-1*Y188</f>
        <v>23.4109596859358</v>
      </c>
      <c r="AO188" s="40" t="n">
        <f aca="false">I188-2*Y188</f>
        <v>22.7671135320896</v>
      </c>
      <c r="AP188" s="40" t="n">
        <f aca="false">I188-3*Y188</f>
        <v>22.1232673782435</v>
      </c>
      <c r="AQ188" s="40" t="n">
        <f aca="true">MAX(OFFSET(C188,1-MIN(p_StochN,ROW()-4),0,MIN(p_StochN,ROW()-4),1))</f>
        <v>25.15</v>
      </c>
      <c r="AR188" s="40" t="n">
        <f aca="true">MIN(OFFSET(D188,1-MIN(p_StochN,ROW()-4),0,MIN(p_StochN,ROW()-4),1))</f>
        <v>23.68</v>
      </c>
      <c r="AS188" s="45" t="n">
        <f aca="false">IF(AQ188=AR188,50,100*(E188-AR188)/(AQ188-AR188))</f>
        <v>68.0272108843538</v>
      </c>
      <c r="AT188" s="45" t="n">
        <f aca="true">AVERAGE(OFFSET(AS188,1-MIN(p_StochSm,ROW()-4),0,MIN(p_StochSm,ROW()-4),1))</f>
        <v>74.0161887539826</v>
      </c>
      <c r="AU188" s="45" t="n">
        <f aca="true">AVERAGE(OFFSET(AT188,1-MIN(p_StochSm,ROW()-4),0,MIN(p_StochSm,ROW()-4),1))</f>
        <v>78.734286329223</v>
      </c>
      <c r="AV188" s="41" t="n">
        <f aca="false">MAX(0,H188-D188)</f>
        <v>0</v>
      </c>
      <c r="AW188" s="41" t="n">
        <f aca="true">IF(COUNTIF(OFFSET(AV188,1-MIN(p_PenLb,ROW()-4),0,MIN(p_PenLb,ROW()-4),1),"&gt;0")&gt;0,SUM(OFFSET(AV188,1-MIN(p_PenLb,ROW()-4),0,MIN(p_PenLb,ROW()-4),1))/COUNTIF(OFFSET(AV188,1-MIN(p_PenLb,ROW()-4),0,MIN(p_PenLb,ROW()-4),1),"&gt;0"),0.5*Y188)</f>
        <v>0.291615688598032</v>
      </c>
      <c r="AX188" s="41" t="n">
        <f aca="false">2*H188-H187</f>
        <v>24.4353564666883</v>
      </c>
      <c r="AY188" s="40" t="n">
        <f aca="false">ROUND(MAX(AX188-AW188,0.01),2)</f>
        <v>24.14</v>
      </c>
      <c r="AZ188" s="40" t="n">
        <f aca="true">IF(MIN(p_StopLb,ROW()-4)&lt;2,D188,SMALL(OFFSET(D188,1-MIN(p_StopLb,ROW()-4),0,MIN(p_StopLb,ROW()-4),1),2))</f>
        <v>23.54</v>
      </c>
      <c r="BA188" s="40" t="n">
        <f aca="false">IF(MOD(ROUND(ROUNDDOWN(MIN(AZ188-0.01,AY188-p_StopAtr*Y188),2)*100,0),50)=0,ROUNDDOWN(MIN(AZ188-0.01,AY188-p_StopAtr*Y188),2)-0.01,ROUNDDOWN(MIN(AZ188-0.01,AY188-p_StopAtr*Y188),2))</f>
        <v>23.49</v>
      </c>
      <c r="BB188" s="40" t="n">
        <f aca="false">ROUND(AI188,2)</f>
        <v>25.5</v>
      </c>
      <c r="BC188" s="40" t="n">
        <f aca="false">IF(AY188-BA188&gt;0,(BB188-AY188)/(AY188-BA188),0)</f>
        <v>2.09230769230768</v>
      </c>
      <c r="BD188" s="42" t="n">
        <f aca="false">IF(N188&lt;0,1,0)</f>
        <v>0</v>
      </c>
      <c r="BE188" s="41" t="n">
        <f aca="false">IF(AND(BD188=1,BD187=0),N188,IF(BD188=1,MIN(BE187,N188),BE187))</f>
        <v>-0.149433863515745</v>
      </c>
      <c r="BF188" s="40" t="n">
        <f aca="false">IF(AND(BD188=1,BD187=0),D188,IF(BD188=1,MIN(BF187,D188),BF187))</f>
        <v>23.49</v>
      </c>
      <c r="BG188" s="42" t="n">
        <f aca="false">IF(AND(BD188=1,BD187=0),ROW(),IF(BD188=1,IF(N188&lt;BE187,ROW(),BG187),BG187))</f>
        <v>179</v>
      </c>
      <c r="BH188" s="41" t="n">
        <f aca="false">IF(AND(BD188=1,BD187=0),BE187,BH187)</f>
        <v>-0.0583119972977335</v>
      </c>
      <c r="BI188" s="40" t="n">
        <f aca="false">IF(AND(BD188=1,BD187=0),BF187,BI187)</f>
        <v>19.27</v>
      </c>
      <c r="BJ188" s="42" t="n">
        <f aca="false">IF(AND(BD188=1,BD187=0),BG187,BJ187)</f>
        <v>124</v>
      </c>
      <c r="BK188" s="42" t="n">
        <f aca="false">IF(AND(ISNUMBER(BG188),ISNUMBER(BJ188)),BG188-BJ188,"")</f>
        <v>55</v>
      </c>
      <c r="BL188" s="42" t="n">
        <f aca="false">IF(AND(BD188=1,N188&gt;N187,ISNUMBER(BH188),ISNUMBER(BK188)),IF(AND(BE188&gt;BH188,BF188&lt;BI188,BK188&gt;=p_GapMin,BK188&lt;=p_GapMax),1,0),0)</f>
        <v>0</v>
      </c>
      <c r="BM188" s="42" t="n">
        <f aca="false">IF(AND(BL188=1,E188&gt;BI188),1,0)</f>
        <v>0</v>
      </c>
      <c r="BN188" s="42" t="n">
        <f aca="false">IF(BL188=1,IF(BE188&gt;=BH188*0.5,1,0),0)</f>
        <v>0</v>
      </c>
      <c r="BO188" s="42" t="n">
        <f aca="true">IF(V188&gt;MIN(OFFSET(V188,-MIN(p_FiLb-1,ROW()-5),0,MIN(p_FiLb-1,ROW()-5),1)),1,0)</f>
        <v>1</v>
      </c>
      <c r="BP188" s="44" t="n">
        <f aca="true">IF(COUNTIF(OFFSET(V188,1-MIN(100,ROW()-4),0,MIN(100,ROW()-4),1),"&lt;0")&gt;=5,AVERAGEIF(OFFSET(V188,1-MIN(100,ROW()-4),0,MIN(100,ROW()-4),1),"&lt;0"),"")</f>
        <v>-932937.035256268</v>
      </c>
      <c r="BQ188" s="42" t="n">
        <f aca="false">IF(ISNUMBER(BP188),IF(AND(V188&lt;5*BP188,V188&gt;V187,E188&lt;AJ188),1,0),0)</f>
        <v>0</v>
      </c>
      <c r="BR188" s="44" t="n">
        <f aca="true">AVERAGE(OFFSET(F188,1-MIN(5,ROW()-4),0,MIN(5,ROW()-4),1))</f>
        <v>3464100</v>
      </c>
      <c r="BS188" s="42" t="n">
        <f aca="false">IFERROR(IF(MATCH(G188,周线!$A$5:$A$84,0)&lt;=1,"",INDEX(周线!$R$5:$R$84,MATCH(G188,周线!$A$5:$A$84,0)-1)),"")</f>
        <v>1</v>
      </c>
      <c r="BT188" s="42" t="n">
        <f aca="false">IFERROR(IF(MATCH(G188,周线!$A$5:$A$84,0)&lt;=1,"",INDEX(周线!$S$5:$S$84,MATCH(G188,周线!$A$5:$A$84,0)-1)),"")</f>
        <v>1</v>
      </c>
      <c r="BU188" s="42" t="n">
        <f aca="false">IFERROR(IF(MATCH(G188,周线!$A$5:$A$84,0)&lt;=1,"",INDEX(周线!$U$5:$U$84,MATCH(G188,周线!$A$5:$A$84,0)-1)),"")</f>
        <v>1</v>
      </c>
      <c r="BV188" s="42" t="n">
        <f aca="false">IF(AND(BS188=1,S188&lt;&gt;-1,V188&lt;0,BO188=1,E188&lt;=H188,E188&gt;=AJ188),1,0)</f>
        <v>0</v>
      </c>
      <c r="BW188" s="42" t="n">
        <f aca="false">BL188</f>
        <v>0</v>
      </c>
      <c r="BX188" s="42" t="n">
        <f aca="false">BQ188</f>
        <v>0</v>
      </c>
      <c r="BY188" s="42" t="n">
        <f aca="false">IF(BS188=1,10,0)+IF(BU188=1,5,IF(BU188=-1,0,3))+IF(BT188=1,5,0)+IF(AND(AE188&gt;AF188,AH188&gt;AH187),5,0)</f>
        <v>20</v>
      </c>
      <c r="BZ188" s="42" t="n">
        <f aca="false">IF(AND(E188&lt;=H188,E188&gt;=I188),10,IF(AND(E188&gt;=AJ188,E188&lt;I188),6,0))+IF(AND(V188&lt;0,BO188=1),8,0)+IF(AT188&lt;30,7,IF(AT188&lt;50,3,0))</f>
        <v>8</v>
      </c>
      <c r="CA188" s="42" t="n">
        <f aca="false">IF(AND(BV188=1,BW188=1),25,IF(BW188=1,22,IF(BV188=1,15,IF(BX188=1,12,0))))</f>
        <v>0</v>
      </c>
      <c r="CB188" s="42" t="n">
        <f aca="false">IF(W188&gt;0,6,0)+IF(F188&lt;BR188,4,0)</f>
        <v>10</v>
      </c>
      <c r="CC188" s="42" t="n">
        <f aca="false">IF(BC188&gt;=3,15,IF(BC188&gt;=p_RRmin,10,IF(BC188&gt;=1.5,4,0)))</f>
        <v>10</v>
      </c>
      <c r="CD188" s="42" t="n">
        <f aca="false">BY188+BZ188+CA188+CB188+CC188</f>
        <v>48</v>
      </c>
      <c r="CE188" s="42" t="n">
        <f aca="false">IF(AND(BS188&lt;&gt;1,BW188+BX188=0),1,0)</f>
        <v>0</v>
      </c>
      <c r="CF188" s="42" t="n">
        <f aca="false">IF(BU188=-1,1,0)</f>
        <v>0</v>
      </c>
      <c r="CG188" s="42" t="n">
        <f aca="false">IF(S188=-1,1,0)</f>
        <v>0</v>
      </c>
      <c r="CH188" s="42" t="n">
        <f aca="false">IF(BV188+BW188+BX188=0,1,0)</f>
        <v>1</v>
      </c>
      <c r="CI188" s="42" t="n">
        <f aca="false">IF(BC188&lt;p_RRmin,1,0)</f>
        <v>0</v>
      </c>
      <c r="CJ188" s="46" t="str">
        <f aca="false">IF(SUM(CE188:CI188)=0,IF(CD188&gt;=p_GradeA,"A",IF(CD188&gt;=p_GradeB,"B","C")),IF(AND(CI188=1,SUM(CE188:CH188)=0,CD188&gt;=p_GradeB),"B","C"))</f>
        <v>C</v>
      </c>
    </row>
    <row r="189" customFormat="false" ht="15" hidden="false" customHeight="false" outlineLevel="0" collapsed="false">
      <c r="A189" s="36" t="n">
        <v>45917</v>
      </c>
      <c r="B189" s="37" t="n">
        <v>24.58</v>
      </c>
      <c r="C189" s="37" t="n">
        <v>24.88</v>
      </c>
      <c r="D189" s="37" t="n">
        <v>23.51</v>
      </c>
      <c r="E189" s="37" t="n">
        <v>23.8</v>
      </c>
      <c r="F189" s="38" t="n">
        <v>5218600</v>
      </c>
      <c r="G189" s="39" t="n">
        <f aca="false">A189-WEEKDAY(A189,3)</f>
        <v>45915</v>
      </c>
      <c r="H189" s="40" t="n">
        <f aca="false">2/(p_EmaF+1)*E189+(1-2/(p_EmaF+1))*H188</f>
        <v>24.3026523657365</v>
      </c>
      <c r="I189" s="40" t="n">
        <f aca="false">2/(p_EmaS+1)*E189+(1-2/(p_EmaS+1))*I188</f>
        <v>24.0359313331314</v>
      </c>
      <c r="J189" s="41" t="n">
        <f aca="false">2/(p_MacdF+1)*E189+(1-2/(p_MacdF+1))*J188</f>
        <v>24.3166026807995</v>
      </c>
      <c r="K189" s="41" t="n">
        <f aca="false">2/(p_MacdS+1)*E189+(1-2/(p_MacdS+1))*K188</f>
        <v>24.0359313331314</v>
      </c>
      <c r="L189" s="41" t="n">
        <f aca="false">J189-K189</f>
        <v>0.280671347668079</v>
      </c>
      <c r="M189" s="41" t="n">
        <f aca="false">2/(p_MacdSig+1)*L189+(1-2/(p_MacdSig+1))*M188</f>
        <v>0.334787474122346</v>
      </c>
      <c r="N189" s="41" t="n">
        <f aca="false">L189-M189</f>
        <v>-0.0541161264542669</v>
      </c>
      <c r="O189" s="42" t="n">
        <f aca="false">IF(H189&gt;H188,1,0)</f>
        <v>0</v>
      </c>
      <c r="P189" s="42" t="n">
        <f aca="false">IF(H189&lt;H188,1,0)</f>
        <v>1</v>
      </c>
      <c r="Q189" s="42" t="n">
        <f aca="false">IF(N189&gt;N188,1,0)</f>
        <v>0</v>
      </c>
      <c r="R189" s="42" t="n">
        <f aca="false">IF(N189&lt;N188,1,0)</f>
        <v>1</v>
      </c>
      <c r="S189" s="42" t="n">
        <f aca="false">IF(AND(O189=1,Q189=1),1,IF(AND(P189=1,R189=1),-1,0))</f>
        <v>-1</v>
      </c>
      <c r="T189" s="43" t="str">
        <f aca="false">IF(S189=1,"绿",IF(S189=-1,"红","蓝"))</f>
        <v>红</v>
      </c>
      <c r="U189" s="44" t="n">
        <f aca="false">F189*(E189-E188)</f>
        <v>-4592367.99999999</v>
      </c>
      <c r="V189" s="44" t="n">
        <f aca="false">2/(p_FiS+1)*U189+(1-2/(p_FiS+1))*V188</f>
        <v>-3161881.85411886</v>
      </c>
      <c r="W189" s="44" t="n">
        <f aca="false">2/(p_FiL+1)*U189+(1-2/(p_FiL+1))*W188</f>
        <v>-438089.204680861</v>
      </c>
      <c r="X189" s="41" t="n">
        <f aca="false">MAX(C189-D189,ABS(C189-E188),ABS(D189-E188))</f>
        <v>1.37</v>
      </c>
      <c r="Y189" s="41" t="n">
        <f aca="true">AVERAGE(OFFSET(X189,1-MIN(p_AtrN,ROW()-4),0,MIN(p_AtrN,ROW()-4),1))</f>
        <v>0.724615384615384</v>
      </c>
      <c r="Z189" s="41" t="n">
        <f aca="false">IF(AND(C189-C188&gt;D188-D189,C189-C188&gt;0),C189-C188,0)</f>
        <v>0</v>
      </c>
      <c r="AA189" s="41" t="n">
        <f aca="false">IF(AND(D188-D189&gt;C189-C188,D188-D189&gt;0),D188-D189,0)</f>
        <v>0.939999999999998</v>
      </c>
      <c r="AB189" s="41" t="n">
        <f aca="false">2/(p_AdxN+1)*X189+(1-2/(p_AdxN+1))*AB188</f>
        <v>0.754625377039248</v>
      </c>
      <c r="AC189" s="41" t="n">
        <f aca="false">2/(p_AdxN+1)*Z189+(1-2/(p_AdxN+1))*AC188</f>
        <v>0.0894482576253709</v>
      </c>
      <c r="AD189" s="41" t="n">
        <f aca="false">2/(p_AdxN+1)*AA189+(1-2/(p_AdxN+1))*AD188</f>
        <v>0.194336064483825</v>
      </c>
      <c r="AE189" s="45" t="n">
        <f aca="false">100*AC189/AB189</f>
        <v>11.8533328386489</v>
      </c>
      <c r="AF189" s="45" t="n">
        <f aca="false">100*AD189/AB189</f>
        <v>25.7526542834138</v>
      </c>
      <c r="AG189" s="45" t="n">
        <f aca="false">IFERROR(100*ABS(AE189-AF189)/(AE189+AF189),0)</f>
        <v>36.9603951616802</v>
      </c>
      <c r="AH189" s="45" t="n">
        <f aca="false">2/(p_AdxN+1)*AG189+(1-2/(p_AdxN+1))*AH188</f>
        <v>24.7339089742135</v>
      </c>
      <c r="AI189" s="40" t="n">
        <f aca="false">I189*(1+p_ChPct)</f>
        <v>25.4780872131193</v>
      </c>
      <c r="AJ189" s="40" t="n">
        <f aca="false">I189*(1-p_ChPct)</f>
        <v>22.5937754531435</v>
      </c>
      <c r="AK189" s="40" t="n">
        <f aca="false">I189+1*Y189</f>
        <v>24.7605467177468</v>
      </c>
      <c r="AL189" s="40" t="n">
        <f aca="false">I189+2*Y189</f>
        <v>25.4851621023622</v>
      </c>
      <c r="AM189" s="40" t="n">
        <f aca="false">I189+3*Y189</f>
        <v>26.2097774869776</v>
      </c>
      <c r="AN189" s="40" t="n">
        <f aca="false">I189-1*Y189</f>
        <v>23.311315948516</v>
      </c>
      <c r="AO189" s="40" t="n">
        <f aca="false">I189-2*Y189</f>
        <v>22.5867005639007</v>
      </c>
      <c r="AP189" s="40" t="n">
        <f aca="false">I189-3*Y189</f>
        <v>21.8620851792853</v>
      </c>
      <c r="AQ189" s="40" t="n">
        <f aca="true">MAX(OFFSET(C189,1-MIN(p_StochN,ROW()-4),0,MIN(p_StochN,ROW()-4),1))</f>
        <v>25.15</v>
      </c>
      <c r="AR189" s="40" t="n">
        <f aca="true">MIN(OFFSET(D189,1-MIN(p_StochN,ROW()-4),0,MIN(p_StochN,ROW()-4),1))</f>
        <v>23.51</v>
      </c>
      <c r="AS189" s="45" t="n">
        <f aca="false">IF(AQ189=AR189,50,100*(E189-AR189)/(AQ189-AR189))</f>
        <v>17.6829268292683</v>
      </c>
      <c r="AT189" s="45" t="n">
        <f aca="true">AVERAGE(OFFSET(AS189,1-MIN(p_StochSm,ROW()-4),0,MIN(p_StochSm,ROW()-4),1))</f>
        <v>56.9147171063548</v>
      </c>
      <c r="AU189" s="45" t="n">
        <f aca="true">AVERAGE(OFFSET(AT189,1-MIN(p_StochSm,ROW()-4),0,MIN(p_StochSm,ROW()-4),1))</f>
        <v>70.8922543527581</v>
      </c>
      <c r="AV189" s="41" t="n">
        <f aca="false">MAX(0,H189-D189)</f>
        <v>0.792652365736494</v>
      </c>
      <c r="AW189" s="41" t="n">
        <f aca="true">IF(COUNTIF(OFFSET(AV189,1-MIN(p_PenLb,ROW()-4),0,MIN(p_PenLb,ROW()-4),1),"&gt;0")&gt;0,SUM(OFFSET(AV189,1-MIN(p_PenLb,ROW()-4),0,MIN(p_PenLb,ROW()-4),1))/COUNTIF(OFFSET(AV189,1-MIN(p_PenLb,ROW()-4),0,MIN(p_PenLb,ROW()-4),1),"&gt;0"),0.5*Y189)</f>
        <v>0.325018133740596</v>
      </c>
      <c r="AX189" s="41" t="n">
        <f aca="false">2*H189-H188</f>
        <v>24.2188769714471</v>
      </c>
      <c r="AY189" s="40" t="n">
        <f aca="false">ROUND(MAX(AX189-AW189,0.01),2)</f>
        <v>23.89</v>
      </c>
      <c r="AZ189" s="40" t="n">
        <f aca="true">IF(MIN(p_StopLb,ROW()-4)&lt;2,D189,SMALL(OFFSET(D189,1-MIN(p_StopLb,ROW()-4),0,MIN(p_StopLb,ROW()-4),1),2))</f>
        <v>23.51</v>
      </c>
      <c r="BA189" s="40" t="n">
        <f aca="false">IF(MOD(ROUND(ROUNDDOWN(MIN(AZ189-0.01,AY189-p_StopAtr*Y189),2)*100,0),50)=0,ROUNDDOWN(MIN(AZ189-0.01,AY189-p_StopAtr*Y189),2)-0.01,ROUNDDOWN(MIN(AZ189-0.01,AY189-p_StopAtr*Y189),2))</f>
        <v>23.16</v>
      </c>
      <c r="BB189" s="40" t="n">
        <f aca="false">ROUND(AI189,2)</f>
        <v>25.48</v>
      </c>
      <c r="BC189" s="40" t="n">
        <f aca="false">IF(AY189-BA189&gt;0,(BB189-AY189)/(AY189-BA189),0)</f>
        <v>2.17808219178082</v>
      </c>
      <c r="BD189" s="42" t="n">
        <f aca="false">IF(N189&lt;0,1,0)</f>
        <v>1</v>
      </c>
      <c r="BE189" s="41" t="n">
        <f aca="false">IF(AND(BD189=1,BD188=0),N189,IF(BD189=1,MIN(BE188,N189),BE188))</f>
        <v>-0.0541161264542669</v>
      </c>
      <c r="BF189" s="40" t="n">
        <f aca="false">IF(AND(BD189=1,BD188=0),D189,IF(BD189=1,MIN(BF188,D189),BF188))</f>
        <v>23.51</v>
      </c>
      <c r="BG189" s="42" t="n">
        <f aca="false">IF(AND(BD189=1,BD188=0),ROW(),IF(BD189=1,IF(N189&lt;BE188,ROW(),BG188),BG188))</f>
        <v>189</v>
      </c>
      <c r="BH189" s="41" t="n">
        <f aca="false">IF(AND(BD189=1,BD188=0),BE188,BH188)</f>
        <v>-0.149433863515745</v>
      </c>
      <c r="BI189" s="40" t="n">
        <f aca="false">IF(AND(BD189=1,BD188=0),BF188,BI188)</f>
        <v>23.49</v>
      </c>
      <c r="BJ189" s="42" t="n">
        <f aca="false">IF(AND(BD189=1,BD188=0),BG188,BJ188)</f>
        <v>179</v>
      </c>
      <c r="BK189" s="42" t="n">
        <f aca="false">IF(AND(ISNUMBER(BG189),ISNUMBER(BJ189)),BG189-BJ189,"")</f>
        <v>10</v>
      </c>
      <c r="BL189" s="42" t="n">
        <f aca="false">IF(AND(BD189=1,N189&gt;N188,ISNUMBER(BH189),ISNUMBER(BK189)),IF(AND(BE189&gt;BH189,BF189&lt;BI189,BK189&gt;=p_GapMin,BK189&lt;=p_GapMax),1,0),0)</f>
        <v>0</v>
      </c>
      <c r="BM189" s="42" t="n">
        <f aca="false">IF(AND(BL189=1,E189&gt;BI189),1,0)</f>
        <v>0</v>
      </c>
      <c r="BN189" s="42" t="n">
        <f aca="false">IF(BL189=1,IF(BE189&gt;=BH189*0.5,1,0),0)</f>
        <v>0</v>
      </c>
      <c r="BO189" s="42" t="n">
        <f aca="true">IF(V189&gt;MIN(OFFSET(V189,-MIN(p_FiLb-1,ROW()-5),0,MIN(p_FiLb-1,ROW()-5),1)),1,0)</f>
        <v>0</v>
      </c>
      <c r="BP189" s="44" t="n">
        <f aca="true">IF(COUNTIF(OFFSET(V189,1-MIN(100,ROW()-4),0,MIN(100,ROW()-4),1),"&lt;0")&gt;=5,AVERAGEIF(OFFSET(V189,1-MIN(100,ROW()-4),0,MIN(100,ROW()-4),1),"&lt;0"),"")</f>
        <v>-976641.835626122</v>
      </c>
      <c r="BQ189" s="42" t="n">
        <f aca="false">IF(ISNUMBER(BP189),IF(AND(V189&lt;5*BP189,V189&gt;V188,E189&lt;AJ189),1,0),0)</f>
        <v>0</v>
      </c>
      <c r="BR189" s="44" t="n">
        <f aca="true">AVERAGE(OFFSET(F189,1-MIN(5,ROW()-4),0,MIN(5,ROW()-4),1))</f>
        <v>3610420</v>
      </c>
      <c r="BS189" s="42" t="n">
        <f aca="false">IFERROR(IF(MATCH(G189,周线!$A$5:$A$84,0)&lt;=1,"",INDEX(周线!$R$5:$R$84,MATCH(G189,周线!$A$5:$A$84,0)-1)),"")</f>
        <v>1</v>
      </c>
      <c r="BT189" s="42" t="n">
        <f aca="false">IFERROR(IF(MATCH(G189,周线!$A$5:$A$84,0)&lt;=1,"",INDEX(周线!$S$5:$S$84,MATCH(G189,周线!$A$5:$A$84,0)-1)),"")</f>
        <v>1</v>
      </c>
      <c r="BU189" s="42" t="n">
        <f aca="false">IFERROR(IF(MATCH(G189,周线!$A$5:$A$84,0)&lt;=1,"",INDEX(周线!$U$5:$U$84,MATCH(G189,周线!$A$5:$A$84,0)-1)),"")</f>
        <v>1</v>
      </c>
      <c r="BV189" s="42" t="n">
        <f aca="false">IF(AND(BS189=1,S189&lt;&gt;-1,V189&lt;0,BO189=1,E189&lt;=H189,E189&gt;=AJ189),1,0)</f>
        <v>0</v>
      </c>
      <c r="BW189" s="42" t="n">
        <f aca="false">BL189</f>
        <v>0</v>
      </c>
      <c r="BX189" s="42" t="n">
        <f aca="false">BQ189</f>
        <v>0</v>
      </c>
      <c r="BY189" s="42" t="n">
        <f aca="false">IF(BS189=1,10,0)+IF(BU189=1,5,IF(BU189=-1,0,3))+IF(BT189=1,5,0)+IF(AND(AE189&gt;AF189,AH189&gt;AH188),5,0)</f>
        <v>20</v>
      </c>
      <c r="BZ189" s="42" t="n">
        <f aca="false">IF(AND(E189&lt;=H189,E189&gt;=I189),10,IF(AND(E189&gt;=AJ189,E189&lt;I189),6,0))+IF(AND(V189&lt;0,BO189=1),8,0)+IF(AT189&lt;30,7,IF(AT189&lt;50,3,0))</f>
        <v>6</v>
      </c>
      <c r="CA189" s="42" t="n">
        <f aca="false">IF(AND(BV189=1,BW189=1),25,IF(BW189=1,22,IF(BV189=1,15,IF(BX189=1,12,0))))</f>
        <v>0</v>
      </c>
      <c r="CB189" s="42" t="n">
        <f aca="false">IF(W189&gt;0,6,0)+IF(F189&lt;BR189,4,0)</f>
        <v>0</v>
      </c>
      <c r="CC189" s="42" t="n">
        <f aca="false">IF(BC189&gt;=3,15,IF(BC189&gt;=p_RRmin,10,IF(BC189&gt;=1.5,4,0)))</f>
        <v>10</v>
      </c>
      <c r="CD189" s="42" t="n">
        <f aca="false">BY189+BZ189+CA189+CB189+CC189</f>
        <v>36</v>
      </c>
      <c r="CE189" s="42" t="n">
        <f aca="false">IF(AND(BS189&lt;&gt;1,BW189+BX189=0),1,0)</f>
        <v>0</v>
      </c>
      <c r="CF189" s="42" t="n">
        <f aca="false">IF(BU189=-1,1,0)</f>
        <v>0</v>
      </c>
      <c r="CG189" s="42" t="n">
        <f aca="false">IF(S189=-1,1,0)</f>
        <v>1</v>
      </c>
      <c r="CH189" s="42" t="n">
        <f aca="false">IF(BV189+BW189+BX189=0,1,0)</f>
        <v>1</v>
      </c>
      <c r="CI189" s="42" t="n">
        <f aca="false">IF(BC189&lt;p_RRmin,1,0)</f>
        <v>0</v>
      </c>
      <c r="CJ189" s="46" t="str">
        <f aca="false">IF(SUM(CE189:CI189)=0,IF(CD189&gt;=p_GradeA,"A",IF(CD189&gt;=p_GradeB,"B","C")),IF(AND(CI189=1,SUM(CE189:CH189)=0,CD189&gt;=p_GradeB),"B","C"))</f>
        <v>C</v>
      </c>
    </row>
    <row r="190" customFormat="false" ht="15" hidden="false" customHeight="false" outlineLevel="0" collapsed="false">
      <c r="A190" s="36" t="n">
        <v>45918</v>
      </c>
      <c r="B190" s="37" t="n">
        <v>23.63</v>
      </c>
      <c r="C190" s="37" t="n">
        <v>24.42</v>
      </c>
      <c r="D190" s="37" t="n">
        <v>23.33</v>
      </c>
      <c r="E190" s="37" t="n">
        <v>24.28</v>
      </c>
      <c r="F190" s="38" t="n">
        <v>5030400</v>
      </c>
      <c r="G190" s="39" t="n">
        <f aca="false">A190-WEEKDAY(A190,3)</f>
        <v>45915</v>
      </c>
      <c r="H190" s="40" t="n">
        <f aca="false">2/(p_EmaF+1)*E190+(1-2/(p_EmaF+1))*H189</f>
        <v>24.2994163134884</v>
      </c>
      <c r="I190" s="40" t="n">
        <f aca="false">2/(p_EmaS+1)*E190+(1-2/(p_EmaS+1))*I189</f>
        <v>24.0540104936402</v>
      </c>
      <c r="J190" s="41" t="n">
        <f aca="false">2/(p_MacdF+1)*E190+(1-2/(p_MacdF+1))*J189</f>
        <v>24.3109714991381</v>
      </c>
      <c r="K190" s="41" t="n">
        <f aca="false">2/(p_MacdS+1)*E190+(1-2/(p_MacdS+1))*K189</f>
        <v>24.0540104936402</v>
      </c>
      <c r="L190" s="41" t="n">
        <f aca="false">J190-K190</f>
        <v>0.256961005497836</v>
      </c>
      <c r="M190" s="41" t="n">
        <f aca="false">2/(p_MacdSig+1)*L190+(1-2/(p_MacdSig+1))*M189</f>
        <v>0.319222180397444</v>
      </c>
      <c r="N190" s="41" t="n">
        <f aca="false">L190-M190</f>
        <v>-0.0622611748996084</v>
      </c>
      <c r="O190" s="42" t="n">
        <f aca="false">IF(H190&gt;H189,1,0)</f>
        <v>0</v>
      </c>
      <c r="P190" s="42" t="n">
        <f aca="false">IF(H190&lt;H189,1,0)</f>
        <v>1</v>
      </c>
      <c r="Q190" s="42" t="n">
        <f aca="false">IF(N190&gt;N189,1,0)</f>
        <v>0</v>
      </c>
      <c r="R190" s="42" t="n">
        <f aca="false">IF(N190&lt;N189,1,0)</f>
        <v>1</v>
      </c>
      <c r="S190" s="42" t="n">
        <f aca="false">IF(AND(O190=1,Q190=1),1,IF(AND(P190=1,R190=1),-1,0))</f>
        <v>-1</v>
      </c>
      <c r="T190" s="43" t="str">
        <f aca="false">IF(S190=1,"绿",IF(S190=-1,"红","蓝"))</f>
        <v>红</v>
      </c>
      <c r="U190" s="44" t="n">
        <f aca="false">F190*(E190-E189)</f>
        <v>2414592</v>
      </c>
      <c r="V190" s="44" t="n">
        <f aca="false">2/(p_FiS+1)*U190+(1-2/(p_FiS+1))*V189</f>
        <v>555767.381960382</v>
      </c>
      <c r="W190" s="44" t="n">
        <f aca="false">2/(p_FiL+1)*U190+(1-2/(p_FiL+1))*W189</f>
        <v>-30563.3182978803</v>
      </c>
      <c r="X190" s="41" t="n">
        <f aca="false">MAX(C190-D190,ABS(C190-E189),ABS(D190-E189))</f>
        <v>1.09</v>
      </c>
      <c r="Y190" s="41" t="n">
        <f aca="true">AVERAGE(OFFSET(X190,1-MIN(p_AtrN,ROW()-4),0,MIN(p_AtrN,ROW()-4),1))</f>
        <v>0.754615384615385</v>
      </c>
      <c r="Z190" s="41" t="n">
        <f aca="false">IF(AND(C190-C189&gt;D189-D190,C190-C189&gt;0),C190-C189,0)</f>
        <v>0</v>
      </c>
      <c r="AA190" s="41" t="n">
        <f aca="false">IF(AND(D189-D190&gt;C190-C189,D189-D190&gt;0),D189-D190,0)</f>
        <v>0.180000000000003</v>
      </c>
      <c r="AB190" s="41" t="n">
        <f aca="false">2/(p_AdxN+1)*X190+(1-2/(p_AdxN+1))*AB189</f>
        <v>0.802536037462213</v>
      </c>
      <c r="AC190" s="41" t="n">
        <f aca="false">2/(p_AdxN+1)*Z190+(1-2/(p_AdxN+1))*AC189</f>
        <v>0.0766699351074608</v>
      </c>
      <c r="AD190" s="41" t="n">
        <f aca="false">2/(p_AdxN+1)*AA190+(1-2/(p_AdxN+1))*AD189</f>
        <v>0.192288055271851</v>
      </c>
      <c r="AE190" s="45" t="n">
        <f aca="false">100*AC190/AB190</f>
        <v>9.55345698243124</v>
      </c>
      <c r="AF190" s="45" t="n">
        <f aca="false">100*AD190/AB190</f>
        <v>23.9600524208116</v>
      </c>
      <c r="AG190" s="45" t="n">
        <f aca="false">IFERROR(100*ABS(AE190-AF190)/(AE190+AF190),0)</f>
        <v>42.9874271447871</v>
      </c>
      <c r="AH190" s="45" t="n">
        <f aca="false">2/(p_AdxN+1)*AG190+(1-2/(p_AdxN+1))*AH189</f>
        <v>27.3415544271526</v>
      </c>
      <c r="AI190" s="40" t="n">
        <f aca="false">I190*(1+p_ChPct)</f>
        <v>25.4972511232586</v>
      </c>
      <c r="AJ190" s="40" t="n">
        <f aca="false">I190*(1-p_ChPct)</f>
        <v>22.6107698640218</v>
      </c>
      <c r="AK190" s="40" t="n">
        <f aca="false">I190+1*Y190</f>
        <v>24.8086258782556</v>
      </c>
      <c r="AL190" s="40" t="n">
        <f aca="false">I190+2*Y190</f>
        <v>25.563241262871</v>
      </c>
      <c r="AM190" s="40" t="n">
        <f aca="false">I190+3*Y190</f>
        <v>26.3178566474864</v>
      </c>
      <c r="AN190" s="40" t="n">
        <f aca="false">I190-1*Y190</f>
        <v>23.2993951090248</v>
      </c>
      <c r="AO190" s="40" t="n">
        <f aca="false">I190-2*Y190</f>
        <v>22.5447797244094</v>
      </c>
      <c r="AP190" s="40" t="n">
        <f aca="false">I190-3*Y190</f>
        <v>21.7901643397941</v>
      </c>
      <c r="AQ190" s="40" t="n">
        <f aca="true">MAX(OFFSET(C190,1-MIN(p_StochN,ROW()-4),0,MIN(p_StochN,ROW()-4),1))</f>
        <v>25.15</v>
      </c>
      <c r="AR190" s="40" t="n">
        <f aca="true">MIN(OFFSET(D190,1-MIN(p_StochN,ROW()-4),0,MIN(p_StochN,ROW()-4),1))</f>
        <v>23.33</v>
      </c>
      <c r="AS190" s="45" t="n">
        <f aca="false">IF(AQ190=AR190,50,100*(E190-AR190)/(AQ190-AR190))</f>
        <v>52.1978021978023</v>
      </c>
      <c r="AT190" s="45" t="n">
        <f aca="true">AVERAGE(OFFSET(AS190,1-MIN(p_StochSm,ROW()-4),0,MIN(p_StochSm,ROW()-4),1))</f>
        <v>45.9693133038081</v>
      </c>
      <c r="AU190" s="45" t="n">
        <f aca="true">AVERAGE(OFFSET(AT190,1-MIN(p_StochSm,ROW()-4),0,MIN(p_StochSm,ROW()-4),1))</f>
        <v>58.9667397213818</v>
      </c>
      <c r="AV190" s="41" t="n">
        <f aca="false">MAX(0,H190-D190)</f>
        <v>0.969416313488431</v>
      </c>
      <c r="AW190" s="41" t="n">
        <f aca="true">IF(COUNTIF(OFFSET(AV190,1-MIN(p_PenLb,ROW()-4),0,MIN(p_PenLb,ROW()-4),1),"&gt;0")&gt;0,SUM(OFFSET(AV190,1-MIN(p_PenLb,ROW()-4),0,MIN(p_PenLb,ROW()-4),1))/COUNTIF(OFFSET(AV190,1-MIN(p_PenLb,ROW()-4),0,MIN(p_PenLb,ROW()-4),1),"&gt;0"),0.5*Y190)</f>
        <v>0.365293019974836</v>
      </c>
      <c r="AX190" s="41" t="n">
        <f aca="false">2*H190-H189</f>
        <v>24.2961802612404</v>
      </c>
      <c r="AY190" s="40" t="n">
        <f aca="false">ROUND(MAX(AX190-AW190,0.01),2)</f>
        <v>23.93</v>
      </c>
      <c r="AZ190" s="40" t="n">
        <f aca="true">IF(MIN(p_StopLb,ROW()-4)&lt;2,D190,SMALL(OFFSET(D190,1-MIN(p_StopLb,ROW()-4),0,MIN(p_StopLb,ROW()-4),1),2))</f>
        <v>23.49</v>
      </c>
      <c r="BA190" s="40" t="n">
        <f aca="false">IF(MOD(ROUND(ROUNDDOWN(MIN(AZ190-0.01,AY190-p_StopAtr*Y190),2)*100,0),50)=0,ROUNDDOWN(MIN(AZ190-0.01,AY190-p_StopAtr*Y190),2)-0.01,ROUNDDOWN(MIN(AZ190-0.01,AY190-p_StopAtr*Y190),2))</f>
        <v>23.17</v>
      </c>
      <c r="BB190" s="40" t="n">
        <f aca="false">ROUND(AI190,2)</f>
        <v>25.5</v>
      </c>
      <c r="BC190" s="40" t="n">
        <f aca="false">IF(AY190-BA190&gt;0,(BB190-AY190)/(AY190-BA190),0)</f>
        <v>2.06578947368422</v>
      </c>
      <c r="BD190" s="42" t="n">
        <f aca="false">IF(N190&lt;0,1,0)</f>
        <v>1</v>
      </c>
      <c r="BE190" s="41" t="n">
        <f aca="false">IF(AND(BD190=1,BD189=0),N190,IF(BD190=1,MIN(BE189,N190),BE189))</f>
        <v>-0.0622611748996084</v>
      </c>
      <c r="BF190" s="40" t="n">
        <f aca="false">IF(AND(BD190=1,BD189=0),D190,IF(BD190=1,MIN(BF189,D190),BF189))</f>
        <v>23.33</v>
      </c>
      <c r="BG190" s="42" t="n">
        <f aca="false">IF(AND(BD190=1,BD189=0),ROW(),IF(BD190=1,IF(N190&lt;BE189,ROW(),BG189),BG189))</f>
        <v>190</v>
      </c>
      <c r="BH190" s="41" t="n">
        <f aca="false">IF(AND(BD190=1,BD189=0),BE189,BH189)</f>
        <v>-0.149433863515745</v>
      </c>
      <c r="BI190" s="40" t="n">
        <f aca="false">IF(AND(BD190=1,BD189=0),BF189,BI189)</f>
        <v>23.49</v>
      </c>
      <c r="BJ190" s="42" t="n">
        <f aca="false">IF(AND(BD190=1,BD189=0),BG189,BJ189)</f>
        <v>179</v>
      </c>
      <c r="BK190" s="42" t="n">
        <f aca="false">IF(AND(ISNUMBER(BG190),ISNUMBER(BJ190)),BG190-BJ190,"")</f>
        <v>11</v>
      </c>
      <c r="BL190" s="42" t="n">
        <f aca="false">IF(AND(BD190=1,N190&gt;N189,ISNUMBER(BH190),ISNUMBER(BK190)),IF(AND(BE190&gt;BH190,BF190&lt;BI190,BK190&gt;=p_GapMin,BK190&lt;=p_GapMax),1,0),0)</f>
        <v>0</v>
      </c>
      <c r="BM190" s="42" t="n">
        <f aca="false">IF(AND(BL190=1,E190&gt;BI190),1,0)</f>
        <v>0</v>
      </c>
      <c r="BN190" s="42" t="n">
        <f aca="false">IF(BL190=1,IF(BE190&gt;=BH190*0.5,1,0),0)</f>
        <v>0</v>
      </c>
      <c r="BO190" s="42" t="n">
        <f aca="true">IF(V190&gt;MIN(OFFSET(V190,-MIN(p_FiLb-1,ROW()-5),0,MIN(p_FiLb-1,ROW()-5),1)),1,0)</f>
        <v>1</v>
      </c>
      <c r="BP190" s="44" t="n">
        <f aca="true">IF(COUNTIF(OFFSET(V190,1-MIN(100,ROW()-4),0,MIN(100,ROW()-4),1),"&lt;0")&gt;=5,AVERAGEIF(OFFSET(V190,1-MIN(100,ROW()-4),0,MIN(100,ROW()-4),1),"&lt;0"),"")</f>
        <v>-988689.146728344</v>
      </c>
      <c r="BQ190" s="42" t="n">
        <f aca="false">IF(ISNUMBER(BP190),IF(AND(V190&lt;5*BP190,V190&gt;V189,E190&lt;AJ190),1,0),0)</f>
        <v>0</v>
      </c>
      <c r="BR190" s="44" t="n">
        <f aca="true">AVERAGE(OFFSET(F190,1-MIN(5,ROW()-4),0,MIN(5,ROW()-4),1))</f>
        <v>3963820</v>
      </c>
      <c r="BS190" s="42" t="n">
        <f aca="false">IFERROR(IF(MATCH(G190,周线!$A$5:$A$84,0)&lt;=1,"",INDEX(周线!$R$5:$R$84,MATCH(G190,周线!$A$5:$A$84,0)-1)),"")</f>
        <v>1</v>
      </c>
      <c r="BT190" s="42" t="n">
        <f aca="false">IFERROR(IF(MATCH(G190,周线!$A$5:$A$84,0)&lt;=1,"",INDEX(周线!$S$5:$S$84,MATCH(G190,周线!$A$5:$A$84,0)-1)),"")</f>
        <v>1</v>
      </c>
      <c r="BU190" s="42" t="n">
        <f aca="false">IFERROR(IF(MATCH(G190,周线!$A$5:$A$84,0)&lt;=1,"",INDEX(周线!$U$5:$U$84,MATCH(G190,周线!$A$5:$A$84,0)-1)),"")</f>
        <v>1</v>
      </c>
      <c r="BV190" s="42" t="n">
        <f aca="false">IF(AND(BS190=1,S190&lt;&gt;-1,V190&lt;0,BO190=1,E190&lt;=H190,E190&gt;=AJ190),1,0)</f>
        <v>0</v>
      </c>
      <c r="BW190" s="42" t="n">
        <f aca="false">BL190</f>
        <v>0</v>
      </c>
      <c r="BX190" s="42" t="n">
        <f aca="false">BQ190</f>
        <v>0</v>
      </c>
      <c r="BY190" s="42" t="n">
        <f aca="false">IF(BS190=1,10,0)+IF(BU190=1,5,IF(BU190=-1,0,3))+IF(BT190=1,5,0)+IF(AND(AE190&gt;AF190,AH190&gt;AH189),5,0)</f>
        <v>20</v>
      </c>
      <c r="BZ190" s="42" t="n">
        <f aca="false">IF(AND(E190&lt;=H190,E190&gt;=I190),10,IF(AND(E190&gt;=AJ190,E190&lt;I190),6,0))+IF(AND(V190&lt;0,BO190=1),8,0)+IF(AT190&lt;30,7,IF(AT190&lt;50,3,0))</f>
        <v>13</v>
      </c>
      <c r="CA190" s="42" t="n">
        <f aca="false">IF(AND(BV190=1,BW190=1),25,IF(BW190=1,22,IF(BV190=1,15,IF(BX190=1,12,0))))</f>
        <v>0</v>
      </c>
      <c r="CB190" s="42" t="n">
        <f aca="false">IF(W190&gt;0,6,0)+IF(F190&lt;BR190,4,0)</f>
        <v>0</v>
      </c>
      <c r="CC190" s="42" t="n">
        <f aca="false">IF(BC190&gt;=3,15,IF(BC190&gt;=p_RRmin,10,IF(BC190&gt;=1.5,4,0)))</f>
        <v>10</v>
      </c>
      <c r="CD190" s="42" t="n">
        <f aca="false">BY190+BZ190+CA190+CB190+CC190</f>
        <v>43</v>
      </c>
      <c r="CE190" s="42" t="n">
        <f aca="false">IF(AND(BS190&lt;&gt;1,BW190+BX190=0),1,0)</f>
        <v>0</v>
      </c>
      <c r="CF190" s="42" t="n">
        <f aca="false">IF(BU190=-1,1,0)</f>
        <v>0</v>
      </c>
      <c r="CG190" s="42" t="n">
        <f aca="false">IF(S190=-1,1,0)</f>
        <v>1</v>
      </c>
      <c r="CH190" s="42" t="n">
        <f aca="false">IF(BV190+BW190+BX190=0,1,0)</f>
        <v>1</v>
      </c>
      <c r="CI190" s="42" t="n">
        <f aca="false">IF(BC190&lt;p_RRmin,1,0)</f>
        <v>0</v>
      </c>
      <c r="CJ190" s="46" t="str">
        <f aca="false">IF(SUM(CE190:CI190)=0,IF(CD190&gt;=p_GradeA,"A",IF(CD190&gt;=p_GradeB,"B","C")),IF(AND(CI190=1,SUM(CE190:CH190)=0,CD190&gt;=p_GradeB),"B","C"))</f>
        <v>C</v>
      </c>
    </row>
    <row r="191" customFormat="false" ht="15" hidden="false" customHeight="false" outlineLevel="0" collapsed="false">
      <c r="A191" s="36" t="n">
        <v>45919</v>
      </c>
      <c r="B191" s="37" t="n">
        <v>24.21</v>
      </c>
      <c r="C191" s="37" t="n">
        <v>24.96</v>
      </c>
      <c r="D191" s="37" t="n">
        <v>23.96</v>
      </c>
      <c r="E191" s="37" t="n">
        <v>24.8</v>
      </c>
      <c r="F191" s="38" t="n">
        <v>4857800</v>
      </c>
      <c r="G191" s="39" t="n">
        <f aca="false">A191-WEEKDAY(A191,3)</f>
        <v>45915</v>
      </c>
      <c r="H191" s="40" t="n">
        <f aca="false">2/(p_EmaF+1)*E191+(1-2/(p_EmaF+1))*H190</f>
        <v>24.3709282687044</v>
      </c>
      <c r="I191" s="40" t="n">
        <f aca="false">2/(p_EmaS+1)*E191+(1-2/(p_EmaS+1))*I190</f>
        <v>24.1092689755928</v>
      </c>
      <c r="J191" s="41" t="n">
        <f aca="false">2/(p_MacdF+1)*E191+(1-2/(p_MacdF+1))*J190</f>
        <v>24.3862066531168</v>
      </c>
      <c r="K191" s="41" t="n">
        <f aca="false">2/(p_MacdS+1)*E191+(1-2/(p_MacdS+1))*K190</f>
        <v>24.1092689755928</v>
      </c>
      <c r="L191" s="41" t="n">
        <f aca="false">J191-K191</f>
        <v>0.276937677524021</v>
      </c>
      <c r="M191" s="41" t="n">
        <f aca="false">2/(p_MacdSig+1)*L191+(1-2/(p_MacdSig+1))*M190</f>
        <v>0.310765279822759</v>
      </c>
      <c r="N191" s="41" t="n">
        <f aca="false">L191-M191</f>
        <v>-0.0338276022987383</v>
      </c>
      <c r="O191" s="42" t="n">
        <f aca="false">IF(H191&gt;H190,1,0)</f>
        <v>1</v>
      </c>
      <c r="P191" s="42" t="n">
        <f aca="false">IF(H191&lt;H190,1,0)</f>
        <v>0</v>
      </c>
      <c r="Q191" s="42" t="n">
        <f aca="false">IF(N191&gt;N190,1,0)</f>
        <v>1</v>
      </c>
      <c r="R191" s="42" t="n">
        <f aca="false">IF(N191&lt;N190,1,0)</f>
        <v>0</v>
      </c>
      <c r="S191" s="42" t="n">
        <f aca="false">IF(AND(O191=1,Q191=1),1,IF(AND(P191=1,R191=1),-1,0))</f>
        <v>1</v>
      </c>
      <c r="T191" s="43" t="str">
        <f aca="false">IF(S191=1,"绿",IF(S191=-1,"红","蓝"))</f>
        <v>绿</v>
      </c>
      <c r="U191" s="44" t="n">
        <f aca="false">F191*(E191-E190)</f>
        <v>2526056</v>
      </c>
      <c r="V191" s="44" t="n">
        <f aca="false">2/(p_FiS+1)*U191+(1-2/(p_FiS+1))*V190</f>
        <v>1869293.12732013</v>
      </c>
      <c r="W191" s="44" t="n">
        <f aca="false">2/(p_FiL+1)*U191+(1-2/(p_FiL+1))*W190</f>
        <v>334668.012887531</v>
      </c>
      <c r="X191" s="41" t="n">
        <f aca="false">MAX(C191-D191,ABS(C191-E190),ABS(D191-E190))</f>
        <v>1</v>
      </c>
      <c r="Y191" s="41" t="n">
        <f aca="true">AVERAGE(OFFSET(X191,1-MIN(p_AtrN,ROW()-4),0,MIN(p_AtrN,ROW()-4),1))</f>
        <v>0.774615384615385</v>
      </c>
      <c r="Z191" s="41" t="n">
        <f aca="false">IF(AND(C191-C190&gt;D190-D191,C191-C190&gt;0),C191-C190,0)</f>
        <v>0.539999999999999</v>
      </c>
      <c r="AA191" s="41" t="n">
        <f aca="false">IF(AND(D190-D191&gt;C191-C190,D190-D191&gt;0),D190-D191,0)</f>
        <v>0</v>
      </c>
      <c r="AB191" s="41" t="n">
        <f aca="false">2/(p_AdxN+1)*X191+(1-2/(p_AdxN+1))*AB190</f>
        <v>0.830745174967611</v>
      </c>
      <c r="AC191" s="41" t="n">
        <f aca="false">2/(p_AdxN+1)*Z191+(1-2/(p_AdxN+1))*AC190</f>
        <v>0.142859944377823</v>
      </c>
      <c r="AD191" s="41" t="n">
        <f aca="false">2/(p_AdxN+1)*AA191+(1-2/(p_AdxN+1))*AD190</f>
        <v>0.164818333090158</v>
      </c>
      <c r="AE191" s="45" t="n">
        <f aca="false">100*AC191/AB191</f>
        <v>17.196602361656</v>
      </c>
      <c r="AF191" s="45" t="n">
        <f aca="false">100*AD191/AB191</f>
        <v>19.8398182808084</v>
      </c>
      <c r="AG191" s="45" t="n">
        <f aca="false">IFERROR(100*ABS(AE191-AF191)/(AE191+AF191),0)</f>
        <v>7.13680175702995</v>
      </c>
      <c r="AH191" s="45" t="n">
        <f aca="false">2/(p_AdxN+1)*AG191+(1-2/(p_AdxN+1))*AH190</f>
        <v>24.4551611885636</v>
      </c>
      <c r="AI191" s="40" t="n">
        <f aca="false">I191*(1+p_ChPct)</f>
        <v>25.5558251141284</v>
      </c>
      <c r="AJ191" s="40" t="n">
        <f aca="false">I191*(1-p_ChPct)</f>
        <v>22.6627128370572</v>
      </c>
      <c r="AK191" s="40" t="n">
        <f aca="false">I191+1*Y191</f>
        <v>24.8838843602082</v>
      </c>
      <c r="AL191" s="40" t="n">
        <f aca="false">I191+2*Y191</f>
        <v>25.6584997448236</v>
      </c>
      <c r="AM191" s="40" t="n">
        <f aca="false">I191+3*Y191</f>
        <v>26.4331151294389</v>
      </c>
      <c r="AN191" s="40" t="n">
        <f aca="false">I191-1*Y191</f>
        <v>23.3346535909774</v>
      </c>
      <c r="AO191" s="40" t="n">
        <f aca="false">I191-2*Y191</f>
        <v>22.560038206362</v>
      </c>
      <c r="AP191" s="40" t="n">
        <f aca="false">I191-3*Y191</f>
        <v>21.7854228217466</v>
      </c>
      <c r="AQ191" s="40" t="n">
        <f aca="true">MAX(OFFSET(C191,1-MIN(p_StochN,ROW()-4),0,MIN(p_StochN,ROW()-4),1))</f>
        <v>25.15</v>
      </c>
      <c r="AR191" s="40" t="n">
        <f aca="true">MIN(OFFSET(D191,1-MIN(p_StochN,ROW()-4),0,MIN(p_StochN,ROW()-4),1))</f>
        <v>23.33</v>
      </c>
      <c r="AS191" s="45" t="n">
        <f aca="false">IF(AQ191=AR191,50,100*(E191-AR191)/(AQ191-AR191))</f>
        <v>80.7692307692309</v>
      </c>
      <c r="AT191" s="45" t="n">
        <f aca="true">AVERAGE(OFFSET(AS191,1-MIN(p_StochSm,ROW()-4),0,MIN(p_StochSm,ROW()-4),1))</f>
        <v>50.2166532654338</v>
      </c>
      <c r="AU191" s="45" t="n">
        <f aca="true">AVERAGE(OFFSET(AT191,1-MIN(p_StochSm,ROW()-4),0,MIN(p_StochSm,ROW()-4),1))</f>
        <v>51.0335612251989</v>
      </c>
      <c r="AV191" s="41" t="n">
        <f aca="false">MAX(0,H191-D191)</f>
        <v>0.410928268704367</v>
      </c>
      <c r="AW191" s="41" t="n">
        <f aca="true">IF(COUNTIF(OFFSET(AV191,1-MIN(p_PenLb,ROW()-4),0,MIN(p_PenLb,ROW()-4),1),"&gt;0")&gt;0,SUM(OFFSET(AV191,1-MIN(p_PenLb,ROW()-4),0,MIN(p_PenLb,ROW()-4),1))/COUNTIF(OFFSET(AV191,1-MIN(p_PenLb,ROW()-4),0,MIN(p_PenLb,ROW()-4),1),"&gt;0"),0.5*Y191)</f>
        <v>0.367977446370691</v>
      </c>
      <c r="AX191" s="41" t="n">
        <f aca="false">2*H191-H190</f>
        <v>24.4424402239203</v>
      </c>
      <c r="AY191" s="40" t="n">
        <f aca="false">ROUND(MAX(AX191-AW191,0.01),2)</f>
        <v>24.07</v>
      </c>
      <c r="AZ191" s="40" t="n">
        <f aca="true">IF(MIN(p_StopLb,ROW()-4)&lt;2,D191,SMALL(OFFSET(D191,1-MIN(p_StopLb,ROW()-4),0,MIN(p_StopLb,ROW()-4),1),2))</f>
        <v>23.49</v>
      </c>
      <c r="BA191" s="40" t="n">
        <f aca="false">IF(MOD(ROUND(ROUNDDOWN(MIN(AZ191-0.01,AY191-p_StopAtr*Y191),2)*100,0),50)=0,ROUNDDOWN(MIN(AZ191-0.01,AY191-p_StopAtr*Y191),2)-0.01,ROUNDDOWN(MIN(AZ191-0.01,AY191-p_StopAtr*Y191),2))</f>
        <v>23.29</v>
      </c>
      <c r="BB191" s="40" t="n">
        <f aca="false">ROUND(AI191,2)</f>
        <v>25.56</v>
      </c>
      <c r="BC191" s="40" t="n">
        <f aca="false">IF(AY191-BA191&gt;0,(BB191-AY191)/(AY191-BA191),0)</f>
        <v>1.91025641025641</v>
      </c>
      <c r="BD191" s="42" t="n">
        <f aca="false">IF(N191&lt;0,1,0)</f>
        <v>1</v>
      </c>
      <c r="BE191" s="41" t="n">
        <f aca="false">IF(AND(BD191=1,BD190=0),N191,IF(BD191=1,MIN(BE190,N191),BE190))</f>
        <v>-0.0622611748996084</v>
      </c>
      <c r="BF191" s="40" t="n">
        <f aca="false">IF(AND(BD191=1,BD190=0),D191,IF(BD191=1,MIN(BF190,D191),BF190))</f>
        <v>23.33</v>
      </c>
      <c r="BG191" s="42" t="n">
        <f aca="false">IF(AND(BD191=1,BD190=0),ROW(),IF(BD191=1,IF(N191&lt;BE190,ROW(),BG190),BG190))</f>
        <v>190</v>
      </c>
      <c r="BH191" s="41" t="n">
        <f aca="false">IF(AND(BD191=1,BD190=0),BE190,BH190)</f>
        <v>-0.149433863515745</v>
      </c>
      <c r="BI191" s="40" t="n">
        <f aca="false">IF(AND(BD191=1,BD190=0),BF190,BI190)</f>
        <v>23.49</v>
      </c>
      <c r="BJ191" s="42" t="n">
        <f aca="false">IF(AND(BD191=1,BD190=0),BG190,BJ190)</f>
        <v>179</v>
      </c>
      <c r="BK191" s="42" t="n">
        <f aca="false">IF(AND(ISNUMBER(BG191),ISNUMBER(BJ191)),BG191-BJ191,"")</f>
        <v>11</v>
      </c>
      <c r="BL191" s="42" t="n">
        <f aca="false">IF(AND(BD191=1,N191&gt;N190,ISNUMBER(BH191),ISNUMBER(BK191)),IF(AND(BE191&gt;BH191,BF191&lt;BI191,BK191&gt;=p_GapMin,BK191&lt;=p_GapMax),1,0),0)</f>
        <v>1</v>
      </c>
      <c r="BM191" s="42" t="n">
        <f aca="false">IF(AND(BL191=1,E191&gt;BI191),1,0)</f>
        <v>1</v>
      </c>
      <c r="BN191" s="42" t="n">
        <f aca="false">IF(BL191=1,IF(BE191&gt;=BH191*0.5,1,0),0)</f>
        <v>1</v>
      </c>
      <c r="BO191" s="42" t="n">
        <f aca="true">IF(V191&gt;MIN(OFFSET(V191,-MIN(p_FiLb-1,ROW()-5),0,MIN(p_FiLb-1,ROW()-5),1)),1,0)</f>
        <v>1</v>
      </c>
      <c r="BP191" s="44" t="n">
        <f aca="true">IF(COUNTIF(OFFSET(V191,1-MIN(100,ROW()-4),0,MIN(100,ROW()-4),1),"&lt;0")&gt;=5,AVERAGEIF(OFFSET(V191,1-MIN(100,ROW()-4),0,MIN(100,ROW()-4),1),"&lt;0"),"")</f>
        <v>-1005943.26346079</v>
      </c>
      <c r="BQ191" s="42" t="n">
        <f aca="false">IF(ISNUMBER(BP191),IF(AND(V191&lt;5*BP191,V191&gt;V190,E191&lt;AJ191),1,0),0)</f>
        <v>0</v>
      </c>
      <c r="BR191" s="44" t="n">
        <f aca="true">AVERAGE(OFFSET(F191,1-MIN(5,ROW()-4),0,MIN(5,ROW()-4),1))</f>
        <v>4311900</v>
      </c>
      <c r="BS191" s="42" t="n">
        <f aca="false">IFERROR(IF(MATCH(G191,周线!$A$5:$A$84,0)&lt;=1,"",INDEX(周线!$R$5:$R$84,MATCH(G191,周线!$A$5:$A$84,0)-1)),"")</f>
        <v>1</v>
      </c>
      <c r="BT191" s="42" t="n">
        <f aca="false">IFERROR(IF(MATCH(G191,周线!$A$5:$A$84,0)&lt;=1,"",INDEX(周线!$S$5:$S$84,MATCH(G191,周线!$A$5:$A$84,0)-1)),"")</f>
        <v>1</v>
      </c>
      <c r="BU191" s="42" t="n">
        <f aca="false">IFERROR(IF(MATCH(G191,周线!$A$5:$A$84,0)&lt;=1,"",INDEX(周线!$U$5:$U$84,MATCH(G191,周线!$A$5:$A$84,0)-1)),"")</f>
        <v>1</v>
      </c>
      <c r="BV191" s="42" t="n">
        <f aca="false">IF(AND(BS191=1,S191&lt;&gt;-1,V191&lt;0,BO191=1,E191&lt;=H191,E191&gt;=AJ191),1,0)</f>
        <v>0</v>
      </c>
      <c r="BW191" s="42" t="n">
        <f aca="false">BL191</f>
        <v>1</v>
      </c>
      <c r="BX191" s="42" t="n">
        <f aca="false">BQ191</f>
        <v>0</v>
      </c>
      <c r="BY191" s="42" t="n">
        <f aca="false">IF(BS191=1,10,0)+IF(BU191=1,5,IF(BU191=-1,0,3))+IF(BT191=1,5,0)+IF(AND(AE191&gt;AF191,AH191&gt;AH190),5,0)</f>
        <v>20</v>
      </c>
      <c r="BZ191" s="42" t="n">
        <f aca="false">IF(AND(E191&lt;=H191,E191&gt;=I191),10,IF(AND(E191&gt;=AJ191,E191&lt;I191),6,0))+IF(AND(V191&lt;0,BO191=1),8,0)+IF(AT191&lt;30,7,IF(AT191&lt;50,3,0))</f>
        <v>0</v>
      </c>
      <c r="CA191" s="42" t="n">
        <f aca="false">IF(AND(BV191=1,BW191=1),25,IF(BW191=1,22,IF(BV191=1,15,IF(BX191=1,12,0))))</f>
        <v>22</v>
      </c>
      <c r="CB191" s="42" t="n">
        <f aca="false">IF(W191&gt;0,6,0)+IF(F191&lt;BR191,4,0)</f>
        <v>6</v>
      </c>
      <c r="CC191" s="42" t="n">
        <f aca="false">IF(BC191&gt;=3,15,IF(BC191&gt;=p_RRmin,10,IF(BC191&gt;=1.5,4,0)))</f>
        <v>4</v>
      </c>
      <c r="CD191" s="42" t="n">
        <f aca="false">BY191+BZ191+CA191+CB191+CC191</f>
        <v>52</v>
      </c>
      <c r="CE191" s="42" t="n">
        <f aca="false">IF(AND(BS191&lt;&gt;1,BW191+BX191=0),1,0)</f>
        <v>0</v>
      </c>
      <c r="CF191" s="42" t="n">
        <f aca="false">IF(BU191=-1,1,0)</f>
        <v>0</v>
      </c>
      <c r="CG191" s="42" t="n">
        <f aca="false">IF(S191=-1,1,0)</f>
        <v>0</v>
      </c>
      <c r="CH191" s="42" t="n">
        <f aca="false">IF(BV191+BW191+BX191=0,1,0)</f>
        <v>0</v>
      </c>
      <c r="CI191" s="42" t="n">
        <f aca="false">IF(BC191&lt;p_RRmin,1,0)</f>
        <v>1</v>
      </c>
      <c r="CJ191" s="46" t="str">
        <f aca="false">IF(SUM(CE191:CI191)=0,IF(CD191&gt;=p_GradeA,"A",IF(CD191&gt;=p_GradeB,"B","C")),IF(AND(CI191=1,SUM(CE191:CH191)=0,CD191&gt;=p_GradeB),"B","C"))</f>
        <v>C</v>
      </c>
    </row>
    <row r="192" customFormat="false" ht="15" hidden="false" customHeight="false" outlineLevel="0" collapsed="false">
      <c r="A192" s="36" t="n">
        <v>45922</v>
      </c>
      <c r="B192" s="37" t="n">
        <v>24.95</v>
      </c>
      <c r="C192" s="37" t="n">
        <v>25.16</v>
      </c>
      <c r="D192" s="37" t="n">
        <v>24.78</v>
      </c>
      <c r="E192" s="37" t="n">
        <v>25.06</v>
      </c>
      <c r="F192" s="38" t="n">
        <v>4158600</v>
      </c>
      <c r="G192" s="39" t="n">
        <f aca="false">A192-WEEKDAY(A192,3)</f>
        <v>45922</v>
      </c>
      <c r="H192" s="40" t="n">
        <f aca="false">2/(p_EmaF+1)*E192+(1-2/(p_EmaF+1))*H191</f>
        <v>24.4693670874609</v>
      </c>
      <c r="I192" s="40" t="n">
        <f aca="false">2/(p_EmaS+1)*E192+(1-2/(p_EmaS+1))*I191</f>
        <v>24.1796934959193</v>
      </c>
      <c r="J192" s="41" t="n">
        <f aca="false">2/(p_MacdF+1)*E192+(1-2/(p_MacdF+1))*J191</f>
        <v>24.4898671680219</v>
      </c>
      <c r="K192" s="41" t="n">
        <f aca="false">2/(p_MacdS+1)*E192+(1-2/(p_MacdS+1))*K191</f>
        <v>24.1796934959193</v>
      </c>
      <c r="L192" s="41" t="n">
        <f aca="false">J192-K192</f>
        <v>0.310173672102668</v>
      </c>
      <c r="M192" s="41" t="n">
        <f aca="false">2/(p_MacdSig+1)*L192+(1-2/(p_MacdSig+1))*M191</f>
        <v>0.310646958278741</v>
      </c>
      <c r="N192" s="41" t="n">
        <f aca="false">L192-M192</f>
        <v>-0.000473286176073506</v>
      </c>
      <c r="O192" s="42" t="n">
        <f aca="false">IF(H192&gt;H191,1,0)</f>
        <v>1</v>
      </c>
      <c r="P192" s="42" t="n">
        <f aca="false">IF(H192&lt;H191,1,0)</f>
        <v>0</v>
      </c>
      <c r="Q192" s="42" t="n">
        <f aca="false">IF(N192&gt;N191,1,0)</f>
        <v>1</v>
      </c>
      <c r="R192" s="42" t="n">
        <f aca="false">IF(N192&lt;N191,1,0)</f>
        <v>0</v>
      </c>
      <c r="S192" s="42" t="n">
        <f aca="false">IF(AND(O192=1,Q192=1),1,IF(AND(P192=1,R192=1),-1,0))</f>
        <v>1</v>
      </c>
      <c r="T192" s="43" t="str">
        <f aca="false">IF(S192=1,"绿",IF(S192=-1,"红","蓝"))</f>
        <v>绿</v>
      </c>
      <c r="U192" s="44" t="n">
        <f aca="false">F192*(E192-E191)</f>
        <v>1081235.99999999</v>
      </c>
      <c r="V192" s="44" t="n">
        <f aca="false">2/(p_FiS+1)*U192+(1-2/(p_FiS+1))*V191</f>
        <v>1343921.7091067</v>
      </c>
      <c r="W192" s="44" t="n">
        <f aca="false">2/(p_FiL+1)*U192+(1-2/(p_FiL+1))*W191</f>
        <v>441320.582475025</v>
      </c>
      <c r="X192" s="41" t="n">
        <f aca="false">MAX(C192-D192,ABS(C192-E191),ABS(D192-E191))</f>
        <v>0.379999999999999</v>
      </c>
      <c r="Y192" s="41" t="n">
        <f aca="true">AVERAGE(OFFSET(X192,1-MIN(p_AtrN,ROW()-4),0,MIN(p_AtrN,ROW()-4),1))</f>
        <v>0.770769230769231</v>
      </c>
      <c r="Z192" s="41" t="n">
        <f aca="false">IF(AND(C192-C191&gt;D191-D192,C192-C191&gt;0),C192-C191,0)</f>
        <v>0.199999999999999</v>
      </c>
      <c r="AA192" s="41" t="n">
        <f aca="false">IF(AND(D191-D192&gt;C192-C191,D191-D192&gt;0),D191-D192,0)</f>
        <v>0</v>
      </c>
      <c r="AB192" s="41" t="n">
        <f aca="false">2/(p_AdxN+1)*X192+(1-2/(p_AdxN+1))*AB191</f>
        <v>0.766353007115095</v>
      </c>
      <c r="AC192" s="41" t="n">
        <f aca="false">2/(p_AdxN+1)*Z192+(1-2/(p_AdxN+1))*AC191</f>
        <v>0.151022809466706</v>
      </c>
      <c r="AD192" s="41" t="n">
        <f aca="false">2/(p_AdxN+1)*AA192+(1-2/(p_AdxN+1))*AD191</f>
        <v>0.141272856934421</v>
      </c>
      <c r="AE192" s="45" t="n">
        <f aca="false">100*AC192/AB192</f>
        <v>19.7066897453988</v>
      </c>
      <c r="AF192" s="45" t="n">
        <f aca="false">100*AD192/AB192</f>
        <v>18.4344363006073</v>
      </c>
      <c r="AG192" s="45" t="n">
        <f aca="false">IFERROR(100*ABS(AE192-AF192)/(AE192+AF192),0)</f>
        <v>3.33564730956517</v>
      </c>
      <c r="AH192" s="45" t="n">
        <f aca="false">2/(p_AdxN+1)*AG192+(1-2/(p_AdxN+1))*AH191</f>
        <v>21.4380877772782</v>
      </c>
      <c r="AI192" s="40" t="n">
        <f aca="false">I192*(1+p_ChPct)</f>
        <v>25.6304751056744</v>
      </c>
      <c r="AJ192" s="40" t="n">
        <f aca="false">I192*(1-p_ChPct)</f>
        <v>22.7289118861641</v>
      </c>
      <c r="AK192" s="40" t="n">
        <f aca="false">I192+1*Y192</f>
        <v>24.9504627266885</v>
      </c>
      <c r="AL192" s="40" t="n">
        <f aca="false">I192+2*Y192</f>
        <v>25.7212319574577</v>
      </c>
      <c r="AM192" s="40" t="n">
        <f aca="false">I192+3*Y192</f>
        <v>26.4920011882269</v>
      </c>
      <c r="AN192" s="40" t="n">
        <f aca="false">I192-1*Y192</f>
        <v>23.40892426515</v>
      </c>
      <c r="AO192" s="40" t="n">
        <f aca="false">I192-2*Y192</f>
        <v>22.6381550343808</v>
      </c>
      <c r="AP192" s="40" t="n">
        <f aca="false">I192-3*Y192</f>
        <v>21.8673858036116</v>
      </c>
      <c r="AQ192" s="40" t="n">
        <f aca="true">MAX(OFFSET(C192,1-MIN(p_StochN,ROW()-4),0,MIN(p_StochN,ROW()-4),1))</f>
        <v>25.16</v>
      </c>
      <c r="AR192" s="40" t="n">
        <f aca="true">MIN(OFFSET(D192,1-MIN(p_StochN,ROW()-4),0,MIN(p_StochN,ROW()-4),1))</f>
        <v>23.33</v>
      </c>
      <c r="AS192" s="45" t="n">
        <f aca="false">IF(AQ192=AR192,50,100*(E192-AR192)/(AQ192-AR192))</f>
        <v>94.535519125683</v>
      </c>
      <c r="AT192" s="45" t="n">
        <f aca="true">AVERAGE(OFFSET(AS192,1-MIN(p_StochSm,ROW()-4),0,MIN(p_StochSm,ROW()-4),1))</f>
        <v>75.8341840309054</v>
      </c>
      <c r="AU192" s="45" t="n">
        <f aca="true">AVERAGE(OFFSET(AT192,1-MIN(p_StochSm,ROW()-4),0,MIN(p_StochSm,ROW()-4),1))</f>
        <v>57.3400502000491</v>
      </c>
      <c r="AV192" s="41" t="n">
        <f aca="false">MAX(0,H192-D192)</f>
        <v>0</v>
      </c>
      <c r="AW192" s="41" t="n">
        <f aca="true">IF(COUNTIF(OFFSET(AV192,1-MIN(p_PenLb,ROW()-4),0,MIN(p_PenLb,ROW()-4),1),"&gt;0")&gt;0,SUM(OFFSET(AV192,1-MIN(p_PenLb,ROW()-4),0,MIN(p_PenLb,ROW()-4),1))/COUNTIF(OFFSET(AV192,1-MIN(p_PenLb,ROW()-4),0,MIN(p_PenLb,ROW()-4),1),"&gt;0"),0.5*Y192)</f>
        <v>0.367977446370691</v>
      </c>
      <c r="AX192" s="41" t="n">
        <f aca="false">2*H192-H191</f>
        <v>24.5678059062174</v>
      </c>
      <c r="AY192" s="40" t="n">
        <f aca="false">ROUND(MAX(AX192-AW192,0.01),2)</f>
        <v>24.2</v>
      </c>
      <c r="AZ192" s="40" t="n">
        <f aca="true">IF(MIN(p_StopLb,ROW()-4)&lt;2,D192,SMALL(OFFSET(D192,1-MIN(p_StopLb,ROW()-4),0,MIN(p_StopLb,ROW()-4),1),2))</f>
        <v>23.51</v>
      </c>
      <c r="BA192" s="40" t="n">
        <f aca="false">IF(MOD(ROUND(ROUNDDOWN(MIN(AZ192-0.01,AY192-p_StopAtr*Y192),2)*100,0),50)=0,ROUNDDOWN(MIN(AZ192-0.01,AY192-p_StopAtr*Y192),2)-0.01,ROUNDDOWN(MIN(AZ192-0.01,AY192-p_StopAtr*Y192),2))</f>
        <v>23.42</v>
      </c>
      <c r="BB192" s="40" t="n">
        <f aca="false">ROUND(AI192,2)</f>
        <v>25.63</v>
      </c>
      <c r="BC192" s="40" t="n">
        <f aca="false">IF(AY192-BA192&gt;0,(BB192-AY192)/(AY192-BA192),0)</f>
        <v>1.83333333333334</v>
      </c>
      <c r="BD192" s="42" t="n">
        <f aca="false">IF(N192&lt;0,1,0)</f>
        <v>1</v>
      </c>
      <c r="BE192" s="41" t="n">
        <f aca="false">IF(AND(BD192=1,BD191=0),N192,IF(BD192=1,MIN(BE191,N192),BE191))</f>
        <v>-0.0622611748996084</v>
      </c>
      <c r="BF192" s="40" t="n">
        <f aca="false">IF(AND(BD192=1,BD191=0),D192,IF(BD192=1,MIN(BF191,D192),BF191))</f>
        <v>23.33</v>
      </c>
      <c r="BG192" s="42" t="n">
        <f aca="false">IF(AND(BD192=1,BD191=0),ROW(),IF(BD192=1,IF(N192&lt;BE191,ROW(),BG191),BG191))</f>
        <v>190</v>
      </c>
      <c r="BH192" s="41" t="n">
        <f aca="false">IF(AND(BD192=1,BD191=0),BE191,BH191)</f>
        <v>-0.149433863515745</v>
      </c>
      <c r="BI192" s="40" t="n">
        <f aca="false">IF(AND(BD192=1,BD191=0),BF191,BI191)</f>
        <v>23.49</v>
      </c>
      <c r="BJ192" s="42" t="n">
        <f aca="false">IF(AND(BD192=1,BD191=0),BG191,BJ191)</f>
        <v>179</v>
      </c>
      <c r="BK192" s="42" t="n">
        <f aca="false">IF(AND(ISNUMBER(BG192),ISNUMBER(BJ192)),BG192-BJ192,"")</f>
        <v>11</v>
      </c>
      <c r="BL192" s="42" t="n">
        <f aca="false">IF(AND(BD192=1,N192&gt;N191,ISNUMBER(BH192),ISNUMBER(BK192)),IF(AND(BE192&gt;BH192,BF192&lt;BI192,BK192&gt;=p_GapMin,BK192&lt;=p_GapMax),1,0),0)</f>
        <v>1</v>
      </c>
      <c r="BM192" s="42" t="n">
        <f aca="false">IF(AND(BL192=1,E192&gt;BI192),1,0)</f>
        <v>1</v>
      </c>
      <c r="BN192" s="42" t="n">
        <f aca="false">IF(BL192=1,IF(BE192&gt;=BH192*0.5,1,0),0)</f>
        <v>1</v>
      </c>
      <c r="BO192" s="42" t="n">
        <f aca="true">IF(V192&gt;MIN(OFFSET(V192,-MIN(p_FiLb-1,ROW()-5),0,MIN(p_FiLb-1,ROW()-5),1)),1,0)</f>
        <v>1</v>
      </c>
      <c r="BP192" s="44" t="n">
        <f aca="true">IF(COUNTIF(OFFSET(V192,1-MIN(100,ROW()-4),0,MIN(100,ROW()-4),1),"&lt;0")&gt;=5,AVERAGEIF(OFFSET(V192,1-MIN(100,ROW()-4),0,MIN(100,ROW()-4),1),"&lt;0"),"")</f>
        <v>-984593.210429849</v>
      </c>
      <c r="BQ192" s="42" t="n">
        <f aca="false">IF(ISNUMBER(BP192),IF(AND(V192&lt;5*BP192,V192&gt;V191,E192&lt;AJ192),1,0),0)</f>
        <v>0</v>
      </c>
      <c r="BR192" s="44" t="n">
        <f aca="true">AVERAGE(OFFSET(F192,1-MIN(5,ROW()-4),0,MIN(5,ROW()-4),1))</f>
        <v>4496000</v>
      </c>
      <c r="BS192" s="42" t="n">
        <f aca="false">IFERROR(IF(MATCH(G192,周线!$A$5:$A$84,0)&lt;=1,"",INDEX(周线!$R$5:$R$84,MATCH(G192,周线!$A$5:$A$84,0)-1)),"")</f>
        <v>1</v>
      </c>
      <c r="BT192" s="42" t="n">
        <f aca="false">IFERROR(IF(MATCH(G192,周线!$A$5:$A$84,0)&lt;=1,"",INDEX(周线!$S$5:$S$84,MATCH(G192,周线!$A$5:$A$84,0)-1)),"")</f>
        <v>1</v>
      </c>
      <c r="BU192" s="42" t="n">
        <f aca="false">IFERROR(IF(MATCH(G192,周线!$A$5:$A$84,0)&lt;=1,"",INDEX(周线!$U$5:$U$84,MATCH(G192,周线!$A$5:$A$84,0)-1)),"")</f>
        <v>1</v>
      </c>
      <c r="BV192" s="42" t="n">
        <f aca="false">IF(AND(BS192=1,S192&lt;&gt;-1,V192&lt;0,BO192=1,E192&lt;=H192,E192&gt;=AJ192),1,0)</f>
        <v>0</v>
      </c>
      <c r="BW192" s="42" t="n">
        <f aca="false">BL192</f>
        <v>1</v>
      </c>
      <c r="BX192" s="42" t="n">
        <f aca="false">BQ192</f>
        <v>0</v>
      </c>
      <c r="BY192" s="42" t="n">
        <f aca="false">IF(BS192=1,10,0)+IF(BU192=1,5,IF(BU192=-1,0,3))+IF(BT192=1,5,0)+IF(AND(AE192&gt;AF192,AH192&gt;AH191),5,0)</f>
        <v>20</v>
      </c>
      <c r="BZ192" s="42" t="n">
        <f aca="false">IF(AND(E192&lt;=H192,E192&gt;=I192),10,IF(AND(E192&gt;=AJ192,E192&lt;I192),6,0))+IF(AND(V192&lt;0,BO192=1),8,0)+IF(AT192&lt;30,7,IF(AT192&lt;50,3,0))</f>
        <v>0</v>
      </c>
      <c r="CA192" s="42" t="n">
        <f aca="false">IF(AND(BV192=1,BW192=1),25,IF(BW192=1,22,IF(BV192=1,15,IF(BX192=1,12,0))))</f>
        <v>22</v>
      </c>
      <c r="CB192" s="42" t="n">
        <f aca="false">IF(W192&gt;0,6,0)+IF(F192&lt;BR192,4,0)</f>
        <v>10</v>
      </c>
      <c r="CC192" s="42" t="n">
        <f aca="false">IF(BC192&gt;=3,15,IF(BC192&gt;=p_RRmin,10,IF(BC192&gt;=1.5,4,0)))</f>
        <v>4</v>
      </c>
      <c r="CD192" s="42" t="n">
        <f aca="false">BY192+BZ192+CA192+CB192+CC192</f>
        <v>56</v>
      </c>
      <c r="CE192" s="42" t="n">
        <f aca="false">IF(AND(BS192&lt;&gt;1,BW192+BX192=0),1,0)</f>
        <v>0</v>
      </c>
      <c r="CF192" s="42" t="n">
        <f aca="false">IF(BU192=-1,1,0)</f>
        <v>0</v>
      </c>
      <c r="CG192" s="42" t="n">
        <f aca="false">IF(S192=-1,1,0)</f>
        <v>0</v>
      </c>
      <c r="CH192" s="42" t="n">
        <f aca="false">IF(BV192+BW192+BX192=0,1,0)</f>
        <v>0</v>
      </c>
      <c r="CI192" s="42" t="n">
        <f aca="false">IF(BC192&lt;p_RRmin,1,0)</f>
        <v>1</v>
      </c>
      <c r="CJ192" s="46" t="str">
        <f aca="false">IF(SUM(CE192:CI192)=0,IF(CD192&gt;=p_GradeA,"A",IF(CD192&gt;=p_GradeB,"B","C")),IF(AND(CI192=1,SUM(CE192:CH192)=0,CD192&gt;=p_GradeB),"B","C"))</f>
        <v>B</v>
      </c>
    </row>
    <row r="193" customFormat="false" ht="15" hidden="false" customHeight="false" outlineLevel="0" collapsed="false">
      <c r="A193" s="36" t="n">
        <v>45923</v>
      </c>
      <c r="B193" s="37" t="n">
        <v>25.09</v>
      </c>
      <c r="C193" s="37" t="n">
        <v>25.26</v>
      </c>
      <c r="D193" s="37" t="n">
        <v>25.04</v>
      </c>
      <c r="E193" s="37" t="n">
        <v>25.16</v>
      </c>
      <c r="F193" s="38" t="n">
        <v>2468600</v>
      </c>
      <c r="G193" s="39" t="n">
        <f aca="false">A193-WEEKDAY(A193,3)</f>
        <v>45922</v>
      </c>
      <c r="H193" s="40" t="n">
        <f aca="false">2/(p_EmaF+1)*E193+(1-2/(p_EmaF+1))*H192</f>
        <v>24.5680289321093</v>
      </c>
      <c r="I193" s="40" t="n">
        <f aca="false">2/(p_EmaS+1)*E193+(1-2/(p_EmaS+1))*I192</f>
        <v>24.2523087925178</v>
      </c>
      <c r="J193" s="41" t="n">
        <f aca="false">2/(p_MacdF+1)*E193+(1-2/(p_MacdF+1))*J192</f>
        <v>24.5929645267878</v>
      </c>
      <c r="K193" s="41" t="n">
        <f aca="false">2/(p_MacdS+1)*E193+(1-2/(p_MacdS+1))*K192</f>
        <v>24.2523087925178</v>
      </c>
      <c r="L193" s="41" t="n">
        <f aca="false">J193-K193</f>
        <v>0.340655734269951</v>
      </c>
      <c r="M193" s="41" t="n">
        <f aca="false">2/(p_MacdSig+1)*L193+(1-2/(p_MacdSig+1))*M192</f>
        <v>0.316648713476983</v>
      </c>
      <c r="N193" s="41" t="n">
        <f aca="false">L193-M193</f>
        <v>0.0240070207929683</v>
      </c>
      <c r="O193" s="42" t="n">
        <f aca="false">IF(H193&gt;H192,1,0)</f>
        <v>1</v>
      </c>
      <c r="P193" s="42" t="n">
        <f aca="false">IF(H193&lt;H192,1,0)</f>
        <v>0</v>
      </c>
      <c r="Q193" s="42" t="n">
        <f aca="false">IF(N193&gt;N192,1,0)</f>
        <v>1</v>
      </c>
      <c r="R193" s="42" t="n">
        <f aca="false">IF(N193&lt;N192,1,0)</f>
        <v>0</v>
      </c>
      <c r="S193" s="42" t="n">
        <f aca="false">IF(AND(O193=1,Q193=1),1,IF(AND(P193=1,R193=1),-1,0))</f>
        <v>1</v>
      </c>
      <c r="T193" s="43" t="str">
        <f aca="false">IF(S193=1,"绿",IF(S193=-1,"红","蓝"))</f>
        <v>绿</v>
      </c>
      <c r="U193" s="44" t="n">
        <f aca="false">F193*(E193-E192)</f>
        <v>246860.000000004</v>
      </c>
      <c r="V193" s="44" t="n">
        <f aca="false">2/(p_FiS+1)*U193+(1-2/(p_FiS+1))*V192</f>
        <v>612547.236368904</v>
      </c>
      <c r="W193" s="44" t="n">
        <f aca="false">2/(p_FiL+1)*U193+(1-2/(p_FiL+1))*W192</f>
        <v>413540.499264308</v>
      </c>
      <c r="X193" s="41" t="n">
        <f aca="false">MAX(C193-D193,ABS(C193-E192),ABS(D193-E192))</f>
        <v>0.220000000000002</v>
      </c>
      <c r="Y193" s="41" t="n">
        <f aca="true">AVERAGE(OFFSET(X193,1-MIN(p_AtrN,ROW()-4),0,MIN(p_AtrN,ROW()-4),1))</f>
        <v>0.74</v>
      </c>
      <c r="Z193" s="41" t="n">
        <f aca="false">IF(AND(C193-C192&gt;D192-D193,C193-C192&gt;0),C193-C192,0)</f>
        <v>0.100000000000001</v>
      </c>
      <c r="AA193" s="41" t="n">
        <f aca="false">IF(AND(D192-D193&gt;C193-C192,D192-D193&gt;0),D192-D193,0)</f>
        <v>0</v>
      </c>
      <c r="AB193" s="41" t="n">
        <f aca="false">2/(p_AdxN+1)*X193+(1-2/(p_AdxN+1))*AB192</f>
        <v>0.688302577527225</v>
      </c>
      <c r="AC193" s="41" t="n">
        <f aca="false">2/(p_AdxN+1)*Z193+(1-2/(p_AdxN+1))*AC192</f>
        <v>0.143733836685748</v>
      </c>
      <c r="AD193" s="41" t="n">
        <f aca="false">2/(p_AdxN+1)*AA193+(1-2/(p_AdxN+1))*AD192</f>
        <v>0.121091020229504</v>
      </c>
      <c r="AE193" s="45" t="n">
        <f aca="false">100*AC193/AB193</f>
        <v>20.8823621149469</v>
      </c>
      <c r="AF193" s="45" t="n">
        <f aca="false">100*AD193/AB193</f>
        <v>17.5927018411774</v>
      </c>
      <c r="AG193" s="45" t="n">
        <f aca="false">IFERROR(100*ABS(AE193-AF193)/(AE193+AF193),0)</f>
        <v>8.55010995568681</v>
      </c>
      <c r="AH193" s="45" t="n">
        <f aca="false">2/(p_AdxN+1)*AG193+(1-2/(p_AdxN+1))*AH192</f>
        <v>19.5969480884794</v>
      </c>
      <c r="AI193" s="40" t="n">
        <f aca="false">I193*(1+p_ChPct)</f>
        <v>25.7074473200689</v>
      </c>
      <c r="AJ193" s="40" t="n">
        <f aca="false">I193*(1-p_ChPct)</f>
        <v>22.7971702649668</v>
      </c>
      <c r="AK193" s="40" t="n">
        <f aca="false">I193+1*Y193</f>
        <v>24.9923087925178</v>
      </c>
      <c r="AL193" s="40" t="n">
        <f aca="false">I193+2*Y193</f>
        <v>25.7323087925178</v>
      </c>
      <c r="AM193" s="40" t="n">
        <f aca="false">I193+3*Y193</f>
        <v>26.4723087925178</v>
      </c>
      <c r="AN193" s="40" t="n">
        <f aca="false">I193-1*Y193</f>
        <v>23.5123087925178</v>
      </c>
      <c r="AO193" s="40" t="n">
        <f aca="false">I193-2*Y193</f>
        <v>22.7723087925178</v>
      </c>
      <c r="AP193" s="40" t="n">
        <f aca="false">I193-3*Y193</f>
        <v>22.0323087925178</v>
      </c>
      <c r="AQ193" s="40" t="n">
        <f aca="true">MAX(OFFSET(C193,1-MIN(p_StochN,ROW()-4),0,MIN(p_StochN,ROW()-4),1))</f>
        <v>25.26</v>
      </c>
      <c r="AR193" s="40" t="n">
        <f aca="true">MIN(OFFSET(D193,1-MIN(p_StochN,ROW()-4),0,MIN(p_StochN,ROW()-4),1))</f>
        <v>23.33</v>
      </c>
      <c r="AS193" s="45" t="n">
        <f aca="false">IF(AQ193=AR193,50,100*(E193-AR193)/(AQ193-AR193))</f>
        <v>94.8186528497409</v>
      </c>
      <c r="AT193" s="45" t="n">
        <f aca="true">AVERAGE(OFFSET(AS193,1-MIN(p_StochSm,ROW()-4),0,MIN(p_StochSm,ROW()-4),1))</f>
        <v>90.0411342482183</v>
      </c>
      <c r="AU193" s="45" t="n">
        <f aca="true">AVERAGE(OFFSET(AT193,1-MIN(p_StochSm,ROW()-4),0,MIN(p_StochSm,ROW()-4),1))</f>
        <v>72.0306571815192</v>
      </c>
      <c r="AV193" s="41" t="n">
        <f aca="false">MAX(0,H193-D193)</f>
        <v>0</v>
      </c>
      <c r="AW193" s="41" t="n">
        <f aca="true">IF(COUNTIF(OFFSET(AV193,1-MIN(p_PenLb,ROW()-4),0,MIN(p_PenLb,ROW()-4),1),"&gt;0")&gt;0,SUM(OFFSET(AV193,1-MIN(p_PenLb,ROW()-4),0,MIN(p_PenLb,ROW()-4),1))/COUNTIF(OFFSET(AV193,1-MIN(p_PenLb,ROW()-4),0,MIN(p_PenLb,ROW()-4),1),"&gt;0"),0.5*Y193)</f>
        <v>0.367977446370691</v>
      </c>
      <c r="AX193" s="41" t="n">
        <f aca="false">2*H193-H192</f>
        <v>24.6666907767578</v>
      </c>
      <c r="AY193" s="40" t="n">
        <f aca="false">ROUND(MAX(AX193-AW193,0.01),2)</f>
        <v>24.3</v>
      </c>
      <c r="AZ193" s="40" t="n">
        <f aca="true">IF(MIN(p_StopLb,ROW()-4)&lt;2,D193,SMALL(OFFSET(D193,1-MIN(p_StopLb,ROW()-4),0,MIN(p_StopLb,ROW()-4),1),2))</f>
        <v>23.51</v>
      </c>
      <c r="BA193" s="40" t="n">
        <f aca="false">IF(MOD(ROUND(ROUNDDOWN(MIN(AZ193-0.01,AY193-p_StopAtr*Y193),2)*100,0),50)=0,ROUNDDOWN(MIN(AZ193-0.01,AY193-p_StopAtr*Y193),2)-0.01,ROUNDDOWN(MIN(AZ193-0.01,AY193-p_StopAtr*Y193),2))</f>
        <v>23.49</v>
      </c>
      <c r="BB193" s="40" t="n">
        <f aca="false">ROUND(AI193,2)</f>
        <v>25.71</v>
      </c>
      <c r="BC193" s="40" t="n">
        <f aca="false">IF(AY193-BA193&gt;0,(BB193-AY193)/(AY193-BA193),0)</f>
        <v>1.74074074074074</v>
      </c>
      <c r="BD193" s="42" t="n">
        <f aca="false">IF(N193&lt;0,1,0)</f>
        <v>0</v>
      </c>
      <c r="BE193" s="41" t="n">
        <f aca="false">IF(AND(BD193=1,BD192=0),N193,IF(BD193=1,MIN(BE192,N193),BE192))</f>
        <v>-0.0622611748996084</v>
      </c>
      <c r="BF193" s="40" t="n">
        <f aca="false">IF(AND(BD193=1,BD192=0),D193,IF(BD193=1,MIN(BF192,D193),BF192))</f>
        <v>23.33</v>
      </c>
      <c r="BG193" s="42" t="n">
        <f aca="false">IF(AND(BD193=1,BD192=0),ROW(),IF(BD193=1,IF(N193&lt;BE192,ROW(),BG192),BG192))</f>
        <v>190</v>
      </c>
      <c r="BH193" s="41" t="n">
        <f aca="false">IF(AND(BD193=1,BD192=0),BE192,BH192)</f>
        <v>-0.149433863515745</v>
      </c>
      <c r="BI193" s="40" t="n">
        <f aca="false">IF(AND(BD193=1,BD192=0),BF192,BI192)</f>
        <v>23.49</v>
      </c>
      <c r="BJ193" s="42" t="n">
        <f aca="false">IF(AND(BD193=1,BD192=0),BG192,BJ192)</f>
        <v>179</v>
      </c>
      <c r="BK193" s="42" t="n">
        <f aca="false">IF(AND(ISNUMBER(BG193),ISNUMBER(BJ193)),BG193-BJ193,"")</f>
        <v>11</v>
      </c>
      <c r="BL193" s="42" t="n">
        <f aca="false">IF(AND(BD193=1,N193&gt;N192,ISNUMBER(BH193),ISNUMBER(BK193)),IF(AND(BE193&gt;BH193,BF193&lt;BI193,BK193&gt;=p_GapMin,BK193&lt;=p_GapMax),1,0),0)</f>
        <v>0</v>
      </c>
      <c r="BM193" s="42" t="n">
        <f aca="false">IF(AND(BL193=1,E193&gt;BI193),1,0)</f>
        <v>0</v>
      </c>
      <c r="BN193" s="42" t="n">
        <f aca="false">IF(BL193=1,IF(BE193&gt;=BH193*0.5,1,0),0)</f>
        <v>0</v>
      </c>
      <c r="BO193" s="42" t="n">
        <f aca="true">IF(V193&gt;MIN(OFFSET(V193,-MIN(p_FiLb-1,ROW()-5),0,MIN(p_FiLb-1,ROW()-5),1)),1,0)</f>
        <v>1</v>
      </c>
      <c r="BP193" s="44" t="n">
        <f aca="true">IF(COUNTIF(OFFSET(V193,1-MIN(100,ROW()-4),0,MIN(100,ROW()-4),1),"&lt;0")&gt;=5,AVERAGEIF(OFFSET(V193,1-MIN(100,ROW()-4),0,MIN(100,ROW()-4),1),"&lt;0"),"")</f>
        <v>-975424.996403915</v>
      </c>
      <c r="BQ193" s="42" t="n">
        <f aca="false">IF(ISNUMBER(BP193),IF(AND(V193&lt;5*BP193,V193&gt;V192,E193&lt;AJ193),1,0),0)</f>
        <v>0</v>
      </c>
      <c r="BR193" s="44" t="n">
        <f aca="true">AVERAGE(OFFSET(F193,1-MIN(5,ROW()-4),0,MIN(5,ROW()-4),1))</f>
        <v>4346800</v>
      </c>
      <c r="BS193" s="42" t="n">
        <f aca="false">IFERROR(IF(MATCH(G193,周线!$A$5:$A$84,0)&lt;=1,"",INDEX(周线!$R$5:$R$84,MATCH(G193,周线!$A$5:$A$84,0)-1)),"")</f>
        <v>1</v>
      </c>
      <c r="BT193" s="42" t="n">
        <f aca="false">IFERROR(IF(MATCH(G193,周线!$A$5:$A$84,0)&lt;=1,"",INDEX(周线!$S$5:$S$84,MATCH(G193,周线!$A$5:$A$84,0)-1)),"")</f>
        <v>1</v>
      </c>
      <c r="BU193" s="42" t="n">
        <f aca="false">IFERROR(IF(MATCH(G193,周线!$A$5:$A$84,0)&lt;=1,"",INDEX(周线!$U$5:$U$84,MATCH(G193,周线!$A$5:$A$84,0)-1)),"")</f>
        <v>1</v>
      </c>
      <c r="BV193" s="42" t="n">
        <f aca="false">IF(AND(BS193=1,S193&lt;&gt;-1,V193&lt;0,BO193=1,E193&lt;=H193,E193&gt;=AJ193),1,0)</f>
        <v>0</v>
      </c>
      <c r="BW193" s="42" t="n">
        <f aca="false">BL193</f>
        <v>0</v>
      </c>
      <c r="BX193" s="42" t="n">
        <f aca="false">BQ193</f>
        <v>0</v>
      </c>
      <c r="BY193" s="42" t="n">
        <f aca="false">IF(BS193=1,10,0)+IF(BU193=1,5,IF(BU193=-1,0,3))+IF(BT193=1,5,0)+IF(AND(AE193&gt;AF193,AH193&gt;AH192),5,0)</f>
        <v>20</v>
      </c>
      <c r="BZ193" s="42" t="n">
        <f aca="false">IF(AND(E193&lt;=H193,E193&gt;=I193),10,IF(AND(E193&gt;=AJ193,E193&lt;I193),6,0))+IF(AND(V193&lt;0,BO193=1),8,0)+IF(AT193&lt;30,7,IF(AT193&lt;50,3,0))</f>
        <v>0</v>
      </c>
      <c r="CA193" s="42" t="n">
        <f aca="false">IF(AND(BV193=1,BW193=1),25,IF(BW193=1,22,IF(BV193=1,15,IF(BX193=1,12,0))))</f>
        <v>0</v>
      </c>
      <c r="CB193" s="42" t="n">
        <f aca="false">IF(W193&gt;0,6,0)+IF(F193&lt;BR193,4,0)</f>
        <v>10</v>
      </c>
      <c r="CC193" s="42" t="n">
        <f aca="false">IF(BC193&gt;=3,15,IF(BC193&gt;=p_RRmin,10,IF(BC193&gt;=1.5,4,0)))</f>
        <v>4</v>
      </c>
      <c r="CD193" s="42" t="n">
        <f aca="false">BY193+BZ193+CA193+CB193+CC193</f>
        <v>34</v>
      </c>
      <c r="CE193" s="42" t="n">
        <f aca="false">IF(AND(BS193&lt;&gt;1,BW193+BX193=0),1,0)</f>
        <v>0</v>
      </c>
      <c r="CF193" s="42" t="n">
        <f aca="false">IF(BU193=-1,1,0)</f>
        <v>0</v>
      </c>
      <c r="CG193" s="42" t="n">
        <f aca="false">IF(S193=-1,1,0)</f>
        <v>0</v>
      </c>
      <c r="CH193" s="42" t="n">
        <f aca="false">IF(BV193+BW193+BX193=0,1,0)</f>
        <v>1</v>
      </c>
      <c r="CI193" s="42" t="n">
        <f aca="false">IF(BC193&lt;p_RRmin,1,0)</f>
        <v>1</v>
      </c>
      <c r="CJ193" s="46" t="str">
        <f aca="false">IF(SUM(CE193:CI193)=0,IF(CD193&gt;=p_GradeA,"A",IF(CD193&gt;=p_GradeB,"B","C")),IF(AND(CI193=1,SUM(CE193:CH193)=0,CD193&gt;=p_GradeB),"B","C"))</f>
        <v>C</v>
      </c>
    </row>
    <row r="194" customFormat="false" ht="15" hidden="false" customHeight="false" outlineLevel="0" collapsed="false">
      <c r="A194" s="36" t="n">
        <v>45924</v>
      </c>
      <c r="B194" s="37" t="n">
        <v>25.25</v>
      </c>
      <c r="C194" s="37" t="n">
        <v>25.52</v>
      </c>
      <c r="D194" s="37" t="n">
        <v>24.83</v>
      </c>
      <c r="E194" s="37" t="n">
        <v>25.12</v>
      </c>
      <c r="F194" s="38" t="n">
        <v>2365500</v>
      </c>
      <c r="G194" s="39" t="n">
        <f aca="false">A194-WEEKDAY(A194,3)</f>
        <v>45922</v>
      </c>
      <c r="H194" s="40" t="n">
        <f aca="false">2/(p_EmaF+1)*E194+(1-2/(p_EmaF+1))*H193</f>
        <v>24.646881941808</v>
      </c>
      <c r="I194" s="40" t="n">
        <f aca="false">2/(p_EmaS+1)*E194+(1-2/(p_EmaS+1))*I193</f>
        <v>24.3165822152943</v>
      </c>
      <c r="J194" s="41" t="n">
        <f aca="false">2/(p_MacdF+1)*E194+(1-2/(p_MacdF+1))*J193</f>
        <v>24.674046907282</v>
      </c>
      <c r="K194" s="41" t="n">
        <f aca="false">2/(p_MacdS+1)*E194+(1-2/(p_MacdS+1))*K193</f>
        <v>24.3165822152943</v>
      </c>
      <c r="L194" s="41" t="n">
        <f aca="false">J194-K194</f>
        <v>0.35746469198768</v>
      </c>
      <c r="M194" s="41" t="n">
        <f aca="false">2/(p_MacdSig+1)*L194+(1-2/(p_MacdSig+1))*M193</f>
        <v>0.324811909179123</v>
      </c>
      <c r="N194" s="41" t="n">
        <f aca="false">L194-M194</f>
        <v>0.0326527828085573</v>
      </c>
      <c r="O194" s="42" t="n">
        <f aca="false">IF(H194&gt;H193,1,0)</f>
        <v>1</v>
      </c>
      <c r="P194" s="42" t="n">
        <f aca="false">IF(H194&lt;H193,1,0)</f>
        <v>0</v>
      </c>
      <c r="Q194" s="42" t="n">
        <f aca="false">IF(N194&gt;N193,1,0)</f>
        <v>1</v>
      </c>
      <c r="R194" s="42" t="n">
        <f aca="false">IF(N194&lt;N193,1,0)</f>
        <v>0</v>
      </c>
      <c r="S194" s="42" t="n">
        <f aca="false">IF(AND(O194=1,Q194=1),1,IF(AND(P194=1,R194=1),-1,0))</f>
        <v>1</v>
      </c>
      <c r="T194" s="43" t="str">
        <f aca="false">IF(S194=1,"绿",IF(S194=-1,"红","蓝"))</f>
        <v>绿</v>
      </c>
      <c r="U194" s="44" t="n">
        <f aca="false">F194*(E194-E193)</f>
        <v>-94619.999999998</v>
      </c>
      <c r="V194" s="44" t="n">
        <f aca="false">2/(p_FiS+1)*U194+(1-2/(p_FiS+1))*V193</f>
        <v>141102.412122969</v>
      </c>
      <c r="W194" s="44" t="n">
        <f aca="false">2/(p_FiL+1)*U194+(1-2/(p_FiL+1))*W193</f>
        <v>340946.14222655</v>
      </c>
      <c r="X194" s="41" t="n">
        <f aca="false">MAX(C194-D194,ABS(C194-E193),ABS(D194-E193))</f>
        <v>0.690000000000001</v>
      </c>
      <c r="Y194" s="41" t="n">
        <f aca="true">AVERAGE(OFFSET(X194,1-MIN(p_AtrN,ROW()-4),0,MIN(p_AtrN,ROW()-4),1))</f>
        <v>0.757692307692308</v>
      </c>
      <c r="Z194" s="41" t="n">
        <f aca="false">IF(AND(C194-C193&gt;D193-D194,C194-C193&gt;0),C194-C193,0)</f>
        <v>0.259999999999998</v>
      </c>
      <c r="AA194" s="41" t="n">
        <f aca="false">IF(AND(D193-D194&gt;C194-C193,D193-D194&gt;0),D193-D194,0)</f>
        <v>0</v>
      </c>
      <c r="AB194" s="41" t="n">
        <f aca="false">2/(p_AdxN+1)*X194+(1-2/(p_AdxN+1))*AB193</f>
        <v>0.688545066451907</v>
      </c>
      <c r="AC194" s="41" t="n">
        <f aca="false">2/(p_AdxN+1)*Z194+(1-2/(p_AdxN+1))*AC193</f>
        <v>0.160343288587784</v>
      </c>
      <c r="AD194" s="41" t="n">
        <f aca="false">2/(p_AdxN+1)*AA194+(1-2/(p_AdxN+1))*AD193</f>
        <v>0.10379230305386</v>
      </c>
      <c r="AE194" s="45" t="n">
        <f aca="false">100*AC194/AB194</f>
        <v>23.2872612702081</v>
      </c>
      <c r="AF194" s="45" t="n">
        <f aca="false">100*AD194/AB194</f>
        <v>15.0741481002406</v>
      </c>
      <c r="AG194" s="45" t="n">
        <f aca="false">IFERROR(100*ABS(AE194-AF194)/(AE194+AF194),0)</f>
        <v>21.4098316635218</v>
      </c>
      <c r="AH194" s="45" t="n">
        <f aca="false">2/(p_AdxN+1)*AG194+(1-2/(p_AdxN+1))*AH193</f>
        <v>19.8559314563426</v>
      </c>
      <c r="AI194" s="40" t="n">
        <f aca="false">I194*(1+p_ChPct)</f>
        <v>25.7755771482119</v>
      </c>
      <c r="AJ194" s="40" t="n">
        <f aca="false">I194*(1-p_ChPct)</f>
        <v>22.8575872823766</v>
      </c>
      <c r="AK194" s="40" t="n">
        <f aca="false">I194+1*Y194</f>
        <v>25.0742745229866</v>
      </c>
      <c r="AL194" s="40" t="n">
        <f aca="false">I194+2*Y194</f>
        <v>25.8319668306789</v>
      </c>
      <c r="AM194" s="40" t="n">
        <f aca="false">I194+3*Y194</f>
        <v>26.5896591383712</v>
      </c>
      <c r="AN194" s="40" t="n">
        <f aca="false">I194-1*Y194</f>
        <v>23.558889907602</v>
      </c>
      <c r="AO194" s="40" t="n">
        <f aca="false">I194-2*Y194</f>
        <v>22.8011975999097</v>
      </c>
      <c r="AP194" s="40" t="n">
        <f aca="false">I194-3*Y194</f>
        <v>22.0435052922174</v>
      </c>
      <c r="AQ194" s="40" t="n">
        <f aca="true">MAX(OFFSET(C194,1-MIN(p_StochN,ROW()-4),0,MIN(p_StochN,ROW()-4),1))</f>
        <v>25.52</v>
      </c>
      <c r="AR194" s="40" t="n">
        <f aca="true">MIN(OFFSET(D194,1-MIN(p_StochN,ROW()-4),0,MIN(p_StochN,ROW()-4),1))</f>
        <v>23.33</v>
      </c>
      <c r="AS194" s="45" t="n">
        <f aca="false">IF(AQ194=AR194,50,100*(E194-AR194)/(AQ194-AR194))</f>
        <v>81.7351598173517</v>
      </c>
      <c r="AT194" s="45" t="n">
        <f aca="true">AVERAGE(OFFSET(AS194,1-MIN(p_StochSm,ROW()-4),0,MIN(p_StochSm,ROW()-4),1))</f>
        <v>90.3631105975918</v>
      </c>
      <c r="AU194" s="45" t="n">
        <f aca="true">AVERAGE(OFFSET(AT194,1-MIN(p_StochSm,ROW()-4),0,MIN(p_StochSm,ROW()-4),1))</f>
        <v>85.4128096255718</v>
      </c>
      <c r="AV194" s="41" t="n">
        <f aca="false">MAX(0,H194-D194)</f>
        <v>0</v>
      </c>
      <c r="AW194" s="41" t="n">
        <f aca="true">IF(COUNTIF(OFFSET(AV194,1-MIN(p_PenLb,ROW()-4),0,MIN(p_PenLb,ROW()-4),1),"&gt;0")&gt;0,SUM(OFFSET(AV194,1-MIN(p_PenLb,ROW()-4),0,MIN(p_PenLb,ROW()-4),1))/COUNTIF(OFFSET(AV194,1-MIN(p_PenLb,ROW()-4),0,MIN(p_PenLb,ROW()-4),1),"&gt;0"),0.5*Y194)</f>
        <v>0.367977446370691</v>
      </c>
      <c r="AX194" s="41" t="n">
        <f aca="false">2*H194-H193</f>
        <v>24.7257349515067</v>
      </c>
      <c r="AY194" s="40" t="n">
        <f aca="false">ROUND(MAX(AX194-AW194,0.01),2)</f>
        <v>24.36</v>
      </c>
      <c r="AZ194" s="40" t="n">
        <f aca="true">IF(MIN(p_StopLb,ROW()-4)&lt;2,D194,SMALL(OFFSET(D194,1-MIN(p_StopLb,ROW()-4),0,MIN(p_StopLb,ROW()-4),1),2))</f>
        <v>23.51</v>
      </c>
      <c r="BA194" s="40" t="n">
        <f aca="false">IF(MOD(ROUND(ROUNDDOWN(MIN(AZ194-0.01,AY194-p_StopAtr*Y194),2)*100,0),50)=0,ROUNDDOWN(MIN(AZ194-0.01,AY194-p_StopAtr*Y194),2)-0.01,ROUNDDOWN(MIN(AZ194-0.01,AY194-p_StopAtr*Y194),2))</f>
        <v>23.49</v>
      </c>
      <c r="BB194" s="40" t="n">
        <f aca="false">ROUND(AI194,2)</f>
        <v>25.78</v>
      </c>
      <c r="BC194" s="40" t="n">
        <f aca="false">IF(AY194-BA194&gt;0,(BB194-AY194)/(AY194-BA194),0)</f>
        <v>1.63218390804598</v>
      </c>
      <c r="BD194" s="42" t="n">
        <f aca="false">IF(N194&lt;0,1,0)</f>
        <v>0</v>
      </c>
      <c r="BE194" s="41" t="n">
        <f aca="false">IF(AND(BD194=1,BD193=0),N194,IF(BD194=1,MIN(BE193,N194),BE193))</f>
        <v>-0.0622611748996084</v>
      </c>
      <c r="BF194" s="40" t="n">
        <f aca="false">IF(AND(BD194=1,BD193=0),D194,IF(BD194=1,MIN(BF193,D194),BF193))</f>
        <v>23.33</v>
      </c>
      <c r="BG194" s="42" t="n">
        <f aca="false">IF(AND(BD194=1,BD193=0),ROW(),IF(BD194=1,IF(N194&lt;BE193,ROW(),BG193),BG193))</f>
        <v>190</v>
      </c>
      <c r="BH194" s="41" t="n">
        <f aca="false">IF(AND(BD194=1,BD193=0),BE193,BH193)</f>
        <v>-0.149433863515745</v>
      </c>
      <c r="BI194" s="40" t="n">
        <f aca="false">IF(AND(BD194=1,BD193=0),BF193,BI193)</f>
        <v>23.49</v>
      </c>
      <c r="BJ194" s="42" t="n">
        <f aca="false">IF(AND(BD194=1,BD193=0),BG193,BJ193)</f>
        <v>179</v>
      </c>
      <c r="BK194" s="42" t="n">
        <f aca="false">IF(AND(ISNUMBER(BG194),ISNUMBER(BJ194)),BG194-BJ194,"")</f>
        <v>11</v>
      </c>
      <c r="BL194" s="42" t="n">
        <f aca="false">IF(AND(BD194=1,N194&gt;N193,ISNUMBER(BH194),ISNUMBER(BK194)),IF(AND(BE194&gt;BH194,BF194&lt;BI194,BK194&gt;=p_GapMin,BK194&lt;=p_GapMax),1,0),0)</f>
        <v>0</v>
      </c>
      <c r="BM194" s="42" t="n">
        <f aca="false">IF(AND(BL194=1,E194&gt;BI194),1,0)</f>
        <v>0</v>
      </c>
      <c r="BN194" s="42" t="n">
        <f aca="false">IF(BL194=1,IF(BE194&gt;=BH194*0.5,1,0),0)</f>
        <v>0</v>
      </c>
      <c r="BO194" s="42" t="n">
        <f aca="true">IF(V194&gt;MIN(OFFSET(V194,-MIN(p_FiLb-1,ROW()-5),0,MIN(p_FiLb-1,ROW()-5),1)),1,0)</f>
        <v>1</v>
      </c>
      <c r="BP194" s="44" t="n">
        <f aca="true">IF(COUNTIF(OFFSET(V194,1-MIN(100,ROW()-4),0,MIN(100,ROW()-4),1),"&lt;0")&gt;=5,AVERAGEIF(OFFSET(V194,1-MIN(100,ROW()-4),0,MIN(100,ROW()-4),1),"&lt;0"),"")</f>
        <v>-905687.023357271</v>
      </c>
      <c r="BQ194" s="42" t="n">
        <f aca="false">IF(ISNUMBER(BP194),IF(AND(V194&lt;5*BP194,V194&gt;V193,E194&lt;AJ194),1,0),0)</f>
        <v>0</v>
      </c>
      <c r="BR194" s="44" t="n">
        <f aca="true">AVERAGE(OFFSET(F194,1-MIN(5,ROW()-4),0,MIN(5,ROW()-4),1))</f>
        <v>3776180</v>
      </c>
      <c r="BS194" s="42" t="n">
        <f aca="false">IFERROR(IF(MATCH(G194,周线!$A$5:$A$84,0)&lt;=1,"",INDEX(周线!$R$5:$R$84,MATCH(G194,周线!$A$5:$A$84,0)-1)),"")</f>
        <v>1</v>
      </c>
      <c r="BT194" s="42" t="n">
        <f aca="false">IFERROR(IF(MATCH(G194,周线!$A$5:$A$84,0)&lt;=1,"",INDEX(周线!$S$5:$S$84,MATCH(G194,周线!$A$5:$A$84,0)-1)),"")</f>
        <v>1</v>
      </c>
      <c r="BU194" s="42" t="n">
        <f aca="false">IFERROR(IF(MATCH(G194,周线!$A$5:$A$84,0)&lt;=1,"",INDEX(周线!$U$5:$U$84,MATCH(G194,周线!$A$5:$A$84,0)-1)),"")</f>
        <v>1</v>
      </c>
      <c r="BV194" s="42" t="n">
        <f aca="false">IF(AND(BS194=1,S194&lt;&gt;-1,V194&lt;0,BO194=1,E194&lt;=H194,E194&gt;=AJ194),1,0)</f>
        <v>0</v>
      </c>
      <c r="BW194" s="42" t="n">
        <f aca="false">BL194</f>
        <v>0</v>
      </c>
      <c r="BX194" s="42" t="n">
        <f aca="false">BQ194</f>
        <v>0</v>
      </c>
      <c r="BY194" s="42" t="n">
        <f aca="false">IF(BS194=1,10,0)+IF(BU194=1,5,IF(BU194=-1,0,3))+IF(BT194=1,5,0)+IF(AND(AE194&gt;AF194,AH194&gt;AH193),5,0)</f>
        <v>25</v>
      </c>
      <c r="BZ194" s="42" t="n">
        <f aca="false">IF(AND(E194&lt;=H194,E194&gt;=I194),10,IF(AND(E194&gt;=AJ194,E194&lt;I194),6,0))+IF(AND(V194&lt;0,BO194=1),8,0)+IF(AT194&lt;30,7,IF(AT194&lt;50,3,0))</f>
        <v>0</v>
      </c>
      <c r="CA194" s="42" t="n">
        <f aca="false">IF(AND(BV194=1,BW194=1),25,IF(BW194=1,22,IF(BV194=1,15,IF(BX194=1,12,0))))</f>
        <v>0</v>
      </c>
      <c r="CB194" s="42" t="n">
        <f aca="false">IF(W194&gt;0,6,0)+IF(F194&lt;BR194,4,0)</f>
        <v>10</v>
      </c>
      <c r="CC194" s="42" t="n">
        <f aca="false">IF(BC194&gt;=3,15,IF(BC194&gt;=p_RRmin,10,IF(BC194&gt;=1.5,4,0)))</f>
        <v>4</v>
      </c>
      <c r="CD194" s="42" t="n">
        <f aca="false">BY194+BZ194+CA194+CB194+CC194</f>
        <v>39</v>
      </c>
      <c r="CE194" s="42" t="n">
        <f aca="false">IF(AND(BS194&lt;&gt;1,BW194+BX194=0),1,0)</f>
        <v>0</v>
      </c>
      <c r="CF194" s="42" t="n">
        <f aca="false">IF(BU194=-1,1,0)</f>
        <v>0</v>
      </c>
      <c r="CG194" s="42" t="n">
        <f aca="false">IF(S194=-1,1,0)</f>
        <v>0</v>
      </c>
      <c r="CH194" s="42" t="n">
        <f aca="false">IF(BV194+BW194+BX194=0,1,0)</f>
        <v>1</v>
      </c>
      <c r="CI194" s="42" t="n">
        <f aca="false">IF(BC194&lt;p_RRmin,1,0)</f>
        <v>1</v>
      </c>
      <c r="CJ194" s="46" t="str">
        <f aca="false">IF(SUM(CE194:CI194)=0,IF(CD194&gt;=p_GradeA,"A",IF(CD194&gt;=p_GradeB,"B","C")),IF(AND(CI194=1,SUM(CE194:CH194)=0,CD194&gt;=p_GradeB),"B","C"))</f>
        <v>C</v>
      </c>
    </row>
    <row r="195" customFormat="false" ht="15" hidden="false" customHeight="false" outlineLevel="0" collapsed="false">
      <c r="A195" s="36" t="n">
        <v>45925</v>
      </c>
      <c r="B195" s="37" t="n">
        <v>25.3</v>
      </c>
      <c r="C195" s="37" t="n">
        <v>26.15</v>
      </c>
      <c r="D195" s="37" t="n">
        <v>25.15</v>
      </c>
      <c r="E195" s="37" t="n">
        <v>25.92</v>
      </c>
      <c r="F195" s="38" t="n">
        <v>6851700</v>
      </c>
      <c r="G195" s="39" t="n">
        <f aca="false">A195-WEEKDAY(A195,3)</f>
        <v>45922</v>
      </c>
      <c r="H195" s="40" t="n">
        <f aca="false">2/(p_EmaF+1)*E195+(1-2/(p_EmaF+1))*H194</f>
        <v>24.8287559501211</v>
      </c>
      <c r="I195" s="40" t="n">
        <f aca="false">2/(p_EmaS+1)*E195+(1-2/(p_EmaS+1))*I194</f>
        <v>24.4353539030503</v>
      </c>
      <c r="J195" s="41" t="n">
        <f aca="false">2/(p_MacdF+1)*E195+(1-2/(p_MacdF+1))*J194</f>
        <v>24.8657319984694</v>
      </c>
      <c r="K195" s="41" t="n">
        <f aca="false">2/(p_MacdS+1)*E195+(1-2/(p_MacdS+1))*K194</f>
        <v>24.4353539030503</v>
      </c>
      <c r="L195" s="41" t="n">
        <f aca="false">J195-K195</f>
        <v>0.430378095419087</v>
      </c>
      <c r="M195" s="41" t="n">
        <f aca="false">2/(p_MacdSig+1)*L195+(1-2/(p_MacdSig+1))*M194</f>
        <v>0.345925146427115</v>
      </c>
      <c r="N195" s="41" t="n">
        <f aca="false">L195-M195</f>
        <v>0.0844529489919716</v>
      </c>
      <c r="O195" s="42" t="n">
        <f aca="false">IF(H195&gt;H194,1,0)</f>
        <v>1</v>
      </c>
      <c r="P195" s="42" t="n">
        <f aca="false">IF(H195&lt;H194,1,0)</f>
        <v>0</v>
      </c>
      <c r="Q195" s="42" t="n">
        <f aca="false">IF(N195&gt;N194,1,0)</f>
        <v>1</v>
      </c>
      <c r="R195" s="42" t="n">
        <f aca="false">IF(N195&lt;N194,1,0)</f>
        <v>0</v>
      </c>
      <c r="S195" s="42" t="n">
        <f aca="false">IF(AND(O195=1,Q195=1),1,IF(AND(P195=1,R195=1),-1,0))</f>
        <v>1</v>
      </c>
      <c r="T195" s="43" t="str">
        <f aca="false">IF(S195=1,"绿",IF(S195=-1,"红","蓝"))</f>
        <v>绿</v>
      </c>
      <c r="U195" s="44" t="n">
        <f aca="false">F195*(E195-E194)</f>
        <v>5481360.00000001</v>
      </c>
      <c r="V195" s="44" t="n">
        <f aca="false">2/(p_FiS+1)*U195+(1-2/(p_FiS+1))*V194</f>
        <v>3701274.13737433</v>
      </c>
      <c r="W195" s="44" t="n">
        <f aca="false">2/(p_FiL+1)*U195+(1-2/(p_FiL+1))*W194</f>
        <v>1075290.97905133</v>
      </c>
      <c r="X195" s="41" t="n">
        <f aca="false">MAX(C195-D195,ABS(C195-E194),ABS(D195-E194))</f>
        <v>1.03</v>
      </c>
      <c r="Y195" s="41" t="n">
        <f aca="true">AVERAGE(OFFSET(X195,1-MIN(p_AtrN,ROW()-4),0,MIN(p_AtrN,ROW()-4),1))</f>
        <v>0.783846153846154</v>
      </c>
      <c r="Z195" s="41" t="n">
        <f aca="false">IF(AND(C195-C194&gt;D194-D195,C195-C194&gt;0),C195-C194,0)</f>
        <v>0.629999999999999</v>
      </c>
      <c r="AA195" s="41" t="n">
        <f aca="false">IF(AND(D194-D195&gt;C195-C194,D194-D195&gt;0),D194-D195,0)</f>
        <v>0</v>
      </c>
      <c r="AB195" s="41" t="n">
        <f aca="false">2/(p_AdxN+1)*X195+(1-2/(p_AdxN+1))*AB194</f>
        <v>0.737324342673063</v>
      </c>
      <c r="AC195" s="41" t="n">
        <f aca="false">2/(p_AdxN+1)*Z195+(1-2/(p_AdxN+1))*AC194</f>
        <v>0.227437104503814</v>
      </c>
      <c r="AD195" s="41" t="n">
        <f aca="false">2/(p_AdxN+1)*AA195+(1-2/(p_AdxN+1))*AD194</f>
        <v>0.0889648311890231</v>
      </c>
      <c r="AE195" s="45" t="n">
        <f aca="false">100*AC195/AB195</f>
        <v>30.8462763726577</v>
      </c>
      <c r="AF195" s="45" t="n">
        <f aca="false">100*AD195/AB195</f>
        <v>12.0659018074046</v>
      </c>
      <c r="AG195" s="45" t="n">
        <f aca="false">IFERROR(100*ABS(AE195-AF195)/(AE195+AF195),0)</f>
        <v>43.7646732506782</v>
      </c>
      <c r="AH195" s="45" t="n">
        <f aca="false">2/(p_AdxN+1)*AG195+(1-2/(p_AdxN+1))*AH194</f>
        <v>23.2714659983905</v>
      </c>
      <c r="AI195" s="40" t="n">
        <f aca="false">I195*(1+p_ChPct)</f>
        <v>25.9014751372333</v>
      </c>
      <c r="AJ195" s="40" t="n">
        <f aca="false">I195*(1-p_ChPct)</f>
        <v>22.9692326688672</v>
      </c>
      <c r="AK195" s="40" t="n">
        <f aca="false">I195+1*Y195</f>
        <v>25.2192000568964</v>
      </c>
      <c r="AL195" s="40" t="n">
        <f aca="false">I195+2*Y195</f>
        <v>26.0030462107426</v>
      </c>
      <c r="AM195" s="40" t="n">
        <f aca="false">I195+3*Y195</f>
        <v>26.7868923645887</v>
      </c>
      <c r="AN195" s="40" t="n">
        <f aca="false">I195-1*Y195</f>
        <v>23.6515077492041</v>
      </c>
      <c r="AO195" s="40" t="n">
        <f aca="false">I195-2*Y195</f>
        <v>22.867661595358</v>
      </c>
      <c r="AP195" s="40" t="n">
        <f aca="false">I195-3*Y195</f>
        <v>22.0838154415118</v>
      </c>
      <c r="AQ195" s="40" t="n">
        <f aca="true">MAX(OFFSET(C195,1-MIN(p_StochN,ROW()-4),0,MIN(p_StochN,ROW()-4),1))</f>
        <v>26.15</v>
      </c>
      <c r="AR195" s="40" t="n">
        <f aca="true">MIN(OFFSET(D195,1-MIN(p_StochN,ROW()-4),0,MIN(p_StochN,ROW()-4),1))</f>
        <v>23.96</v>
      </c>
      <c r="AS195" s="45" t="n">
        <f aca="false">IF(AQ195=AR195,50,100*(E195-AR195)/(AQ195-AR195))</f>
        <v>89.4977168949773</v>
      </c>
      <c r="AT195" s="45" t="n">
        <f aca="true">AVERAGE(OFFSET(AS195,1-MIN(p_StochSm,ROW()-4),0,MIN(p_StochSm,ROW()-4),1))</f>
        <v>88.6838431873566</v>
      </c>
      <c r="AU195" s="45" t="n">
        <f aca="true">AVERAGE(OFFSET(AT195,1-MIN(p_StochSm,ROW()-4),0,MIN(p_StochSm,ROW()-4),1))</f>
        <v>89.6960293443889</v>
      </c>
      <c r="AV195" s="41" t="n">
        <f aca="false">MAX(0,H195-D195)</f>
        <v>0</v>
      </c>
      <c r="AW195" s="41" t="n">
        <f aca="true">IF(COUNTIF(OFFSET(AV195,1-MIN(p_PenLb,ROW()-4),0,MIN(p_PenLb,ROW()-4),1),"&gt;0")&gt;0,SUM(OFFSET(AV195,1-MIN(p_PenLb,ROW()-4),0,MIN(p_PenLb,ROW()-4),1))/COUNTIF(OFFSET(AV195,1-MIN(p_PenLb,ROW()-4),0,MIN(p_PenLb,ROW()-4),1),"&gt;0"),0.5*Y195)</f>
        <v>0.367977446370691</v>
      </c>
      <c r="AX195" s="41" t="n">
        <f aca="false">2*H195-H194</f>
        <v>25.0106299584343</v>
      </c>
      <c r="AY195" s="40" t="n">
        <f aca="false">ROUND(MAX(AX195-AW195,0.01),2)</f>
        <v>24.64</v>
      </c>
      <c r="AZ195" s="40" t="n">
        <f aca="true">IF(MIN(p_StopLb,ROW()-4)&lt;2,D195,SMALL(OFFSET(D195,1-MIN(p_StopLb,ROW()-4),0,MIN(p_StopLb,ROW()-4),1),2))</f>
        <v>23.51</v>
      </c>
      <c r="BA195" s="40" t="n">
        <f aca="false">IF(MOD(ROUND(ROUNDDOWN(MIN(AZ195-0.01,AY195-p_StopAtr*Y195),2)*100,0),50)=0,ROUNDDOWN(MIN(AZ195-0.01,AY195-p_StopAtr*Y195),2)-0.01,ROUNDDOWN(MIN(AZ195-0.01,AY195-p_StopAtr*Y195),2))</f>
        <v>23.49</v>
      </c>
      <c r="BB195" s="40" t="n">
        <f aca="false">ROUND(AI195,2)</f>
        <v>25.9</v>
      </c>
      <c r="BC195" s="40" t="n">
        <f aca="false">IF(AY195-BA195&gt;0,(BB195-AY195)/(AY195-BA195),0)</f>
        <v>1.09565217391304</v>
      </c>
      <c r="BD195" s="42" t="n">
        <f aca="false">IF(N195&lt;0,1,0)</f>
        <v>0</v>
      </c>
      <c r="BE195" s="41" t="n">
        <f aca="false">IF(AND(BD195=1,BD194=0),N195,IF(BD195=1,MIN(BE194,N195),BE194))</f>
        <v>-0.0622611748996084</v>
      </c>
      <c r="BF195" s="40" t="n">
        <f aca="false">IF(AND(BD195=1,BD194=0),D195,IF(BD195=1,MIN(BF194,D195),BF194))</f>
        <v>23.33</v>
      </c>
      <c r="BG195" s="42" t="n">
        <f aca="false">IF(AND(BD195=1,BD194=0),ROW(),IF(BD195=1,IF(N195&lt;BE194,ROW(),BG194),BG194))</f>
        <v>190</v>
      </c>
      <c r="BH195" s="41" t="n">
        <f aca="false">IF(AND(BD195=1,BD194=0),BE194,BH194)</f>
        <v>-0.149433863515745</v>
      </c>
      <c r="BI195" s="40" t="n">
        <f aca="false">IF(AND(BD195=1,BD194=0),BF194,BI194)</f>
        <v>23.49</v>
      </c>
      <c r="BJ195" s="42" t="n">
        <f aca="false">IF(AND(BD195=1,BD194=0),BG194,BJ194)</f>
        <v>179</v>
      </c>
      <c r="BK195" s="42" t="n">
        <f aca="false">IF(AND(ISNUMBER(BG195),ISNUMBER(BJ195)),BG195-BJ195,"")</f>
        <v>11</v>
      </c>
      <c r="BL195" s="42" t="n">
        <f aca="false">IF(AND(BD195=1,N195&gt;N194,ISNUMBER(BH195),ISNUMBER(BK195)),IF(AND(BE195&gt;BH195,BF195&lt;BI195,BK195&gt;=p_GapMin,BK195&lt;=p_GapMax),1,0),0)</f>
        <v>0</v>
      </c>
      <c r="BM195" s="42" t="n">
        <f aca="false">IF(AND(BL195=1,E195&gt;BI195),1,0)</f>
        <v>0</v>
      </c>
      <c r="BN195" s="42" t="n">
        <f aca="false">IF(BL195=1,IF(BE195&gt;=BH195*0.5,1,0),0)</f>
        <v>0</v>
      </c>
      <c r="BO195" s="42" t="n">
        <f aca="true">IF(V195&gt;MIN(OFFSET(V195,-MIN(p_FiLb-1,ROW()-5),0,MIN(p_FiLb-1,ROW()-5),1)),1,0)</f>
        <v>1</v>
      </c>
      <c r="BP195" s="44" t="n">
        <f aca="true">IF(COUNTIF(OFFSET(V195,1-MIN(100,ROW()-4),0,MIN(100,ROW()-4),1),"&lt;0")&gt;=5,AVERAGEIF(OFFSET(V195,1-MIN(100,ROW()-4),0,MIN(100,ROW()-4),1),"&lt;0"),"")</f>
        <v>-886672.766420398</v>
      </c>
      <c r="BQ195" s="42" t="n">
        <f aca="false">IF(ISNUMBER(BP195),IF(AND(V195&lt;5*BP195,V195&gt;V194,E195&lt;AJ195),1,0),0)</f>
        <v>0</v>
      </c>
      <c r="BR195" s="44" t="n">
        <f aca="true">AVERAGE(OFFSET(F195,1-MIN(5,ROW()-4),0,MIN(5,ROW()-4),1))</f>
        <v>4140440</v>
      </c>
      <c r="BS195" s="42" t="n">
        <f aca="false">IFERROR(IF(MATCH(G195,周线!$A$5:$A$84,0)&lt;=1,"",INDEX(周线!$R$5:$R$84,MATCH(G195,周线!$A$5:$A$84,0)-1)),"")</f>
        <v>1</v>
      </c>
      <c r="BT195" s="42" t="n">
        <f aca="false">IFERROR(IF(MATCH(G195,周线!$A$5:$A$84,0)&lt;=1,"",INDEX(周线!$S$5:$S$84,MATCH(G195,周线!$A$5:$A$84,0)-1)),"")</f>
        <v>1</v>
      </c>
      <c r="BU195" s="42" t="n">
        <f aca="false">IFERROR(IF(MATCH(G195,周线!$A$5:$A$84,0)&lt;=1,"",INDEX(周线!$U$5:$U$84,MATCH(G195,周线!$A$5:$A$84,0)-1)),"")</f>
        <v>1</v>
      </c>
      <c r="BV195" s="42" t="n">
        <f aca="false">IF(AND(BS195=1,S195&lt;&gt;-1,V195&lt;0,BO195=1,E195&lt;=H195,E195&gt;=AJ195),1,0)</f>
        <v>0</v>
      </c>
      <c r="BW195" s="42" t="n">
        <f aca="false">BL195</f>
        <v>0</v>
      </c>
      <c r="BX195" s="42" t="n">
        <f aca="false">BQ195</f>
        <v>0</v>
      </c>
      <c r="BY195" s="42" t="n">
        <f aca="false">IF(BS195=1,10,0)+IF(BU195=1,5,IF(BU195=-1,0,3))+IF(BT195=1,5,0)+IF(AND(AE195&gt;AF195,AH195&gt;AH194),5,0)</f>
        <v>25</v>
      </c>
      <c r="BZ195" s="42" t="n">
        <f aca="false">IF(AND(E195&lt;=H195,E195&gt;=I195),10,IF(AND(E195&gt;=AJ195,E195&lt;I195),6,0))+IF(AND(V195&lt;0,BO195=1),8,0)+IF(AT195&lt;30,7,IF(AT195&lt;50,3,0))</f>
        <v>0</v>
      </c>
      <c r="CA195" s="42" t="n">
        <f aca="false">IF(AND(BV195=1,BW195=1),25,IF(BW195=1,22,IF(BV195=1,15,IF(BX195=1,12,0))))</f>
        <v>0</v>
      </c>
      <c r="CB195" s="42" t="n">
        <f aca="false">IF(W195&gt;0,6,0)+IF(F195&lt;BR195,4,0)</f>
        <v>6</v>
      </c>
      <c r="CC195" s="42" t="n">
        <f aca="false">IF(BC195&gt;=3,15,IF(BC195&gt;=p_RRmin,10,IF(BC195&gt;=1.5,4,0)))</f>
        <v>0</v>
      </c>
      <c r="CD195" s="42" t="n">
        <f aca="false">BY195+BZ195+CA195+CB195+CC195</f>
        <v>31</v>
      </c>
      <c r="CE195" s="42" t="n">
        <f aca="false">IF(AND(BS195&lt;&gt;1,BW195+BX195=0),1,0)</f>
        <v>0</v>
      </c>
      <c r="CF195" s="42" t="n">
        <f aca="false">IF(BU195=-1,1,0)</f>
        <v>0</v>
      </c>
      <c r="CG195" s="42" t="n">
        <f aca="false">IF(S195=-1,1,0)</f>
        <v>0</v>
      </c>
      <c r="CH195" s="42" t="n">
        <f aca="false">IF(BV195+BW195+BX195=0,1,0)</f>
        <v>1</v>
      </c>
      <c r="CI195" s="42" t="n">
        <f aca="false">IF(BC195&lt;p_RRmin,1,0)</f>
        <v>1</v>
      </c>
      <c r="CJ195" s="46" t="str">
        <f aca="false">IF(SUM(CE195:CI195)=0,IF(CD195&gt;=p_GradeA,"A",IF(CD195&gt;=p_GradeB,"B","C")),IF(AND(CI195=1,SUM(CE195:CH195)=0,CD195&gt;=p_GradeB),"B","C"))</f>
        <v>C</v>
      </c>
    </row>
    <row r="196" customFormat="false" ht="15" hidden="false" customHeight="false" outlineLevel="0" collapsed="false">
      <c r="A196" s="36" t="n">
        <v>45926</v>
      </c>
      <c r="B196" s="37" t="n">
        <v>25.81</v>
      </c>
      <c r="C196" s="37" t="n">
        <v>26.3</v>
      </c>
      <c r="D196" s="37" t="n">
        <v>25.71</v>
      </c>
      <c r="E196" s="37" t="n">
        <v>26.1</v>
      </c>
      <c r="F196" s="38" t="n">
        <v>2800800</v>
      </c>
      <c r="G196" s="39" t="n">
        <f aca="false">A196-WEEKDAY(A196,3)</f>
        <v>45922</v>
      </c>
      <c r="H196" s="40" t="n">
        <f aca="false">2/(p_EmaF+1)*E196+(1-2/(p_EmaF+1))*H195</f>
        <v>25.010362242961</v>
      </c>
      <c r="I196" s="40" t="n">
        <f aca="false">2/(p_EmaS+1)*E196+(1-2/(p_EmaS+1))*I195</f>
        <v>24.5586610213428</v>
      </c>
      <c r="J196" s="41" t="n">
        <f aca="false">2/(p_MacdF+1)*E196+(1-2/(p_MacdF+1))*J195</f>
        <v>25.0556193833202</v>
      </c>
      <c r="K196" s="41" t="n">
        <f aca="false">2/(p_MacdS+1)*E196+(1-2/(p_MacdS+1))*K195</f>
        <v>24.5586610213428</v>
      </c>
      <c r="L196" s="41" t="n">
        <f aca="false">J196-K196</f>
        <v>0.496958361977384</v>
      </c>
      <c r="M196" s="41" t="n">
        <f aca="false">2/(p_MacdSig+1)*L196+(1-2/(p_MacdSig+1))*M195</f>
        <v>0.376131789537169</v>
      </c>
      <c r="N196" s="41" t="n">
        <f aca="false">L196-M196</f>
        <v>0.120826572440215</v>
      </c>
      <c r="O196" s="42" t="n">
        <f aca="false">IF(H196&gt;H195,1,0)</f>
        <v>1</v>
      </c>
      <c r="P196" s="42" t="n">
        <f aca="false">IF(H196&lt;H195,1,0)</f>
        <v>0</v>
      </c>
      <c r="Q196" s="42" t="n">
        <f aca="false">IF(N196&gt;N195,1,0)</f>
        <v>1</v>
      </c>
      <c r="R196" s="42" t="n">
        <f aca="false">IF(N196&lt;N195,1,0)</f>
        <v>0</v>
      </c>
      <c r="S196" s="42" t="n">
        <f aca="false">IF(AND(O196=1,Q196=1),1,IF(AND(P196=1,R196=1),-1,0))</f>
        <v>1</v>
      </c>
      <c r="T196" s="43" t="str">
        <f aca="false">IF(S196=1,"绿",IF(S196=-1,"红","蓝"))</f>
        <v>绿</v>
      </c>
      <c r="U196" s="44" t="n">
        <f aca="false">F196*(E196-E195)</f>
        <v>504143.999999999</v>
      </c>
      <c r="V196" s="44" t="n">
        <f aca="false">2/(p_FiS+1)*U196+(1-2/(p_FiS+1))*V195</f>
        <v>1569854.04579144</v>
      </c>
      <c r="W196" s="44" t="n">
        <f aca="false">2/(p_FiL+1)*U196+(1-2/(p_FiL+1))*W195</f>
        <v>993698.553472568</v>
      </c>
      <c r="X196" s="41" t="n">
        <f aca="false">MAX(C196-D196,ABS(C196-E195),ABS(D196-E195))</f>
        <v>0.59</v>
      </c>
      <c r="Y196" s="41" t="n">
        <f aca="true">AVERAGE(OFFSET(X196,1-MIN(p_AtrN,ROW()-4),0,MIN(p_AtrN,ROW()-4),1))</f>
        <v>0.793076923076923</v>
      </c>
      <c r="Z196" s="41" t="n">
        <f aca="false">IF(AND(C196-C195&gt;D195-D196,C196-C195&gt;0),C196-C195,0)</f>
        <v>0.150000000000002</v>
      </c>
      <c r="AA196" s="41" t="n">
        <f aca="false">IF(AND(D195-D196&gt;C196-C195,D195-D196&gt;0),D195-D196,0)</f>
        <v>0</v>
      </c>
      <c r="AB196" s="41" t="n">
        <f aca="false">2/(p_AdxN+1)*X196+(1-2/(p_AdxN+1))*AB195</f>
        <v>0.716278008005483</v>
      </c>
      <c r="AC196" s="41" t="n">
        <f aca="false">2/(p_AdxN+1)*Z196+(1-2/(p_AdxN+1))*AC195</f>
        <v>0.21637466100327</v>
      </c>
      <c r="AD196" s="41" t="n">
        <f aca="false">2/(p_AdxN+1)*AA196+(1-2/(p_AdxN+1))*AD195</f>
        <v>0.0762555695905912</v>
      </c>
      <c r="AE196" s="45" t="n">
        <f aca="false">100*AC196/AB196</f>
        <v>30.2081955029972</v>
      </c>
      <c r="AF196" s="45" t="n">
        <f aca="false">100*AD196/AB196</f>
        <v>10.6460855615167</v>
      </c>
      <c r="AG196" s="45" t="n">
        <f aca="false">IFERROR(100*ABS(AE196-AF196)/(AE196+AF196),0)</f>
        <v>47.8826439525138</v>
      </c>
      <c r="AH196" s="45" t="n">
        <f aca="false">2/(p_AdxN+1)*AG196+(1-2/(p_AdxN+1))*AH195</f>
        <v>26.7873485632653</v>
      </c>
      <c r="AI196" s="40" t="n">
        <f aca="false">I196*(1+p_ChPct)</f>
        <v>26.0321806826234</v>
      </c>
      <c r="AJ196" s="40" t="n">
        <f aca="false">I196*(1-p_ChPct)</f>
        <v>23.0851413600623</v>
      </c>
      <c r="AK196" s="40" t="n">
        <f aca="false">I196+1*Y196</f>
        <v>25.3517379444198</v>
      </c>
      <c r="AL196" s="40" t="n">
        <f aca="false">I196+2*Y196</f>
        <v>26.1448148674967</v>
      </c>
      <c r="AM196" s="40" t="n">
        <f aca="false">I196+3*Y196</f>
        <v>26.9378917905736</v>
      </c>
      <c r="AN196" s="40" t="n">
        <f aca="false">I196-1*Y196</f>
        <v>23.7655840982659</v>
      </c>
      <c r="AO196" s="40" t="n">
        <f aca="false">I196-2*Y196</f>
        <v>22.972507175189</v>
      </c>
      <c r="AP196" s="40" t="n">
        <f aca="false">I196-3*Y196</f>
        <v>22.1794302521121</v>
      </c>
      <c r="AQ196" s="40" t="n">
        <f aca="true">MAX(OFFSET(C196,1-MIN(p_StochN,ROW()-4),0,MIN(p_StochN,ROW()-4),1))</f>
        <v>26.3</v>
      </c>
      <c r="AR196" s="40" t="n">
        <f aca="true">MIN(OFFSET(D196,1-MIN(p_StochN,ROW()-4),0,MIN(p_StochN,ROW()-4),1))</f>
        <v>24.78</v>
      </c>
      <c r="AS196" s="45" t="n">
        <f aca="false">IF(AQ196=AR196,50,100*(E196-AR196)/(AQ196-AR196))</f>
        <v>86.8421052631579</v>
      </c>
      <c r="AT196" s="45" t="n">
        <f aca="true">AVERAGE(OFFSET(AS196,1-MIN(p_StochSm,ROW()-4),0,MIN(p_StochSm,ROW()-4),1))</f>
        <v>86.024993991829</v>
      </c>
      <c r="AU196" s="45" t="n">
        <f aca="true">AVERAGE(OFFSET(AT196,1-MIN(p_StochSm,ROW()-4),0,MIN(p_StochSm,ROW()-4),1))</f>
        <v>88.3573159255925</v>
      </c>
      <c r="AV196" s="41" t="n">
        <f aca="false">MAX(0,H196-D196)</f>
        <v>0</v>
      </c>
      <c r="AW196" s="41" t="n">
        <f aca="true">IF(COUNTIF(OFFSET(AV196,1-MIN(p_PenLb,ROW()-4),0,MIN(p_PenLb,ROW()-4),1),"&gt;0")&gt;0,SUM(OFFSET(AV196,1-MIN(p_PenLb,ROW()-4),0,MIN(p_PenLb,ROW()-4),1))/COUNTIF(OFFSET(AV196,1-MIN(p_PenLb,ROW()-4),0,MIN(p_PenLb,ROW()-4),1),"&gt;0"),0.5*Y196)</f>
        <v>0.377887406151935</v>
      </c>
      <c r="AX196" s="41" t="n">
        <f aca="false">2*H196-H195</f>
        <v>25.1919685358008</v>
      </c>
      <c r="AY196" s="40" t="n">
        <f aca="false">ROUND(MAX(AX196-AW196,0.01),2)</f>
        <v>24.81</v>
      </c>
      <c r="AZ196" s="40" t="n">
        <f aca="true">IF(MIN(p_StopLb,ROW()-4)&lt;2,D196,SMALL(OFFSET(D196,1-MIN(p_StopLb,ROW()-4),0,MIN(p_StopLb,ROW()-4),1),2))</f>
        <v>23.51</v>
      </c>
      <c r="BA196" s="40" t="n">
        <f aca="false">IF(MOD(ROUND(ROUNDDOWN(MIN(AZ196-0.01,AY196-p_StopAtr*Y196),2)*100,0),50)=0,ROUNDDOWN(MIN(AZ196-0.01,AY196-p_StopAtr*Y196),2)-0.01,ROUNDDOWN(MIN(AZ196-0.01,AY196-p_StopAtr*Y196),2))</f>
        <v>23.49</v>
      </c>
      <c r="BB196" s="40" t="n">
        <f aca="false">ROUND(AI196,2)</f>
        <v>26.03</v>
      </c>
      <c r="BC196" s="40" t="n">
        <f aca="false">IF(AY196-BA196&gt;0,(BB196-AY196)/(AY196-BA196),0)</f>
        <v>0.924242424242426</v>
      </c>
      <c r="BD196" s="42" t="n">
        <f aca="false">IF(N196&lt;0,1,0)</f>
        <v>0</v>
      </c>
      <c r="BE196" s="41" t="n">
        <f aca="false">IF(AND(BD196=1,BD195=0),N196,IF(BD196=1,MIN(BE195,N196),BE195))</f>
        <v>-0.0622611748996084</v>
      </c>
      <c r="BF196" s="40" t="n">
        <f aca="false">IF(AND(BD196=1,BD195=0),D196,IF(BD196=1,MIN(BF195,D196),BF195))</f>
        <v>23.33</v>
      </c>
      <c r="BG196" s="42" t="n">
        <f aca="false">IF(AND(BD196=1,BD195=0),ROW(),IF(BD196=1,IF(N196&lt;BE195,ROW(),BG195),BG195))</f>
        <v>190</v>
      </c>
      <c r="BH196" s="41" t="n">
        <f aca="false">IF(AND(BD196=1,BD195=0),BE195,BH195)</f>
        <v>-0.149433863515745</v>
      </c>
      <c r="BI196" s="40" t="n">
        <f aca="false">IF(AND(BD196=1,BD195=0),BF195,BI195)</f>
        <v>23.49</v>
      </c>
      <c r="BJ196" s="42" t="n">
        <f aca="false">IF(AND(BD196=1,BD195=0),BG195,BJ195)</f>
        <v>179</v>
      </c>
      <c r="BK196" s="42" t="n">
        <f aca="false">IF(AND(ISNUMBER(BG196),ISNUMBER(BJ196)),BG196-BJ196,"")</f>
        <v>11</v>
      </c>
      <c r="BL196" s="42" t="n">
        <f aca="false">IF(AND(BD196=1,N196&gt;N195,ISNUMBER(BH196),ISNUMBER(BK196)),IF(AND(BE196&gt;BH196,BF196&lt;BI196,BK196&gt;=p_GapMin,BK196&lt;=p_GapMax),1,0),0)</f>
        <v>0</v>
      </c>
      <c r="BM196" s="42" t="n">
        <f aca="false">IF(AND(BL196=1,E196&gt;BI196),1,0)</f>
        <v>0</v>
      </c>
      <c r="BN196" s="42" t="n">
        <f aca="false">IF(BL196=1,IF(BE196&gt;=BH196*0.5,1,0),0)</f>
        <v>0</v>
      </c>
      <c r="BO196" s="42" t="n">
        <f aca="true">IF(V196&gt;MIN(OFFSET(V196,-MIN(p_FiLb-1,ROW()-5),0,MIN(p_FiLb-1,ROW()-5),1)),1,0)</f>
        <v>1</v>
      </c>
      <c r="BP196" s="44" t="n">
        <f aca="true">IF(COUNTIF(OFFSET(V196,1-MIN(100,ROW()-4),0,MIN(100,ROW()-4),1),"&lt;0")&gt;=5,AVERAGEIF(OFFSET(V196,1-MIN(100,ROW()-4),0,MIN(100,ROW()-4),1),"&lt;0"),"")</f>
        <v>-866881.612736646</v>
      </c>
      <c r="BQ196" s="42" t="n">
        <f aca="false">IF(ISNUMBER(BP196),IF(AND(V196&lt;5*BP196,V196&gt;V195,E196&lt;AJ196),1,0),0)</f>
        <v>0</v>
      </c>
      <c r="BR196" s="44" t="n">
        <f aca="true">AVERAGE(OFFSET(F196,1-MIN(5,ROW()-4),0,MIN(5,ROW()-4),1))</f>
        <v>3729040</v>
      </c>
      <c r="BS196" s="42" t="n">
        <f aca="false">IFERROR(IF(MATCH(G196,周线!$A$5:$A$84,0)&lt;=1,"",INDEX(周线!$R$5:$R$84,MATCH(G196,周线!$A$5:$A$84,0)-1)),"")</f>
        <v>1</v>
      </c>
      <c r="BT196" s="42" t="n">
        <f aca="false">IFERROR(IF(MATCH(G196,周线!$A$5:$A$84,0)&lt;=1,"",INDEX(周线!$S$5:$S$84,MATCH(G196,周线!$A$5:$A$84,0)-1)),"")</f>
        <v>1</v>
      </c>
      <c r="BU196" s="42" t="n">
        <f aca="false">IFERROR(IF(MATCH(G196,周线!$A$5:$A$84,0)&lt;=1,"",INDEX(周线!$U$5:$U$84,MATCH(G196,周线!$A$5:$A$84,0)-1)),"")</f>
        <v>1</v>
      </c>
      <c r="BV196" s="42" t="n">
        <f aca="false">IF(AND(BS196=1,S196&lt;&gt;-1,V196&lt;0,BO196=1,E196&lt;=H196,E196&gt;=AJ196),1,0)</f>
        <v>0</v>
      </c>
      <c r="BW196" s="42" t="n">
        <f aca="false">BL196</f>
        <v>0</v>
      </c>
      <c r="BX196" s="42" t="n">
        <f aca="false">BQ196</f>
        <v>0</v>
      </c>
      <c r="BY196" s="42" t="n">
        <f aca="false">IF(BS196=1,10,0)+IF(BU196=1,5,IF(BU196=-1,0,3))+IF(BT196=1,5,0)+IF(AND(AE196&gt;AF196,AH196&gt;AH195),5,0)</f>
        <v>25</v>
      </c>
      <c r="BZ196" s="42" t="n">
        <f aca="false">IF(AND(E196&lt;=H196,E196&gt;=I196),10,IF(AND(E196&gt;=AJ196,E196&lt;I196),6,0))+IF(AND(V196&lt;0,BO196=1),8,0)+IF(AT196&lt;30,7,IF(AT196&lt;50,3,0))</f>
        <v>0</v>
      </c>
      <c r="CA196" s="42" t="n">
        <f aca="false">IF(AND(BV196=1,BW196=1),25,IF(BW196=1,22,IF(BV196=1,15,IF(BX196=1,12,0))))</f>
        <v>0</v>
      </c>
      <c r="CB196" s="42" t="n">
        <f aca="false">IF(W196&gt;0,6,0)+IF(F196&lt;BR196,4,0)</f>
        <v>10</v>
      </c>
      <c r="CC196" s="42" t="n">
        <f aca="false">IF(BC196&gt;=3,15,IF(BC196&gt;=p_RRmin,10,IF(BC196&gt;=1.5,4,0)))</f>
        <v>0</v>
      </c>
      <c r="CD196" s="42" t="n">
        <f aca="false">BY196+BZ196+CA196+CB196+CC196</f>
        <v>35</v>
      </c>
      <c r="CE196" s="42" t="n">
        <f aca="false">IF(AND(BS196&lt;&gt;1,BW196+BX196=0),1,0)</f>
        <v>0</v>
      </c>
      <c r="CF196" s="42" t="n">
        <f aca="false">IF(BU196=-1,1,0)</f>
        <v>0</v>
      </c>
      <c r="CG196" s="42" t="n">
        <f aca="false">IF(S196=-1,1,0)</f>
        <v>0</v>
      </c>
      <c r="CH196" s="42" t="n">
        <f aca="false">IF(BV196+BW196+BX196=0,1,0)</f>
        <v>1</v>
      </c>
      <c r="CI196" s="42" t="n">
        <f aca="false">IF(BC196&lt;p_RRmin,1,0)</f>
        <v>1</v>
      </c>
      <c r="CJ196" s="46" t="str">
        <f aca="false">IF(SUM(CE196:CI196)=0,IF(CD196&gt;=p_GradeA,"A",IF(CD196&gt;=p_GradeB,"B","C")),IF(AND(CI196=1,SUM(CE196:CH196)=0,CD196&gt;=p_GradeB),"B","C"))</f>
        <v>C</v>
      </c>
    </row>
    <row r="197" customFormat="false" ht="15" hidden="false" customHeight="false" outlineLevel="0" collapsed="false">
      <c r="A197" s="36" t="n">
        <v>45929</v>
      </c>
      <c r="B197" s="37" t="n">
        <v>26.15</v>
      </c>
      <c r="C197" s="37" t="n">
        <v>26.53</v>
      </c>
      <c r="D197" s="37" t="n">
        <v>25.96</v>
      </c>
      <c r="E197" s="37" t="n">
        <v>26.31</v>
      </c>
      <c r="F197" s="38" t="n">
        <v>4524600</v>
      </c>
      <c r="G197" s="39" t="n">
        <f aca="false">A197-WEEKDAY(A197,3)</f>
        <v>45929</v>
      </c>
      <c r="H197" s="40" t="n">
        <f aca="false">2/(p_EmaF+1)*E197+(1-2/(p_EmaF+1))*H196</f>
        <v>25.1960247796808</v>
      </c>
      <c r="I197" s="40" t="n">
        <f aca="false">2/(p_EmaS+1)*E197+(1-2/(p_EmaS+1))*I196</f>
        <v>24.6883898345767</v>
      </c>
      <c r="J197" s="41" t="n">
        <f aca="false">2/(p_MacdF+1)*E197+(1-2/(p_MacdF+1))*J196</f>
        <v>25.2486010166556</v>
      </c>
      <c r="K197" s="41" t="n">
        <f aca="false">2/(p_MacdS+1)*E197+(1-2/(p_MacdS+1))*K196</f>
        <v>24.6883898345767</v>
      </c>
      <c r="L197" s="41" t="n">
        <f aca="false">J197-K197</f>
        <v>0.56021118207887</v>
      </c>
      <c r="M197" s="41" t="n">
        <f aca="false">2/(p_MacdSig+1)*L197+(1-2/(p_MacdSig+1))*M196</f>
        <v>0.412947668045509</v>
      </c>
      <c r="N197" s="41" t="n">
        <f aca="false">L197-M197</f>
        <v>0.147263514033361</v>
      </c>
      <c r="O197" s="42" t="n">
        <f aca="false">IF(H197&gt;H196,1,0)</f>
        <v>1</v>
      </c>
      <c r="P197" s="42" t="n">
        <f aca="false">IF(H197&lt;H196,1,0)</f>
        <v>0</v>
      </c>
      <c r="Q197" s="42" t="n">
        <f aca="false">IF(N197&gt;N196,1,0)</f>
        <v>1</v>
      </c>
      <c r="R197" s="42" t="n">
        <f aca="false">IF(N197&lt;N196,1,0)</f>
        <v>0</v>
      </c>
      <c r="S197" s="42" t="n">
        <f aca="false">IF(AND(O197=1,Q197=1),1,IF(AND(P197=1,R197=1),-1,0))</f>
        <v>1</v>
      </c>
      <c r="T197" s="43" t="str">
        <f aca="false">IF(S197=1,"绿",IF(S197=-1,"红","蓝"))</f>
        <v>绿</v>
      </c>
      <c r="U197" s="44" t="n">
        <f aca="false">F197*(E197-E196)</f>
        <v>950165.999999988</v>
      </c>
      <c r="V197" s="44" t="n">
        <f aca="false">2/(p_FiS+1)*U197+(1-2/(p_FiS+1))*V196</f>
        <v>1156728.68193047</v>
      </c>
      <c r="W197" s="44" t="n">
        <f aca="false">2/(p_FiL+1)*U197+(1-2/(p_FiL+1))*W196</f>
        <v>987479.617262199</v>
      </c>
      <c r="X197" s="41" t="n">
        <f aca="false">MAX(C197-D197,ABS(C197-E196),ABS(D197-E196))</f>
        <v>0.57</v>
      </c>
      <c r="Y197" s="41" t="n">
        <f aca="true">AVERAGE(OFFSET(X197,1-MIN(p_AtrN,ROW()-4),0,MIN(p_AtrN,ROW()-4),1))</f>
        <v>0.741538461538461</v>
      </c>
      <c r="Z197" s="41" t="n">
        <f aca="false">IF(AND(C197-C196&gt;D196-D197,C197-C196&gt;0),C197-C196,0)</f>
        <v>0.23</v>
      </c>
      <c r="AA197" s="41" t="n">
        <f aca="false">IF(AND(D196-D197&gt;C197-C196,D196-D197&gt;0),D196-D197,0)</f>
        <v>0</v>
      </c>
      <c r="AB197" s="41" t="n">
        <f aca="false">2/(p_AdxN+1)*X197+(1-2/(p_AdxN+1))*AB196</f>
        <v>0.695381149718985</v>
      </c>
      <c r="AC197" s="41" t="n">
        <f aca="false">2/(p_AdxN+1)*Z197+(1-2/(p_AdxN+1))*AC196</f>
        <v>0.218321138002803</v>
      </c>
      <c r="AD197" s="41" t="n">
        <f aca="false">2/(p_AdxN+1)*AA197+(1-2/(p_AdxN+1))*AD196</f>
        <v>0.0653619167919354</v>
      </c>
      <c r="AE197" s="45" t="n">
        <f aca="false">100*AC197/AB197</f>
        <v>31.3958953432991</v>
      </c>
      <c r="AF197" s="45" t="n">
        <f aca="false">100*AD197/AB197</f>
        <v>9.39943753412775</v>
      </c>
      <c r="AG197" s="45" t="n">
        <f aca="false">IFERROR(100*ABS(AE197-AF197)/(AE197+AF197),0)</f>
        <v>53.9190546018135</v>
      </c>
      <c r="AH197" s="45" t="n">
        <f aca="false">2/(p_AdxN+1)*AG197+(1-2/(p_AdxN+1))*AH196</f>
        <v>30.6633065687722</v>
      </c>
      <c r="AI197" s="40" t="n">
        <f aca="false">I197*(1+p_ChPct)</f>
        <v>26.1696932246513</v>
      </c>
      <c r="AJ197" s="40" t="n">
        <f aca="false">I197*(1-p_ChPct)</f>
        <v>23.2070864445021</v>
      </c>
      <c r="AK197" s="40" t="n">
        <f aca="false">I197+1*Y197</f>
        <v>25.4299282961152</v>
      </c>
      <c r="AL197" s="40" t="n">
        <f aca="false">I197+2*Y197</f>
        <v>26.1714667576536</v>
      </c>
      <c r="AM197" s="40" t="n">
        <f aca="false">I197+3*Y197</f>
        <v>26.9130052191921</v>
      </c>
      <c r="AN197" s="40" t="n">
        <f aca="false">I197-1*Y197</f>
        <v>23.9468513730382</v>
      </c>
      <c r="AO197" s="40" t="n">
        <f aca="false">I197-2*Y197</f>
        <v>23.2053129114998</v>
      </c>
      <c r="AP197" s="40" t="n">
        <f aca="false">I197-3*Y197</f>
        <v>22.4637744499613</v>
      </c>
      <c r="AQ197" s="40" t="n">
        <f aca="true">MAX(OFFSET(C197,1-MIN(p_StochN,ROW()-4),0,MIN(p_StochN,ROW()-4),1))</f>
        <v>26.53</v>
      </c>
      <c r="AR197" s="40" t="n">
        <f aca="true">MIN(OFFSET(D197,1-MIN(p_StochN,ROW()-4),0,MIN(p_StochN,ROW()-4),1))</f>
        <v>24.83</v>
      </c>
      <c r="AS197" s="45" t="n">
        <f aca="false">IF(AQ197=AR197,50,100*(E197-AR197)/(AQ197-AR197))</f>
        <v>87.0588235294117</v>
      </c>
      <c r="AT197" s="45" t="n">
        <f aca="true">AVERAGE(OFFSET(AS197,1-MIN(p_StochSm,ROW()-4),0,MIN(p_StochSm,ROW()-4),1))</f>
        <v>87.7995485625156</v>
      </c>
      <c r="AU197" s="45" t="n">
        <f aca="true">AVERAGE(OFFSET(AT197,1-MIN(p_StochSm,ROW()-4),0,MIN(p_StochSm,ROW()-4),1))</f>
        <v>87.5027952472337</v>
      </c>
      <c r="AV197" s="41" t="n">
        <f aca="false">MAX(0,H197-D197)</f>
        <v>0</v>
      </c>
      <c r="AW197" s="41" t="n">
        <f aca="true">IF(COUNTIF(OFFSET(AV197,1-MIN(p_PenLb,ROW()-4),0,MIN(p_PenLb,ROW()-4),1),"&gt;0")&gt;0,SUM(OFFSET(AV197,1-MIN(p_PenLb,ROW()-4),0,MIN(p_PenLb,ROW()-4),1))/COUNTIF(OFFSET(AV197,1-MIN(p_PenLb,ROW()-4),0,MIN(p_PenLb,ROW()-4),1),"&gt;0"),0.5*Y197)</f>
        <v>0.377887406151935</v>
      </c>
      <c r="AX197" s="41" t="n">
        <f aca="false">2*H197-H196</f>
        <v>25.3816873164007</v>
      </c>
      <c r="AY197" s="40" t="n">
        <f aca="false">ROUND(MAX(AX197-AW197,0.01),2)</f>
        <v>25</v>
      </c>
      <c r="AZ197" s="40" t="n">
        <f aca="true">IF(MIN(p_StopLb,ROW()-4)&lt;2,D197,SMALL(OFFSET(D197,1-MIN(p_StopLb,ROW()-4),0,MIN(p_StopLb,ROW()-4),1),2))</f>
        <v>23.51</v>
      </c>
      <c r="BA197" s="40" t="n">
        <f aca="false">IF(MOD(ROUND(ROUNDDOWN(MIN(AZ197-0.01,AY197-p_StopAtr*Y197),2)*100,0),50)=0,ROUNDDOWN(MIN(AZ197-0.01,AY197-p_StopAtr*Y197),2)-0.01,ROUNDDOWN(MIN(AZ197-0.01,AY197-p_StopAtr*Y197),2))</f>
        <v>23.49</v>
      </c>
      <c r="BB197" s="40" t="n">
        <f aca="false">ROUND(AI197,2)</f>
        <v>26.17</v>
      </c>
      <c r="BC197" s="40" t="n">
        <f aca="false">IF(AY197-BA197&gt;0,(BB197-AY197)/(AY197-BA197),0)</f>
        <v>0.774834437086093</v>
      </c>
      <c r="BD197" s="42" t="n">
        <f aca="false">IF(N197&lt;0,1,0)</f>
        <v>0</v>
      </c>
      <c r="BE197" s="41" t="n">
        <f aca="false">IF(AND(BD197=1,BD196=0),N197,IF(BD197=1,MIN(BE196,N197),BE196))</f>
        <v>-0.0622611748996084</v>
      </c>
      <c r="BF197" s="40" t="n">
        <f aca="false">IF(AND(BD197=1,BD196=0),D197,IF(BD197=1,MIN(BF196,D197),BF196))</f>
        <v>23.33</v>
      </c>
      <c r="BG197" s="42" t="n">
        <f aca="false">IF(AND(BD197=1,BD196=0),ROW(),IF(BD197=1,IF(N197&lt;BE196,ROW(),BG196),BG196))</f>
        <v>190</v>
      </c>
      <c r="BH197" s="41" t="n">
        <f aca="false">IF(AND(BD197=1,BD196=0),BE196,BH196)</f>
        <v>-0.149433863515745</v>
      </c>
      <c r="BI197" s="40" t="n">
        <f aca="false">IF(AND(BD197=1,BD196=0),BF196,BI196)</f>
        <v>23.49</v>
      </c>
      <c r="BJ197" s="42" t="n">
        <f aca="false">IF(AND(BD197=1,BD196=0),BG196,BJ196)</f>
        <v>179</v>
      </c>
      <c r="BK197" s="42" t="n">
        <f aca="false">IF(AND(ISNUMBER(BG197),ISNUMBER(BJ197)),BG197-BJ197,"")</f>
        <v>11</v>
      </c>
      <c r="BL197" s="42" t="n">
        <f aca="false">IF(AND(BD197=1,N197&gt;N196,ISNUMBER(BH197),ISNUMBER(BK197)),IF(AND(BE197&gt;BH197,BF197&lt;BI197,BK197&gt;=p_GapMin,BK197&lt;=p_GapMax),1,0),0)</f>
        <v>0</v>
      </c>
      <c r="BM197" s="42" t="n">
        <f aca="false">IF(AND(BL197=1,E197&gt;BI197),1,0)</f>
        <v>0</v>
      </c>
      <c r="BN197" s="42" t="n">
        <f aca="false">IF(BL197=1,IF(BE197&gt;=BH197*0.5,1,0),0)</f>
        <v>0</v>
      </c>
      <c r="BO197" s="42" t="n">
        <f aca="true">IF(V197&gt;MIN(OFFSET(V197,-MIN(p_FiLb-1,ROW()-5),0,MIN(p_FiLb-1,ROW()-5),1)),1,0)</f>
        <v>1</v>
      </c>
      <c r="BP197" s="44" t="n">
        <f aca="true">IF(COUNTIF(OFFSET(V197,1-MIN(100,ROW()-4),0,MIN(100,ROW()-4),1),"&lt;0")&gt;=5,AVERAGEIF(OFFSET(V197,1-MIN(100,ROW()-4),0,MIN(100,ROW()-4),1),"&lt;0"),"")</f>
        <v>-839717.514362262</v>
      </c>
      <c r="BQ197" s="42" t="n">
        <f aca="false">IF(ISNUMBER(BP197),IF(AND(V197&lt;5*BP197,V197&gt;V196,E197&lt;AJ197),1,0),0)</f>
        <v>0</v>
      </c>
      <c r="BR197" s="44" t="n">
        <f aca="true">AVERAGE(OFFSET(F197,1-MIN(5,ROW()-4),0,MIN(5,ROW()-4),1))</f>
        <v>3802240</v>
      </c>
      <c r="BS197" s="42" t="n">
        <f aca="false">IFERROR(IF(MATCH(G197,周线!$A$5:$A$84,0)&lt;=1,"",INDEX(周线!$R$5:$R$84,MATCH(G197,周线!$A$5:$A$84,0)-1)),"")</f>
        <v>1</v>
      </c>
      <c r="BT197" s="42" t="n">
        <f aca="false">IFERROR(IF(MATCH(G197,周线!$A$5:$A$84,0)&lt;=1,"",INDEX(周线!$S$5:$S$84,MATCH(G197,周线!$A$5:$A$84,0)-1)),"")</f>
        <v>1</v>
      </c>
      <c r="BU197" s="42" t="n">
        <f aca="false">IFERROR(IF(MATCH(G197,周线!$A$5:$A$84,0)&lt;=1,"",INDEX(周线!$U$5:$U$84,MATCH(G197,周线!$A$5:$A$84,0)-1)),"")</f>
        <v>1</v>
      </c>
      <c r="BV197" s="42" t="n">
        <f aca="false">IF(AND(BS197=1,S197&lt;&gt;-1,V197&lt;0,BO197=1,E197&lt;=H197,E197&gt;=AJ197),1,0)</f>
        <v>0</v>
      </c>
      <c r="BW197" s="42" t="n">
        <f aca="false">BL197</f>
        <v>0</v>
      </c>
      <c r="BX197" s="42" t="n">
        <f aca="false">BQ197</f>
        <v>0</v>
      </c>
      <c r="BY197" s="42" t="n">
        <f aca="false">IF(BS197=1,10,0)+IF(BU197=1,5,IF(BU197=-1,0,3))+IF(BT197=1,5,0)+IF(AND(AE197&gt;AF197,AH197&gt;AH196),5,0)</f>
        <v>25</v>
      </c>
      <c r="BZ197" s="42" t="n">
        <f aca="false">IF(AND(E197&lt;=H197,E197&gt;=I197),10,IF(AND(E197&gt;=AJ197,E197&lt;I197),6,0))+IF(AND(V197&lt;0,BO197=1),8,0)+IF(AT197&lt;30,7,IF(AT197&lt;50,3,0))</f>
        <v>0</v>
      </c>
      <c r="CA197" s="42" t="n">
        <f aca="false">IF(AND(BV197=1,BW197=1),25,IF(BW197=1,22,IF(BV197=1,15,IF(BX197=1,12,0))))</f>
        <v>0</v>
      </c>
      <c r="CB197" s="42" t="n">
        <f aca="false">IF(W197&gt;0,6,0)+IF(F197&lt;BR197,4,0)</f>
        <v>6</v>
      </c>
      <c r="CC197" s="42" t="n">
        <f aca="false">IF(BC197&gt;=3,15,IF(BC197&gt;=p_RRmin,10,IF(BC197&gt;=1.5,4,0)))</f>
        <v>0</v>
      </c>
      <c r="CD197" s="42" t="n">
        <f aca="false">BY197+BZ197+CA197+CB197+CC197</f>
        <v>31</v>
      </c>
      <c r="CE197" s="42" t="n">
        <f aca="false">IF(AND(BS197&lt;&gt;1,BW197+BX197=0),1,0)</f>
        <v>0</v>
      </c>
      <c r="CF197" s="42" t="n">
        <f aca="false">IF(BU197=-1,1,0)</f>
        <v>0</v>
      </c>
      <c r="CG197" s="42" t="n">
        <f aca="false">IF(S197=-1,1,0)</f>
        <v>0</v>
      </c>
      <c r="CH197" s="42" t="n">
        <f aca="false">IF(BV197+BW197+BX197=0,1,0)</f>
        <v>1</v>
      </c>
      <c r="CI197" s="42" t="n">
        <f aca="false">IF(BC197&lt;p_RRmin,1,0)</f>
        <v>1</v>
      </c>
      <c r="CJ197" s="46" t="str">
        <f aca="false">IF(SUM(CE197:CI197)=0,IF(CD197&gt;=p_GradeA,"A",IF(CD197&gt;=p_GradeB,"B","C")),IF(AND(CI197=1,SUM(CE197:CH197)=0,CD197&gt;=p_GradeB),"B","C"))</f>
        <v>C</v>
      </c>
    </row>
    <row r="198" customFormat="false" ht="15" hidden="false" customHeight="false" outlineLevel="0" collapsed="false">
      <c r="A198" s="36" t="n">
        <v>45930</v>
      </c>
      <c r="B198" s="37" t="n">
        <v>26.34</v>
      </c>
      <c r="C198" s="37" t="n">
        <v>26.63</v>
      </c>
      <c r="D198" s="37" t="n">
        <v>26.14</v>
      </c>
      <c r="E198" s="37" t="n">
        <v>26.48</v>
      </c>
      <c r="F198" s="38" t="n">
        <v>3564200</v>
      </c>
      <c r="G198" s="39" t="n">
        <f aca="false">A198-WEEKDAY(A198,3)</f>
        <v>45929</v>
      </c>
      <c r="H198" s="40" t="n">
        <f aca="false">2/(p_EmaF+1)*E198+(1-2/(p_EmaF+1))*H197</f>
        <v>25.379449811155</v>
      </c>
      <c r="I198" s="40" t="n">
        <f aca="false">2/(p_EmaS+1)*E198+(1-2/(p_EmaS+1))*I197</f>
        <v>24.8211016986821</v>
      </c>
      <c r="J198" s="41" t="n">
        <f aca="false">2/(p_MacdF+1)*E198+(1-2/(p_MacdF+1))*J197</f>
        <v>25.4380470140932</v>
      </c>
      <c r="K198" s="41" t="n">
        <f aca="false">2/(p_MacdS+1)*E198+(1-2/(p_MacdS+1))*K197</f>
        <v>24.8211016986821</v>
      </c>
      <c r="L198" s="41" t="n">
        <f aca="false">J198-K198</f>
        <v>0.616945315411044</v>
      </c>
      <c r="M198" s="41" t="n">
        <f aca="false">2/(p_MacdSig+1)*L198+(1-2/(p_MacdSig+1))*M197</f>
        <v>0.453747197518616</v>
      </c>
      <c r="N198" s="41" t="n">
        <f aca="false">L198-M198</f>
        <v>0.163198117892428</v>
      </c>
      <c r="O198" s="42" t="n">
        <f aca="false">IF(H198&gt;H197,1,0)</f>
        <v>1</v>
      </c>
      <c r="P198" s="42" t="n">
        <f aca="false">IF(H198&lt;H197,1,0)</f>
        <v>0</v>
      </c>
      <c r="Q198" s="42" t="n">
        <f aca="false">IF(N198&gt;N197,1,0)</f>
        <v>1</v>
      </c>
      <c r="R198" s="42" t="n">
        <f aca="false">IF(N198&lt;N197,1,0)</f>
        <v>0</v>
      </c>
      <c r="S198" s="42" t="n">
        <f aca="false">IF(AND(O198=1,Q198=1),1,IF(AND(P198=1,R198=1),-1,0))</f>
        <v>1</v>
      </c>
      <c r="T198" s="43" t="str">
        <f aca="false">IF(S198=1,"绿",IF(S198=-1,"红","蓝"))</f>
        <v>绿</v>
      </c>
      <c r="U198" s="44" t="n">
        <f aca="false">F198*(E198-E197)</f>
        <v>605914.000000006</v>
      </c>
      <c r="V198" s="44" t="n">
        <f aca="false">2/(p_FiS+1)*U198+(1-2/(p_FiS+1))*V197</f>
        <v>789518.893976828</v>
      </c>
      <c r="W198" s="44" t="n">
        <f aca="false">2/(p_FiL+1)*U198+(1-2/(p_FiL+1))*W197</f>
        <v>932970.2433676</v>
      </c>
      <c r="X198" s="41" t="n">
        <f aca="false">MAX(C198-D198,ABS(C198-E197),ABS(D198-E197))</f>
        <v>0.489999999999998</v>
      </c>
      <c r="Y198" s="41" t="n">
        <f aca="true">AVERAGE(OFFSET(X198,1-MIN(p_AtrN,ROW()-4),0,MIN(p_AtrN,ROW()-4),1))</f>
        <v>0.741538461538461</v>
      </c>
      <c r="Z198" s="41" t="n">
        <f aca="false">IF(AND(C198-C197&gt;D197-D198,C198-C197&gt;0),C198-C197,0)</f>
        <v>0.0999999999999979</v>
      </c>
      <c r="AA198" s="41" t="n">
        <f aca="false">IF(AND(D197-D198&gt;C198-C197,D197-D198&gt;0),D197-D198,0)</f>
        <v>0</v>
      </c>
      <c r="AB198" s="41" t="n">
        <f aca="false">2/(p_AdxN+1)*X198+(1-2/(p_AdxN+1))*AB197</f>
        <v>0.666040985473416</v>
      </c>
      <c r="AC198" s="41" t="n">
        <f aca="false">2/(p_AdxN+1)*Z198+(1-2/(p_AdxN+1))*AC197</f>
        <v>0.201418118288116</v>
      </c>
      <c r="AD198" s="41" t="n">
        <f aca="false">2/(p_AdxN+1)*AA198+(1-2/(p_AdxN+1))*AD197</f>
        <v>0.0560245001073732</v>
      </c>
      <c r="AE198" s="45" t="n">
        <f aca="false">100*AC198/AB198</f>
        <v>30.2410996742115</v>
      </c>
      <c r="AF198" s="45" t="n">
        <f aca="false">100*AD198/AB198</f>
        <v>8.41156945732874</v>
      </c>
      <c r="AG198" s="45" t="n">
        <f aca="false">IFERROR(100*ABS(AE198-AF198)/(AE198+AF198),0)</f>
        <v>56.4761262478251</v>
      </c>
      <c r="AH198" s="45" t="n">
        <f aca="false">2/(p_AdxN+1)*AG198+(1-2/(p_AdxN+1))*AH197</f>
        <v>34.3508522372083</v>
      </c>
      <c r="AI198" s="40" t="n">
        <f aca="false">I198*(1+p_ChPct)</f>
        <v>26.3103678006031</v>
      </c>
      <c r="AJ198" s="40" t="n">
        <f aca="false">I198*(1-p_ChPct)</f>
        <v>23.3318355967612</v>
      </c>
      <c r="AK198" s="40" t="n">
        <f aca="false">I198+1*Y198</f>
        <v>25.5626401602206</v>
      </c>
      <c r="AL198" s="40" t="n">
        <f aca="false">I198+2*Y198</f>
        <v>26.3041786217591</v>
      </c>
      <c r="AM198" s="40" t="n">
        <f aca="false">I198+3*Y198</f>
        <v>27.0457170832975</v>
      </c>
      <c r="AN198" s="40" t="n">
        <f aca="false">I198-1*Y198</f>
        <v>24.0795632371437</v>
      </c>
      <c r="AO198" s="40" t="n">
        <f aca="false">I198-2*Y198</f>
        <v>23.3380247756052</v>
      </c>
      <c r="AP198" s="40" t="n">
        <f aca="false">I198-3*Y198</f>
        <v>22.5964863140668</v>
      </c>
      <c r="AQ198" s="40" t="n">
        <f aca="true">MAX(OFFSET(C198,1-MIN(p_StochN,ROW()-4),0,MIN(p_StochN,ROW()-4),1))</f>
        <v>26.63</v>
      </c>
      <c r="AR198" s="40" t="n">
        <f aca="true">MIN(OFFSET(D198,1-MIN(p_StochN,ROW()-4),0,MIN(p_StochN,ROW()-4),1))</f>
        <v>24.83</v>
      </c>
      <c r="AS198" s="45" t="n">
        <f aca="false">IF(AQ198=AR198,50,100*(E198-AR198)/(AQ198-AR198))</f>
        <v>91.6666666666668</v>
      </c>
      <c r="AT198" s="45" t="n">
        <f aca="true">AVERAGE(OFFSET(AS198,1-MIN(p_StochSm,ROW()-4),0,MIN(p_StochSm,ROW()-4),1))</f>
        <v>88.5225318197455</v>
      </c>
      <c r="AU198" s="45" t="n">
        <f aca="true">AVERAGE(OFFSET(AT198,1-MIN(p_StochSm,ROW()-4),0,MIN(p_StochSm,ROW()-4),1))</f>
        <v>87.4490247913634</v>
      </c>
      <c r="AV198" s="41" t="n">
        <f aca="false">MAX(0,H198-D198)</f>
        <v>0</v>
      </c>
      <c r="AW198" s="41" t="n">
        <f aca="true">IF(COUNTIF(OFFSET(AV198,1-MIN(p_PenLb,ROW()-4),0,MIN(p_PenLb,ROW()-4),1),"&gt;0")&gt;0,SUM(OFFSET(AV198,1-MIN(p_PenLb,ROW()-4),0,MIN(p_PenLb,ROW()-4),1))/COUNTIF(OFFSET(AV198,1-MIN(p_PenLb,ROW()-4),0,MIN(p_PenLb,ROW()-4),1),"&gt;0"),0.5*Y198)</f>
        <v>0.377887406151935</v>
      </c>
      <c r="AX198" s="41" t="n">
        <f aca="false">2*H198-H197</f>
        <v>25.5628748426292</v>
      </c>
      <c r="AY198" s="40" t="n">
        <f aca="false">ROUND(MAX(AX198-AW198,0.01),2)</f>
        <v>25.18</v>
      </c>
      <c r="AZ198" s="40" t="n">
        <f aca="true">IF(MIN(p_StopLb,ROW()-4)&lt;2,D198,SMALL(OFFSET(D198,1-MIN(p_StopLb,ROW()-4),0,MIN(p_StopLb,ROW()-4),1),2))</f>
        <v>23.51</v>
      </c>
      <c r="BA198" s="40" t="n">
        <f aca="false">IF(MOD(ROUND(ROUNDDOWN(MIN(AZ198-0.01,AY198-p_StopAtr*Y198),2)*100,0),50)=0,ROUNDDOWN(MIN(AZ198-0.01,AY198-p_StopAtr*Y198),2)-0.01,ROUNDDOWN(MIN(AZ198-0.01,AY198-p_StopAtr*Y198),2))</f>
        <v>23.49</v>
      </c>
      <c r="BB198" s="40" t="n">
        <f aca="false">ROUND(AI198,2)</f>
        <v>26.31</v>
      </c>
      <c r="BC198" s="40" t="n">
        <f aca="false">IF(AY198-BA198&gt;0,(BB198-AY198)/(AY198-BA198),0)</f>
        <v>0.668639053254437</v>
      </c>
      <c r="BD198" s="42" t="n">
        <f aca="false">IF(N198&lt;0,1,0)</f>
        <v>0</v>
      </c>
      <c r="BE198" s="41" t="n">
        <f aca="false">IF(AND(BD198=1,BD197=0),N198,IF(BD198=1,MIN(BE197,N198),BE197))</f>
        <v>-0.0622611748996084</v>
      </c>
      <c r="BF198" s="40" t="n">
        <f aca="false">IF(AND(BD198=1,BD197=0),D198,IF(BD198=1,MIN(BF197,D198),BF197))</f>
        <v>23.33</v>
      </c>
      <c r="BG198" s="42" t="n">
        <f aca="false">IF(AND(BD198=1,BD197=0),ROW(),IF(BD198=1,IF(N198&lt;BE197,ROW(),BG197),BG197))</f>
        <v>190</v>
      </c>
      <c r="BH198" s="41" t="n">
        <f aca="false">IF(AND(BD198=1,BD197=0),BE197,BH197)</f>
        <v>-0.149433863515745</v>
      </c>
      <c r="BI198" s="40" t="n">
        <f aca="false">IF(AND(BD198=1,BD197=0),BF197,BI197)</f>
        <v>23.49</v>
      </c>
      <c r="BJ198" s="42" t="n">
        <f aca="false">IF(AND(BD198=1,BD197=0),BG197,BJ197)</f>
        <v>179</v>
      </c>
      <c r="BK198" s="42" t="n">
        <f aca="false">IF(AND(ISNUMBER(BG198),ISNUMBER(BJ198)),BG198-BJ198,"")</f>
        <v>11</v>
      </c>
      <c r="BL198" s="42" t="n">
        <f aca="false">IF(AND(BD198=1,N198&gt;N197,ISNUMBER(BH198),ISNUMBER(BK198)),IF(AND(BE198&gt;BH198,BF198&lt;BI198,BK198&gt;=p_GapMin,BK198&lt;=p_GapMax),1,0),0)</f>
        <v>0</v>
      </c>
      <c r="BM198" s="42" t="n">
        <f aca="false">IF(AND(BL198=1,E198&gt;BI198),1,0)</f>
        <v>0</v>
      </c>
      <c r="BN198" s="42" t="n">
        <f aca="false">IF(BL198=1,IF(BE198&gt;=BH198*0.5,1,0),0)</f>
        <v>0</v>
      </c>
      <c r="BO198" s="42" t="n">
        <f aca="true">IF(V198&gt;MIN(OFFSET(V198,-MIN(p_FiLb-1,ROW()-5),0,MIN(p_FiLb-1,ROW()-5),1)),1,0)</f>
        <v>1</v>
      </c>
      <c r="BP198" s="44" t="n">
        <f aca="true">IF(COUNTIF(OFFSET(V198,1-MIN(100,ROW()-4),0,MIN(100,ROW()-4),1),"&lt;0")&gt;=5,AVERAGEIF(OFFSET(V198,1-MIN(100,ROW()-4),0,MIN(100,ROW()-4),1),"&lt;0"),"")</f>
        <v>-803075.488173783</v>
      </c>
      <c r="BQ198" s="42" t="n">
        <f aca="false">IF(ISNUMBER(BP198),IF(AND(V198&lt;5*BP198,V198&gt;V197,E198&lt;AJ198),1,0),0)</f>
        <v>0</v>
      </c>
      <c r="BR198" s="44" t="n">
        <f aca="true">AVERAGE(OFFSET(F198,1-MIN(5,ROW()-4),0,MIN(5,ROW()-4),1))</f>
        <v>4021360</v>
      </c>
      <c r="BS198" s="42" t="n">
        <f aca="false">IFERROR(IF(MATCH(G198,周线!$A$5:$A$84,0)&lt;=1,"",INDEX(周线!$R$5:$R$84,MATCH(G198,周线!$A$5:$A$84,0)-1)),"")</f>
        <v>1</v>
      </c>
      <c r="BT198" s="42" t="n">
        <f aca="false">IFERROR(IF(MATCH(G198,周线!$A$5:$A$84,0)&lt;=1,"",INDEX(周线!$S$5:$S$84,MATCH(G198,周线!$A$5:$A$84,0)-1)),"")</f>
        <v>1</v>
      </c>
      <c r="BU198" s="42" t="n">
        <f aca="false">IFERROR(IF(MATCH(G198,周线!$A$5:$A$84,0)&lt;=1,"",INDEX(周线!$U$5:$U$84,MATCH(G198,周线!$A$5:$A$84,0)-1)),"")</f>
        <v>1</v>
      </c>
      <c r="BV198" s="42" t="n">
        <f aca="false">IF(AND(BS198=1,S198&lt;&gt;-1,V198&lt;0,BO198=1,E198&lt;=H198,E198&gt;=AJ198),1,0)</f>
        <v>0</v>
      </c>
      <c r="BW198" s="42" t="n">
        <f aca="false">BL198</f>
        <v>0</v>
      </c>
      <c r="BX198" s="42" t="n">
        <f aca="false">BQ198</f>
        <v>0</v>
      </c>
      <c r="BY198" s="42" t="n">
        <f aca="false">IF(BS198=1,10,0)+IF(BU198=1,5,IF(BU198=-1,0,3))+IF(BT198=1,5,0)+IF(AND(AE198&gt;AF198,AH198&gt;AH197),5,0)</f>
        <v>25</v>
      </c>
      <c r="BZ198" s="42" t="n">
        <f aca="false">IF(AND(E198&lt;=H198,E198&gt;=I198),10,IF(AND(E198&gt;=AJ198,E198&lt;I198),6,0))+IF(AND(V198&lt;0,BO198=1),8,0)+IF(AT198&lt;30,7,IF(AT198&lt;50,3,0))</f>
        <v>0</v>
      </c>
      <c r="CA198" s="42" t="n">
        <f aca="false">IF(AND(BV198=1,BW198=1),25,IF(BW198=1,22,IF(BV198=1,15,IF(BX198=1,12,0))))</f>
        <v>0</v>
      </c>
      <c r="CB198" s="42" t="n">
        <f aca="false">IF(W198&gt;0,6,0)+IF(F198&lt;BR198,4,0)</f>
        <v>10</v>
      </c>
      <c r="CC198" s="42" t="n">
        <f aca="false">IF(BC198&gt;=3,15,IF(BC198&gt;=p_RRmin,10,IF(BC198&gt;=1.5,4,0)))</f>
        <v>0</v>
      </c>
      <c r="CD198" s="42" t="n">
        <f aca="false">BY198+BZ198+CA198+CB198+CC198</f>
        <v>35</v>
      </c>
      <c r="CE198" s="42" t="n">
        <f aca="false">IF(AND(BS198&lt;&gt;1,BW198+BX198=0),1,0)</f>
        <v>0</v>
      </c>
      <c r="CF198" s="42" t="n">
        <f aca="false">IF(BU198=-1,1,0)</f>
        <v>0</v>
      </c>
      <c r="CG198" s="42" t="n">
        <f aca="false">IF(S198=-1,1,0)</f>
        <v>0</v>
      </c>
      <c r="CH198" s="42" t="n">
        <f aca="false">IF(BV198+BW198+BX198=0,1,0)</f>
        <v>1</v>
      </c>
      <c r="CI198" s="42" t="n">
        <f aca="false">IF(BC198&lt;p_RRmin,1,0)</f>
        <v>1</v>
      </c>
      <c r="CJ198" s="46" t="str">
        <f aca="false">IF(SUM(CE198:CI198)=0,IF(CD198&gt;=p_GradeA,"A",IF(CD198&gt;=p_GradeB,"B","C")),IF(AND(CI198=1,SUM(CE198:CH198)=0,CD198&gt;=p_GradeB),"B","C"))</f>
        <v>C</v>
      </c>
    </row>
    <row r="199" customFormat="false" ht="15" hidden="false" customHeight="false" outlineLevel="0" collapsed="false">
      <c r="A199" s="36" t="n">
        <v>45931</v>
      </c>
      <c r="B199" s="37" t="n">
        <v>26.56</v>
      </c>
      <c r="C199" s="37" t="n">
        <v>26.71</v>
      </c>
      <c r="D199" s="37" t="n">
        <v>25.69</v>
      </c>
      <c r="E199" s="37" t="n">
        <v>25.89</v>
      </c>
      <c r="F199" s="38" t="n">
        <v>4812300</v>
      </c>
      <c r="G199" s="39" t="n">
        <f aca="false">A199-WEEKDAY(A199,3)</f>
        <v>45929</v>
      </c>
      <c r="H199" s="40" t="n">
        <f aca="false">2/(p_EmaF+1)*E199+(1-2/(p_EmaF+1))*H198</f>
        <v>25.4523855524186</v>
      </c>
      <c r="I199" s="40" t="n">
        <f aca="false">2/(p_EmaS+1)*E199+(1-2/(p_EmaS+1))*I198</f>
        <v>24.9002793506316</v>
      </c>
      <c r="J199" s="41" t="n">
        <f aca="false">2/(p_MacdF+1)*E199+(1-2/(p_MacdF+1))*J198</f>
        <v>25.5075782426942</v>
      </c>
      <c r="K199" s="41" t="n">
        <f aca="false">2/(p_MacdS+1)*E199+(1-2/(p_MacdS+1))*K198</f>
        <v>24.9002793506316</v>
      </c>
      <c r="L199" s="41" t="n">
        <f aca="false">J199-K199</f>
        <v>0.607298892062619</v>
      </c>
      <c r="M199" s="41" t="n">
        <f aca="false">2/(p_MacdSig+1)*L199+(1-2/(p_MacdSig+1))*M198</f>
        <v>0.484457536427417</v>
      </c>
      <c r="N199" s="41" t="n">
        <f aca="false">L199-M199</f>
        <v>0.122841355635202</v>
      </c>
      <c r="O199" s="42" t="n">
        <f aca="false">IF(H199&gt;H198,1,0)</f>
        <v>1</v>
      </c>
      <c r="P199" s="42" t="n">
        <f aca="false">IF(H199&lt;H198,1,0)</f>
        <v>0</v>
      </c>
      <c r="Q199" s="42" t="n">
        <f aca="false">IF(N199&gt;N198,1,0)</f>
        <v>0</v>
      </c>
      <c r="R199" s="42" t="n">
        <f aca="false">IF(N199&lt;N198,1,0)</f>
        <v>1</v>
      </c>
      <c r="S199" s="42" t="n">
        <f aca="false">IF(AND(O199=1,Q199=1),1,IF(AND(P199=1,R199=1),-1,0))</f>
        <v>0</v>
      </c>
      <c r="T199" s="43" t="str">
        <f aca="false">IF(S199=1,"绿",IF(S199=-1,"红","蓝"))</f>
        <v>蓝</v>
      </c>
      <c r="U199" s="44" t="n">
        <f aca="false">F199*(E199-E198)</f>
        <v>-2839257</v>
      </c>
      <c r="V199" s="44" t="n">
        <f aca="false">2/(p_FiS+1)*U199+(1-2/(p_FiS+1))*V198</f>
        <v>-1629665.03534106</v>
      </c>
      <c r="W199" s="44" t="n">
        <f aca="false">2/(p_FiL+1)*U199+(1-2/(p_FiL+1))*W198</f>
        <v>394080.637172229</v>
      </c>
      <c r="X199" s="41" t="n">
        <f aca="false">MAX(C199-D199,ABS(C199-E198),ABS(D199-E198))</f>
        <v>1.02</v>
      </c>
      <c r="Y199" s="41" t="n">
        <f aca="true">AVERAGE(OFFSET(X199,1-MIN(p_AtrN,ROW()-4),0,MIN(p_AtrN,ROW()-4),1))</f>
        <v>0.751538461538461</v>
      </c>
      <c r="Z199" s="41" t="n">
        <f aca="false">IF(AND(C199-C198&gt;D198-D199,C199-C198&gt;0),C199-C198,0)</f>
        <v>0</v>
      </c>
      <c r="AA199" s="41" t="n">
        <f aca="false">IF(AND(D198-D199&gt;C199-C198,D198-D199&gt;0),D198-D199,0)</f>
        <v>0.449999999999999</v>
      </c>
      <c r="AB199" s="41" t="n">
        <f aca="false">2/(p_AdxN+1)*X199+(1-2/(p_AdxN+1))*AB198</f>
        <v>0.716606558977214</v>
      </c>
      <c r="AC199" s="41" t="n">
        <f aca="false">2/(p_AdxN+1)*Z199+(1-2/(p_AdxN+1))*AC198</f>
        <v>0.172644101389814</v>
      </c>
      <c r="AD199" s="41" t="n">
        <f aca="false">2/(p_AdxN+1)*AA199+(1-2/(p_AdxN+1))*AD198</f>
        <v>0.112306714377748</v>
      </c>
      <c r="AE199" s="45" t="n">
        <f aca="false">100*AC199/AB199</f>
        <v>24.0918952285649</v>
      </c>
      <c r="AF199" s="45" t="n">
        <f aca="false">100*AD199/AB199</f>
        <v>15.672018762714</v>
      </c>
      <c r="AG199" s="45" t="n">
        <f aca="false">IFERROR(100*ABS(AE199-AF199)/(AE199+AF199),0)</f>
        <v>21.1746672314438</v>
      </c>
      <c r="AH199" s="45" t="n">
        <f aca="false">2/(p_AdxN+1)*AG199+(1-2/(p_AdxN+1))*AH198</f>
        <v>32.4685400935277</v>
      </c>
      <c r="AI199" s="40" t="n">
        <f aca="false">I199*(1+p_ChPct)</f>
        <v>26.3942961116695</v>
      </c>
      <c r="AJ199" s="40" t="n">
        <f aca="false">I199*(1-p_ChPct)</f>
        <v>23.4062625895937</v>
      </c>
      <c r="AK199" s="40" t="n">
        <f aca="false">I199+1*Y199</f>
        <v>25.6518178121701</v>
      </c>
      <c r="AL199" s="40" t="n">
        <f aca="false">I199+2*Y199</f>
        <v>26.4033562737085</v>
      </c>
      <c r="AM199" s="40" t="n">
        <f aca="false">I199+3*Y199</f>
        <v>27.154894735247</v>
      </c>
      <c r="AN199" s="40" t="n">
        <f aca="false">I199-1*Y199</f>
        <v>24.1487408890931</v>
      </c>
      <c r="AO199" s="40" t="n">
        <f aca="false">I199-2*Y199</f>
        <v>23.3972024275547</v>
      </c>
      <c r="AP199" s="40" t="n">
        <f aca="false">I199-3*Y199</f>
        <v>22.6456639660162</v>
      </c>
      <c r="AQ199" s="40" t="n">
        <f aca="true">MAX(OFFSET(C199,1-MIN(p_StochN,ROW()-4),0,MIN(p_StochN,ROW()-4),1))</f>
        <v>26.71</v>
      </c>
      <c r="AR199" s="40" t="n">
        <f aca="true">MIN(OFFSET(D199,1-MIN(p_StochN,ROW()-4),0,MIN(p_StochN,ROW()-4),1))</f>
        <v>25.15</v>
      </c>
      <c r="AS199" s="45" t="n">
        <f aca="false">IF(AQ199=AR199,50,100*(E199-AR199)/(AQ199-AR199))</f>
        <v>47.4358974358975</v>
      </c>
      <c r="AT199" s="45" t="n">
        <f aca="true">AVERAGE(OFFSET(AS199,1-MIN(p_StochSm,ROW()-4),0,MIN(p_StochSm,ROW()-4),1))</f>
        <v>75.3871292106586</v>
      </c>
      <c r="AU199" s="45" t="n">
        <f aca="true">AVERAGE(OFFSET(AT199,1-MIN(p_StochSm,ROW()-4),0,MIN(p_StochSm,ROW()-4),1))</f>
        <v>83.9030698643066</v>
      </c>
      <c r="AV199" s="41" t="n">
        <f aca="false">MAX(0,H199-D199)</f>
        <v>0</v>
      </c>
      <c r="AW199" s="41" t="n">
        <f aca="true">IF(COUNTIF(OFFSET(AV199,1-MIN(p_PenLb,ROW()-4),0,MIN(p_PenLb,ROW()-4),1),"&gt;0")&gt;0,SUM(OFFSET(AV199,1-MIN(p_PenLb,ROW()-4),0,MIN(p_PenLb,ROW()-4),1))/COUNTIF(OFFSET(AV199,1-MIN(p_PenLb,ROW()-4),0,MIN(p_PenLb,ROW()-4),1),"&gt;0"),0.5*Y199)</f>
        <v>0.377887406151935</v>
      </c>
      <c r="AX199" s="41" t="n">
        <f aca="false">2*H199-H198</f>
        <v>25.5253212936822</v>
      </c>
      <c r="AY199" s="40" t="n">
        <f aca="false">ROUND(MAX(AX199-AW199,0.01),2)</f>
        <v>25.15</v>
      </c>
      <c r="AZ199" s="40" t="n">
        <f aca="true">IF(MIN(p_StopLb,ROW()-4)&lt;2,D199,SMALL(OFFSET(D199,1-MIN(p_StopLb,ROW()-4),0,MIN(p_StopLb,ROW()-4),1),2))</f>
        <v>23.96</v>
      </c>
      <c r="BA199" s="40" t="n">
        <f aca="false">IF(MOD(ROUND(ROUNDDOWN(MIN(AZ199-0.01,AY199-p_StopAtr*Y199),2)*100,0),50)=0,ROUNDDOWN(MIN(AZ199-0.01,AY199-p_StopAtr*Y199),2)-0.01,ROUNDDOWN(MIN(AZ199-0.01,AY199-p_StopAtr*Y199),2))</f>
        <v>23.95</v>
      </c>
      <c r="BB199" s="40" t="n">
        <f aca="false">ROUND(AI199,2)</f>
        <v>26.39</v>
      </c>
      <c r="BC199" s="40" t="n">
        <f aca="false">IF(AY199-BA199&gt;0,(BB199-AY199)/(AY199-BA199),0)</f>
        <v>1.03333333333334</v>
      </c>
      <c r="BD199" s="42" t="n">
        <f aca="false">IF(N199&lt;0,1,0)</f>
        <v>0</v>
      </c>
      <c r="BE199" s="41" t="n">
        <f aca="false">IF(AND(BD199=1,BD198=0),N199,IF(BD199=1,MIN(BE198,N199),BE198))</f>
        <v>-0.0622611748996084</v>
      </c>
      <c r="BF199" s="40" t="n">
        <f aca="false">IF(AND(BD199=1,BD198=0),D199,IF(BD199=1,MIN(BF198,D199),BF198))</f>
        <v>23.33</v>
      </c>
      <c r="BG199" s="42" t="n">
        <f aca="false">IF(AND(BD199=1,BD198=0),ROW(),IF(BD199=1,IF(N199&lt;BE198,ROW(),BG198),BG198))</f>
        <v>190</v>
      </c>
      <c r="BH199" s="41" t="n">
        <f aca="false">IF(AND(BD199=1,BD198=0),BE198,BH198)</f>
        <v>-0.149433863515745</v>
      </c>
      <c r="BI199" s="40" t="n">
        <f aca="false">IF(AND(BD199=1,BD198=0),BF198,BI198)</f>
        <v>23.49</v>
      </c>
      <c r="BJ199" s="42" t="n">
        <f aca="false">IF(AND(BD199=1,BD198=0),BG198,BJ198)</f>
        <v>179</v>
      </c>
      <c r="BK199" s="42" t="n">
        <f aca="false">IF(AND(ISNUMBER(BG199),ISNUMBER(BJ199)),BG199-BJ199,"")</f>
        <v>11</v>
      </c>
      <c r="BL199" s="42" t="n">
        <f aca="false">IF(AND(BD199=1,N199&gt;N198,ISNUMBER(BH199),ISNUMBER(BK199)),IF(AND(BE199&gt;BH199,BF199&lt;BI199,BK199&gt;=p_GapMin,BK199&lt;=p_GapMax),1,0),0)</f>
        <v>0</v>
      </c>
      <c r="BM199" s="42" t="n">
        <f aca="false">IF(AND(BL199=1,E199&gt;BI199),1,0)</f>
        <v>0</v>
      </c>
      <c r="BN199" s="42" t="n">
        <f aca="false">IF(BL199=1,IF(BE199&gt;=BH199*0.5,1,0),0)</f>
        <v>0</v>
      </c>
      <c r="BO199" s="42" t="n">
        <f aca="true">IF(V199&gt;MIN(OFFSET(V199,-MIN(p_FiLb-1,ROW()-5),0,MIN(p_FiLb-1,ROW()-5),1)),1,0)</f>
        <v>1</v>
      </c>
      <c r="BP199" s="44" t="n">
        <f aca="true">IF(COUNTIF(OFFSET(V199,1-MIN(100,ROW()-4),0,MIN(100,ROW()-4),1),"&lt;0")&gt;=5,AVERAGEIF(OFFSET(V199,1-MIN(100,ROW()-4),0,MIN(100,ROW()-4),1),"&lt;0"),"")</f>
        <v>-835146.253981281</v>
      </c>
      <c r="BQ199" s="42" t="n">
        <f aca="false">IF(ISNUMBER(BP199),IF(AND(V199&lt;5*BP199,V199&gt;V198,E199&lt;AJ199),1,0),0)</f>
        <v>0</v>
      </c>
      <c r="BR199" s="44" t="n">
        <f aca="true">AVERAGE(OFFSET(F199,1-MIN(5,ROW()-4),0,MIN(5,ROW()-4),1))</f>
        <v>4510720</v>
      </c>
      <c r="BS199" s="42" t="n">
        <f aca="false">IFERROR(IF(MATCH(G199,周线!$A$5:$A$84,0)&lt;=1,"",INDEX(周线!$R$5:$R$84,MATCH(G199,周线!$A$5:$A$84,0)-1)),"")</f>
        <v>1</v>
      </c>
      <c r="BT199" s="42" t="n">
        <f aca="false">IFERROR(IF(MATCH(G199,周线!$A$5:$A$84,0)&lt;=1,"",INDEX(周线!$S$5:$S$84,MATCH(G199,周线!$A$5:$A$84,0)-1)),"")</f>
        <v>1</v>
      </c>
      <c r="BU199" s="42" t="n">
        <f aca="false">IFERROR(IF(MATCH(G199,周线!$A$5:$A$84,0)&lt;=1,"",INDEX(周线!$U$5:$U$84,MATCH(G199,周线!$A$5:$A$84,0)-1)),"")</f>
        <v>1</v>
      </c>
      <c r="BV199" s="42" t="n">
        <f aca="false">IF(AND(BS199=1,S199&lt;&gt;-1,V199&lt;0,BO199=1,E199&lt;=H199,E199&gt;=AJ199),1,0)</f>
        <v>0</v>
      </c>
      <c r="BW199" s="42" t="n">
        <f aca="false">BL199</f>
        <v>0</v>
      </c>
      <c r="BX199" s="42" t="n">
        <f aca="false">BQ199</f>
        <v>0</v>
      </c>
      <c r="BY199" s="42" t="n">
        <f aca="false">IF(BS199=1,10,0)+IF(BU199=1,5,IF(BU199=-1,0,3))+IF(BT199=1,5,0)+IF(AND(AE199&gt;AF199,AH199&gt;AH198),5,0)</f>
        <v>20</v>
      </c>
      <c r="BZ199" s="42" t="n">
        <f aca="false">IF(AND(E199&lt;=H199,E199&gt;=I199),10,IF(AND(E199&gt;=AJ199,E199&lt;I199),6,0))+IF(AND(V199&lt;0,BO199=1),8,0)+IF(AT199&lt;30,7,IF(AT199&lt;50,3,0))</f>
        <v>8</v>
      </c>
      <c r="CA199" s="42" t="n">
        <f aca="false">IF(AND(BV199=1,BW199=1),25,IF(BW199=1,22,IF(BV199=1,15,IF(BX199=1,12,0))))</f>
        <v>0</v>
      </c>
      <c r="CB199" s="42" t="n">
        <f aca="false">IF(W199&gt;0,6,0)+IF(F199&lt;BR199,4,0)</f>
        <v>6</v>
      </c>
      <c r="CC199" s="42" t="n">
        <f aca="false">IF(BC199&gt;=3,15,IF(BC199&gt;=p_RRmin,10,IF(BC199&gt;=1.5,4,0)))</f>
        <v>0</v>
      </c>
      <c r="CD199" s="42" t="n">
        <f aca="false">BY199+BZ199+CA199+CB199+CC199</f>
        <v>34</v>
      </c>
      <c r="CE199" s="42" t="n">
        <f aca="false">IF(AND(BS199&lt;&gt;1,BW199+BX199=0),1,0)</f>
        <v>0</v>
      </c>
      <c r="CF199" s="42" t="n">
        <f aca="false">IF(BU199=-1,1,0)</f>
        <v>0</v>
      </c>
      <c r="CG199" s="42" t="n">
        <f aca="false">IF(S199=-1,1,0)</f>
        <v>0</v>
      </c>
      <c r="CH199" s="42" t="n">
        <f aca="false">IF(BV199+BW199+BX199=0,1,0)</f>
        <v>1</v>
      </c>
      <c r="CI199" s="42" t="n">
        <f aca="false">IF(BC199&lt;p_RRmin,1,0)</f>
        <v>1</v>
      </c>
      <c r="CJ199" s="46" t="str">
        <f aca="false">IF(SUM(CE199:CI199)=0,IF(CD199&gt;=p_GradeA,"A",IF(CD199&gt;=p_GradeB,"B","C")),IF(AND(CI199=1,SUM(CE199:CH199)=0,CD199&gt;=p_GradeB),"B","C"))</f>
        <v>C</v>
      </c>
    </row>
    <row r="200" customFormat="false" ht="15" hidden="false" customHeight="false" outlineLevel="0" collapsed="false">
      <c r="A200" s="36" t="n">
        <v>45932</v>
      </c>
      <c r="B200" s="37" t="n">
        <v>25.94</v>
      </c>
      <c r="C200" s="37" t="n">
        <v>26.39</v>
      </c>
      <c r="D200" s="37" t="n">
        <v>25.71</v>
      </c>
      <c r="E200" s="37" t="n">
        <v>26.27</v>
      </c>
      <c r="F200" s="38" t="n">
        <v>4484000</v>
      </c>
      <c r="G200" s="39" t="n">
        <f aca="false">A200-WEEKDAY(A200,3)</f>
        <v>45929</v>
      </c>
      <c r="H200" s="40" t="n">
        <f aca="false">2/(p_EmaF+1)*E200+(1-2/(p_EmaF+1))*H199</f>
        <v>25.5691876163588</v>
      </c>
      <c r="I200" s="40" t="n">
        <f aca="false">2/(p_EmaS+1)*E200+(1-2/(p_EmaS+1))*I199</f>
        <v>25.0017401394737</v>
      </c>
      <c r="J200" s="41" t="n">
        <f aca="false">2/(p_MacdF+1)*E200+(1-2/(p_MacdF+1))*J199</f>
        <v>25.6248738976643</v>
      </c>
      <c r="K200" s="41" t="n">
        <f aca="false">2/(p_MacdS+1)*E200+(1-2/(p_MacdS+1))*K199</f>
        <v>25.0017401394737</v>
      </c>
      <c r="L200" s="41" t="n">
        <f aca="false">J200-K200</f>
        <v>0.623133758190637</v>
      </c>
      <c r="M200" s="41" t="n">
        <f aca="false">2/(p_MacdSig+1)*L200+(1-2/(p_MacdSig+1))*M199</f>
        <v>0.512192780780061</v>
      </c>
      <c r="N200" s="41" t="n">
        <f aca="false">L200-M200</f>
        <v>0.110940977410576</v>
      </c>
      <c r="O200" s="42" t="n">
        <f aca="false">IF(H200&gt;H199,1,0)</f>
        <v>1</v>
      </c>
      <c r="P200" s="42" t="n">
        <f aca="false">IF(H200&lt;H199,1,0)</f>
        <v>0</v>
      </c>
      <c r="Q200" s="42" t="n">
        <f aca="false">IF(N200&gt;N199,1,0)</f>
        <v>0</v>
      </c>
      <c r="R200" s="42" t="n">
        <f aca="false">IF(N200&lt;N199,1,0)</f>
        <v>1</v>
      </c>
      <c r="S200" s="42" t="n">
        <f aca="false">IF(AND(O200=1,Q200=1),1,IF(AND(P200=1,R200=1),-1,0))</f>
        <v>0</v>
      </c>
      <c r="T200" s="43" t="str">
        <f aca="false">IF(S200=1,"绿",IF(S200=-1,"红","蓝"))</f>
        <v>蓝</v>
      </c>
      <c r="U200" s="44" t="n">
        <f aca="false">F200*(E200-E199)</f>
        <v>1703920</v>
      </c>
      <c r="V200" s="44" t="n">
        <f aca="false">2/(p_FiS+1)*U200+(1-2/(p_FiS+1))*V199</f>
        <v>592724.988219645</v>
      </c>
      <c r="W200" s="44" t="n">
        <f aca="false">2/(p_FiL+1)*U200+(1-2/(p_FiL+1))*W199</f>
        <v>581200.546147624</v>
      </c>
      <c r="X200" s="41" t="n">
        <f aca="false">MAX(C200-D200,ABS(C200-E199),ABS(D200-E199))</f>
        <v>0.68</v>
      </c>
      <c r="Y200" s="41" t="n">
        <f aca="true">AVERAGE(OFFSET(X200,1-MIN(p_AtrN,ROW()-4),0,MIN(p_AtrN,ROW()-4),1))</f>
        <v>0.750769230769231</v>
      </c>
      <c r="Z200" s="41" t="n">
        <f aca="false">IF(AND(C200-C199&gt;D199-D200,C200-C199&gt;0),C200-C199,0)</f>
        <v>0</v>
      </c>
      <c r="AA200" s="41" t="n">
        <f aca="false">IF(AND(D199-D200&gt;C200-C199,D199-D200&gt;0),D199-D200,0)</f>
        <v>0</v>
      </c>
      <c r="AB200" s="41" t="n">
        <f aca="false">2/(p_AdxN+1)*X200+(1-2/(p_AdxN+1))*AB199</f>
        <v>0.711377050551897</v>
      </c>
      <c r="AC200" s="41" t="n">
        <f aca="false">2/(p_AdxN+1)*Z200+(1-2/(p_AdxN+1))*AC199</f>
        <v>0.147980658334126</v>
      </c>
      <c r="AD200" s="41" t="n">
        <f aca="false">2/(p_AdxN+1)*AA200+(1-2/(p_AdxN+1))*AD199</f>
        <v>0.09626289803807</v>
      </c>
      <c r="AE200" s="45" t="n">
        <f aca="false">100*AC200/AB200</f>
        <v>20.8020006014139</v>
      </c>
      <c r="AF200" s="45" t="n">
        <f aca="false">100*AD200/AB200</f>
        <v>13.5319094091365</v>
      </c>
      <c r="AG200" s="45" t="n">
        <f aca="false">IFERROR(100*ABS(AE200-AF200)/(AE200+AF200),0)</f>
        <v>21.1746672314438</v>
      </c>
      <c r="AH200" s="45" t="n">
        <f aca="false">2/(p_AdxN+1)*AG200+(1-2/(p_AdxN+1))*AH199</f>
        <v>30.8551296846585</v>
      </c>
      <c r="AI200" s="40" t="n">
        <f aca="false">I200*(1+p_ChPct)</f>
        <v>26.5018445478421</v>
      </c>
      <c r="AJ200" s="40" t="n">
        <f aca="false">I200*(1-p_ChPct)</f>
        <v>23.5016357311053</v>
      </c>
      <c r="AK200" s="40" t="n">
        <f aca="false">I200+1*Y200</f>
        <v>25.7525093702429</v>
      </c>
      <c r="AL200" s="40" t="n">
        <f aca="false">I200+2*Y200</f>
        <v>26.5032786010122</v>
      </c>
      <c r="AM200" s="40" t="n">
        <f aca="false">I200+3*Y200</f>
        <v>27.2540478317814</v>
      </c>
      <c r="AN200" s="40" t="n">
        <f aca="false">I200-1*Y200</f>
        <v>24.2509709087045</v>
      </c>
      <c r="AO200" s="40" t="n">
        <f aca="false">I200-2*Y200</f>
        <v>23.5002016779352</v>
      </c>
      <c r="AP200" s="40" t="n">
        <f aca="false">I200-3*Y200</f>
        <v>22.749432447166</v>
      </c>
      <c r="AQ200" s="40" t="n">
        <f aca="true">MAX(OFFSET(C200,1-MIN(p_StochN,ROW()-4),0,MIN(p_StochN,ROW()-4),1))</f>
        <v>26.71</v>
      </c>
      <c r="AR200" s="40" t="n">
        <f aca="true">MIN(OFFSET(D200,1-MIN(p_StochN,ROW()-4),0,MIN(p_StochN,ROW()-4),1))</f>
        <v>25.69</v>
      </c>
      <c r="AS200" s="45" t="n">
        <f aca="false">IF(AQ200=AR200,50,100*(E200-AR200)/(AQ200-AR200))</f>
        <v>56.8627450980391</v>
      </c>
      <c r="AT200" s="45" t="n">
        <f aca="true">AVERAGE(OFFSET(AS200,1-MIN(p_StochSm,ROW()-4),0,MIN(p_StochSm,ROW()-4),1))</f>
        <v>65.3217697335344</v>
      </c>
      <c r="AU200" s="45" t="n">
        <f aca="true">AVERAGE(OFFSET(AT200,1-MIN(p_StochSm,ROW()-4),0,MIN(p_StochSm,ROW()-4),1))</f>
        <v>76.4104769213129</v>
      </c>
      <c r="AV200" s="41" t="n">
        <f aca="false">MAX(0,H200-D200)</f>
        <v>0</v>
      </c>
      <c r="AW200" s="41" t="n">
        <f aca="true">IF(COUNTIF(OFFSET(AV200,1-MIN(p_PenLb,ROW()-4),0,MIN(p_PenLb,ROW()-4),1),"&gt;0")&gt;0,SUM(OFFSET(AV200,1-MIN(p_PenLb,ROW()-4),0,MIN(p_PenLb,ROW()-4),1))/COUNTIF(OFFSET(AV200,1-MIN(p_PenLb,ROW()-4),0,MIN(p_PenLb,ROW()-4),1),"&gt;0"),0.5*Y200)</f>
        <v>0.377887406151935</v>
      </c>
      <c r="AX200" s="41" t="n">
        <f aca="false">2*H200-H199</f>
        <v>25.685989680299</v>
      </c>
      <c r="AY200" s="40" t="n">
        <f aca="false">ROUND(MAX(AX200-AW200,0.01),2)</f>
        <v>25.31</v>
      </c>
      <c r="AZ200" s="40" t="n">
        <f aca="true">IF(MIN(p_StopLb,ROW()-4)&lt;2,D200,SMALL(OFFSET(D200,1-MIN(p_StopLb,ROW()-4),0,MIN(p_StopLb,ROW()-4),1),2))</f>
        <v>24.78</v>
      </c>
      <c r="BA200" s="40" t="n">
        <f aca="false">IF(MOD(ROUND(ROUNDDOWN(MIN(AZ200-0.01,AY200-p_StopAtr*Y200),2)*100,0),50)=0,ROUNDDOWN(MIN(AZ200-0.01,AY200-p_StopAtr*Y200),2)-0.01,ROUNDDOWN(MIN(AZ200-0.01,AY200-p_StopAtr*Y200),2))</f>
        <v>24.55</v>
      </c>
      <c r="BB200" s="40" t="n">
        <f aca="false">ROUND(AI200,2)</f>
        <v>26.5</v>
      </c>
      <c r="BC200" s="40" t="n">
        <f aca="false">IF(AY200-BA200&gt;0,(BB200-AY200)/(AY200-BA200),0)</f>
        <v>1.56578947368422</v>
      </c>
      <c r="BD200" s="42" t="n">
        <f aca="false">IF(N200&lt;0,1,0)</f>
        <v>0</v>
      </c>
      <c r="BE200" s="41" t="n">
        <f aca="false">IF(AND(BD200=1,BD199=0),N200,IF(BD200=1,MIN(BE199,N200),BE199))</f>
        <v>-0.0622611748996084</v>
      </c>
      <c r="BF200" s="40" t="n">
        <f aca="false">IF(AND(BD200=1,BD199=0),D200,IF(BD200=1,MIN(BF199,D200),BF199))</f>
        <v>23.33</v>
      </c>
      <c r="BG200" s="42" t="n">
        <f aca="false">IF(AND(BD200=1,BD199=0),ROW(),IF(BD200=1,IF(N200&lt;BE199,ROW(),BG199),BG199))</f>
        <v>190</v>
      </c>
      <c r="BH200" s="41" t="n">
        <f aca="false">IF(AND(BD200=1,BD199=0),BE199,BH199)</f>
        <v>-0.149433863515745</v>
      </c>
      <c r="BI200" s="40" t="n">
        <f aca="false">IF(AND(BD200=1,BD199=0),BF199,BI199)</f>
        <v>23.49</v>
      </c>
      <c r="BJ200" s="42" t="n">
        <f aca="false">IF(AND(BD200=1,BD199=0),BG199,BJ199)</f>
        <v>179</v>
      </c>
      <c r="BK200" s="42" t="n">
        <f aca="false">IF(AND(ISNUMBER(BG200),ISNUMBER(BJ200)),BG200-BJ200,"")</f>
        <v>11</v>
      </c>
      <c r="BL200" s="42" t="n">
        <f aca="false">IF(AND(BD200=1,N200&gt;N199,ISNUMBER(BH200),ISNUMBER(BK200)),IF(AND(BE200&gt;BH200,BF200&lt;BI200,BK200&gt;=p_GapMin,BK200&lt;=p_GapMax),1,0),0)</f>
        <v>0</v>
      </c>
      <c r="BM200" s="42" t="n">
        <f aca="false">IF(AND(BL200=1,E200&gt;BI200),1,0)</f>
        <v>0</v>
      </c>
      <c r="BN200" s="42" t="n">
        <f aca="false">IF(BL200=1,IF(BE200&gt;=BH200*0.5,1,0),0)</f>
        <v>0</v>
      </c>
      <c r="BO200" s="42" t="n">
        <f aca="true">IF(V200&gt;MIN(OFFSET(V200,-MIN(p_FiLb-1,ROW()-5),0,MIN(p_FiLb-1,ROW()-5),1)),1,0)</f>
        <v>1</v>
      </c>
      <c r="BP200" s="44" t="n">
        <f aca="true">IF(COUNTIF(OFFSET(V200,1-MIN(100,ROW()-4),0,MIN(100,ROW()-4),1),"&lt;0")&gt;=5,AVERAGEIF(OFFSET(V200,1-MIN(100,ROW()-4),0,MIN(100,ROW()-4),1),"&lt;0"),"")</f>
        <v>-835146.253981281</v>
      </c>
      <c r="BQ200" s="42" t="n">
        <f aca="false">IF(ISNUMBER(BP200),IF(AND(V200&lt;5*BP200,V200&gt;V199,E200&lt;AJ200),1,0),0)</f>
        <v>0</v>
      </c>
      <c r="BR200" s="44" t="n">
        <f aca="true">AVERAGE(OFFSET(F200,1-MIN(5,ROW()-4),0,MIN(5,ROW()-4),1))</f>
        <v>4037180</v>
      </c>
      <c r="BS200" s="42" t="n">
        <f aca="false">IFERROR(IF(MATCH(G200,周线!$A$5:$A$84,0)&lt;=1,"",INDEX(周线!$R$5:$R$84,MATCH(G200,周线!$A$5:$A$84,0)-1)),"")</f>
        <v>1</v>
      </c>
      <c r="BT200" s="42" t="n">
        <f aca="false">IFERROR(IF(MATCH(G200,周线!$A$5:$A$84,0)&lt;=1,"",INDEX(周线!$S$5:$S$84,MATCH(G200,周线!$A$5:$A$84,0)-1)),"")</f>
        <v>1</v>
      </c>
      <c r="BU200" s="42" t="n">
        <f aca="false">IFERROR(IF(MATCH(G200,周线!$A$5:$A$84,0)&lt;=1,"",INDEX(周线!$U$5:$U$84,MATCH(G200,周线!$A$5:$A$84,0)-1)),"")</f>
        <v>1</v>
      </c>
      <c r="BV200" s="42" t="n">
        <f aca="false">IF(AND(BS200=1,S200&lt;&gt;-1,V200&lt;0,BO200=1,E200&lt;=H200,E200&gt;=AJ200),1,0)</f>
        <v>0</v>
      </c>
      <c r="BW200" s="42" t="n">
        <f aca="false">BL200</f>
        <v>0</v>
      </c>
      <c r="BX200" s="42" t="n">
        <f aca="false">BQ200</f>
        <v>0</v>
      </c>
      <c r="BY200" s="42" t="n">
        <f aca="false">IF(BS200=1,10,0)+IF(BU200=1,5,IF(BU200=-1,0,3))+IF(BT200=1,5,0)+IF(AND(AE200&gt;AF200,AH200&gt;AH199),5,0)</f>
        <v>20</v>
      </c>
      <c r="BZ200" s="42" t="n">
        <f aca="false">IF(AND(E200&lt;=H200,E200&gt;=I200),10,IF(AND(E200&gt;=AJ200,E200&lt;I200),6,0))+IF(AND(V200&lt;0,BO200=1),8,0)+IF(AT200&lt;30,7,IF(AT200&lt;50,3,0))</f>
        <v>0</v>
      </c>
      <c r="CA200" s="42" t="n">
        <f aca="false">IF(AND(BV200=1,BW200=1),25,IF(BW200=1,22,IF(BV200=1,15,IF(BX200=1,12,0))))</f>
        <v>0</v>
      </c>
      <c r="CB200" s="42" t="n">
        <f aca="false">IF(W200&gt;0,6,0)+IF(F200&lt;BR200,4,0)</f>
        <v>6</v>
      </c>
      <c r="CC200" s="42" t="n">
        <f aca="false">IF(BC200&gt;=3,15,IF(BC200&gt;=p_RRmin,10,IF(BC200&gt;=1.5,4,0)))</f>
        <v>4</v>
      </c>
      <c r="CD200" s="42" t="n">
        <f aca="false">BY200+BZ200+CA200+CB200+CC200</f>
        <v>30</v>
      </c>
      <c r="CE200" s="42" t="n">
        <f aca="false">IF(AND(BS200&lt;&gt;1,BW200+BX200=0),1,0)</f>
        <v>0</v>
      </c>
      <c r="CF200" s="42" t="n">
        <f aca="false">IF(BU200=-1,1,0)</f>
        <v>0</v>
      </c>
      <c r="CG200" s="42" t="n">
        <f aca="false">IF(S200=-1,1,0)</f>
        <v>0</v>
      </c>
      <c r="CH200" s="42" t="n">
        <f aca="false">IF(BV200+BW200+BX200=0,1,0)</f>
        <v>1</v>
      </c>
      <c r="CI200" s="42" t="n">
        <f aca="false">IF(BC200&lt;p_RRmin,1,0)</f>
        <v>1</v>
      </c>
      <c r="CJ200" s="46" t="str">
        <f aca="false">IF(SUM(CE200:CI200)=0,IF(CD200&gt;=p_GradeA,"A",IF(CD200&gt;=p_GradeB,"B","C")),IF(AND(CI200=1,SUM(CE200:CH200)=0,CD200&gt;=p_GradeB),"B","C"))</f>
        <v>C</v>
      </c>
    </row>
    <row r="201" customFormat="false" ht="15" hidden="false" customHeight="false" outlineLevel="0" collapsed="false">
      <c r="A201" s="36" t="n">
        <v>45933</v>
      </c>
      <c r="B201" s="37" t="n">
        <v>26.15</v>
      </c>
      <c r="C201" s="37" t="n">
        <v>27.36</v>
      </c>
      <c r="D201" s="37" t="n">
        <v>26.04</v>
      </c>
      <c r="E201" s="37" t="n">
        <v>27.19</v>
      </c>
      <c r="F201" s="38" t="n">
        <v>4620700</v>
      </c>
      <c r="G201" s="39" t="n">
        <f aca="false">A201-WEEKDAY(A201,3)</f>
        <v>45929</v>
      </c>
      <c r="H201" s="40" t="n">
        <f aca="false">2/(p_EmaF+1)*E201+(1-2/(p_EmaF+1))*H200</f>
        <v>25.8007322425932</v>
      </c>
      <c r="I201" s="40" t="n">
        <f aca="false">2/(p_EmaS+1)*E201+(1-2/(p_EmaS+1))*I200</f>
        <v>25.1638334624757</v>
      </c>
      <c r="J201" s="41" t="n">
        <f aca="false">2/(p_MacdF+1)*E201+(1-2/(p_MacdF+1))*J200</f>
        <v>25.8656625287929</v>
      </c>
      <c r="K201" s="41" t="n">
        <f aca="false">2/(p_MacdS+1)*E201+(1-2/(p_MacdS+1))*K200</f>
        <v>25.1638334624757</v>
      </c>
      <c r="L201" s="41" t="n">
        <f aca="false">J201-K201</f>
        <v>0.701829066317249</v>
      </c>
      <c r="M201" s="41" t="n">
        <f aca="false">2/(p_MacdSig+1)*L201+(1-2/(p_MacdSig+1))*M200</f>
        <v>0.550120037887499</v>
      </c>
      <c r="N201" s="41" t="n">
        <f aca="false">L201-M201</f>
        <v>0.15170902842975</v>
      </c>
      <c r="O201" s="42" t="n">
        <f aca="false">IF(H201&gt;H200,1,0)</f>
        <v>1</v>
      </c>
      <c r="P201" s="42" t="n">
        <f aca="false">IF(H201&lt;H200,1,0)</f>
        <v>0</v>
      </c>
      <c r="Q201" s="42" t="n">
        <f aca="false">IF(N201&gt;N200,1,0)</f>
        <v>1</v>
      </c>
      <c r="R201" s="42" t="n">
        <f aca="false">IF(N201&lt;N200,1,0)</f>
        <v>0</v>
      </c>
      <c r="S201" s="42" t="n">
        <f aca="false">IF(AND(O201=1,Q201=1),1,IF(AND(P201=1,R201=1),-1,0))</f>
        <v>1</v>
      </c>
      <c r="T201" s="43" t="str">
        <f aca="false">IF(S201=1,"绿",IF(S201=-1,"红","蓝"))</f>
        <v>绿</v>
      </c>
      <c r="U201" s="44" t="n">
        <f aca="false">F201*(E201-E200)</f>
        <v>4251044.00000001</v>
      </c>
      <c r="V201" s="44" t="n">
        <f aca="false">2/(p_FiS+1)*U201+(1-2/(p_FiS+1))*V200</f>
        <v>3031604.32940655</v>
      </c>
      <c r="W201" s="44" t="n">
        <f aca="false">2/(p_FiL+1)*U201+(1-2/(p_FiL+1))*W200</f>
        <v>1105463.89669796</v>
      </c>
      <c r="X201" s="41" t="n">
        <f aca="false">MAX(C201-D201,ABS(C201-E200),ABS(D201-E200))</f>
        <v>1.32</v>
      </c>
      <c r="Y201" s="41" t="n">
        <f aca="true">AVERAGE(OFFSET(X201,1-MIN(p_AtrN,ROW()-4),0,MIN(p_AtrN,ROW()-4),1))</f>
        <v>0.803846153846154</v>
      </c>
      <c r="Z201" s="41" t="n">
        <f aca="false">IF(AND(C201-C200&gt;D200-D201,C201-C200&gt;0),C201-C200,0)</f>
        <v>0.969999999999999</v>
      </c>
      <c r="AA201" s="41" t="n">
        <f aca="false">IF(AND(D200-D201&gt;C201-C200,D200-D201&gt;0),D200-D201,0)</f>
        <v>0</v>
      </c>
      <c r="AB201" s="41" t="n">
        <f aca="false">2/(p_AdxN+1)*X201+(1-2/(p_AdxN+1))*AB200</f>
        <v>0.798323186187341</v>
      </c>
      <c r="AC201" s="41" t="n">
        <f aca="false">2/(p_AdxN+1)*Z201+(1-2/(p_AdxN+1))*AC200</f>
        <v>0.265411992857822</v>
      </c>
      <c r="AD201" s="41" t="n">
        <f aca="false">2/(p_AdxN+1)*AA201+(1-2/(p_AdxN+1))*AD200</f>
        <v>0.0825110554612029</v>
      </c>
      <c r="AE201" s="45" t="n">
        <f aca="false">100*AC201/AB201</f>
        <v>33.2461836822486</v>
      </c>
      <c r="AF201" s="45" t="n">
        <f aca="false">100*AD201/AB201</f>
        <v>10.3355454142904</v>
      </c>
      <c r="AG201" s="45" t="n">
        <f aca="false">IFERROR(100*ABS(AE201-AF201)/(AE201+AF201),0)</f>
        <v>52.5693650593996</v>
      </c>
      <c r="AH201" s="45" t="n">
        <f aca="false">2/(p_AdxN+1)*AG201+(1-2/(p_AdxN+1))*AH200</f>
        <v>33.9571633096215</v>
      </c>
      <c r="AI201" s="40" t="n">
        <f aca="false">I201*(1+p_ChPct)</f>
        <v>26.6736634702242</v>
      </c>
      <c r="AJ201" s="40" t="n">
        <f aca="false">I201*(1-p_ChPct)</f>
        <v>23.6540034547271</v>
      </c>
      <c r="AK201" s="40" t="n">
        <f aca="false">I201+1*Y201</f>
        <v>25.9676796163218</v>
      </c>
      <c r="AL201" s="40" t="n">
        <f aca="false">I201+2*Y201</f>
        <v>26.771525770168</v>
      </c>
      <c r="AM201" s="40" t="n">
        <f aca="false">I201+3*Y201</f>
        <v>27.5753719240141</v>
      </c>
      <c r="AN201" s="40" t="n">
        <f aca="false">I201-1*Y201</f>
        <v>24.3599873086295</v>
      </c>
      <c r="AO201" s="40" t="n">
        <f aca="false">I201-2*Y201</f>
        <v>23.5561411547833</v>
      </c>
      <c r="AP201" s="40" t="n">
        <f aca="false">I201-3*Y201</f>
        <v>22.7522950009372</v>
      </c>
      <c r="AQ201" s="40" t="n">
        <f aca="true">MAX(OFFSET(C201,1-MIN(p_StochN,ROW()-4),0,MIN(p_StochN,ROW()-4),1))</f>
        <v>27.36</v>
      </c>
      <c r="AR201" s="40" t="n">
        <f aca="true">MIN(OFFSET(D201,1-MIN(p_StochN,ROW()-4),0,MIN(p_StochN,ROW()-4),1))</f>
        <v>25.69</v>
      </c>
      <c r="AS201" s="45" t="n">
        <f aca="false">IF(AQ201=AR201,50,100*(E201-AR201)/(AQ201-AR201))</f>
        <v>89.8203592814372</v>
      </c>
      <c r="AT201" s="45" t="n">
        <f aca="true">AVERAGE(OFFSET(AS201,1-MIN(p_StochSm,ROW()-4),0,MIN(p_StochSm,ROW()-4),1))</f>
        <v>64.7063339384579</v>
      </c>
      <c r="AU201" s="45" t="n">
        <f aca="true">AVERAGE(OFFSET(AT201,1-MIN(p_StochSm,ROW()-4),0,MIN(p_StochSm,ROW()-4),1))</f>
        <v>68.471744294217</v>
      </c>
      <c r="AV201" s="41" t="n">
        <f aca="false">MAX(0,H201-D201)</f>
        <v>0</v>
      </c>
      <c r="AW201" s="41" t="n">
        <f aca="true">IF(COUNTIF(OFFSET(AV201,1-MIN(p_PenLb,ROW()-4),0,MIN(p_PenLb,ROW()-4),1),"&gt;0")&gt;0,SUM(OFFSET(AV201,1-MIN(p_PenLb,ROW()-4),0,MIN(p_PenLb,ROW()-4),1))/COUNTIF(OFFSET(AV201,1-MIN(p_PenLb,ROW()-4),0,MIN(p_PenLb,ROW()-4),1),"&gt;0"),0.5*Y201)</f>
        <v>0.377887406151935</v>
      </c>
      <c r="AX201" s="41" t="n">
        <f aca="false">2*H201-H200</f>
        <v>26.0322768688277</v>
      </c>
      <c r="AY201" s="40" t="n">
        <f aca="false">ROUND(MAX(AX201-AW201,0.01),2)</f>
        <v>25.65</v>
      </c>
      <c r="AZ201" s="40" t="n">
        <f aca="true">IF(MIN(p_StopLb,ROW()-4)&lt;2,D201,SMALL(OFFSET(D201,1-MIN(p_StopLb,ROW()-4),0,MIN(p_StopLb,ROW()-4),1),2))</f>
        <v>24.83</v>
      </c>
      <c r="BA201" s="40" t="n">
        <f aca="false">IF(MOD(ROUND(ROUNDDOWN(MIN(AZ201-0.01,AY201-p_StopAtr*Y201),2)*100,0),50)=0,ROUNDDOWN(MIN(AZ201-0.01,AY201-p_StopAtr*Y201),2)-0.01,ROUNDDOWN(MIN(AZ201-0.01,AY201-p_StopAtr*Y201),2))</f>
        <v>24.82</v>
      </c>
      <c r="BB201" s="40" t="n">
        <f aca="false">ROUND(AI201,2)</f>
        <v>26.67</v>
      </c>
      <c r="BC201" s="40" t="n">
        <f aca="false">IF(AY201-BA201&gt;0,(BB201-AY201)/(AY201-BA201),0)</f>
        <v>1.22891566265061</v>
      </c>
      <c r="BD201" s="42" t="n">
        <f aca="false">IF(N201&lt;0,1,0)</f>
        <v>0</v>
      </c>
      <c r="BE201" s="41" t="n">
        <f aca="false">IF(AND(BD201=1,BD200=0),N201,IF(BD201=1,MIN(BE200,N201),BE200))</f>
        <v>-0.0622611748996084</v>
      </c>
      <c r="BF201" s="40" t="n">
        <f aca="false">IF(AND(BD201=1,BD200=0),D201,IF(BD201=1,MIN(BF200,D201),BF200))</f>
        <v>23.33</v>
      </c>
      <c r="BG201" s="42" t="n">
        <f aca="false">IF(AND(BD201=1,BD200=0),ROW(),IF(BD201=1,IF(N201&lt;BE200,ROW(),BG200),BG200))</f>
        <v>190</v>
      </c>
      <c r="BH201" s="41" t="n">
        <f aca="false">IF(AND(BD201=1,BD200=0),BE200,BH200)</f>
        <v>-0.149433863515745</v>
      </c>
      <c r="BI201" s="40" t="n">
        <f aca="false">IF(AND(BD201=1,BD200=0),BF200,BI200)</f>
        <v>23.49</v>
      </c>
      <c r="BJ201" s="42" t="n">
        <f aca="false">IF(AND(BD201=1,BD200=0),BG200,BJ200)</f>
        <v>179</v>
      </c>
      <c r="BK201" s="42" t="n">
        <f aca="false">IF(AND(ISNUMBER(BG201),ISNUMBER(BJ201)),BG201-BJ201,"")</f>
        <v>11</v>
      </c>
      <c r="BL201" s="42" t="n">
        <f aca="false">IF(AND(BD201=1,N201&gt;N200,ISNUMBER(BH201),ISNUMBER(BK201)),IF(AND(BE201&gt;BH201,BF201&lt;BI201,BK201&gt;=p_GapMin,BK201&lt;=p_GapMax),1,0),0)</f>
        <v>0</v>
      </c>
      <c r="BM201" s="42" t="n">
        <f aca="false">IF(AND(BL201=1,E201&gt;BI201),1,0)</f>
        <v>0</v>
      </c>
      <c r="BN201" s="42" t="n">
        <f aca="false">IF(BL201=1,IF(BE201&gt;=BH201*0.5,1,0),0)</f>
        <v>0</v>
      </c>
      <c r="BO201" s="42" t="n">
        <f aca="true">IF(V201&gt;MIN(OFFSET(V201,-MIN(p_FiLb-1,ROW()-5),0,MIN(p_FiLb-1,ROW()-5),1)),1,0)</f>
        <v>1</v>
      </c>
      <c r="BP201" s="44" t="n">
        <f aca="true">IF(COUNTIF(OFFSET(V201,1-MIN(100,ROW()-4),0,MIN(100,ROW()-4),1),"&lt;0")&gt;=5,AVERAGEIF(OFFSET(V201,1-MIN(100,ROW()-4),0,MIN(100,ROW()-4),1),"&lt;0"),"")</f>
        <v>-847351.818789968</v>
      </c>
      <c r="BQ201" s="42" t="n">
        <f aca="false">IF(ISNUMBER(BP201),IF(AND(V201&lt;5*BP201,V201&gt;V200,E201&lt;AJ201),1,0),0)</f>
        <v>0</v>
      </c>
      <c r="BR201" s="44" t="n">
        <f aca="true">AVERAGE(OFFSET(F201,1-MIN(5,ROW()-4),0,MIN(5,ROW()-4),1))</f>
        <v>4401160</v>
      </c>
      <c r="BS201" s="42" t="n">
        <f aca="false">IFERROR(IF(MATCH(G201,周线!$A$5:$A$84,0)&lt;=1,"",INDEX(周线!$R$5:$R$84,MATCH(G201,周线!$A$5:$A$84,0)-1)),"")</f>
        <v>1</v>
      </c>
      <c r="BT201" s="42" t="n">
        <f aca="false">IFERROR(IF(MATCH(G201,周线!$A$5:$A$84,0)&lt;=1,"",INDEX(周线!$S$5:$S$84,MATCH(G201,周线!$A$5:$A$84,0)-1)),"")</f>
        <v>1</v>
      </c>
      <c r="BU201" s="42" t="n">
        <f aca="false">IFERROR(IF(MATCH(G201,周线!$A$5:$A$84,0)&lt;=1,"",INDEX(周线!$U$5:$U$84,MATCH(G201,周线!$A$5:$A$84,0)-1)),"")</f>
        <v>1</v>
      </c>
      <c r="BV201" s="42" t="n">
        <f aca="false">IF(AND(BS201=1,S201&lt;&gt;-1,V201&lt;0,BO201=1,E201&lt;=H201,E201&gt;=AJ201),1,0)</f>
        <v>0</v>
      </c>
      <c r="BW201" s="42" t="n">
        <f aca="false">BL201</f>
        <v>0</v>
      </c>
      <c r="BX201" s="42" t="n">
        <f aca="false">BQ201</f>
        <v>0</v>
      </c>
      <c r="BY201" s="42" t="n">
        <f aca="false">IF(BS201=1,10,0)+IF(BU201=1,5,IF(BU201=-1,0,3))+IF(BT201=1,5,0)+IF(AND(AE201&gt;AF201,AH201&gt;AH200),5,0)</f>
        <v>25</v>
      </c>
      <c r="BZ201" s="42" t="n">
        <f aca="false">IF(AND(E201&lt;=H201,E201&gt;=I201),10,IF(AND(E201&gt;=AJ201,E201&lt;I201),6,0))+IF(AND(V201&lt;0,BO201=1),8,0)+IF(AT201&lt;30,7,IF(AT201&lt;50,3,0))</f>
        <v>0</v>
      </c>
      <c r="CA201" s="42" t="n">
        <f aca="false">IF(AND(BV201=1,BW201=1),25,IF(BW201=1,22,IF(BV201=1,15,IF(BX201=1,12,0))))</f>
        <v>0</v>
      </c>
      <c r="CB201" s="42" t="n">
        <f aca="false">IF(W201&gt;0,6,0)+IF(F201&lt;BR201,4,0)</f>
        <v>6</v>
      </c>
      <c r="CC201" s="42" t="n">
        <f aca="false">IF(BC201&gt;=3,15,IF(BC201&gt;=p_RRmin,10,IF(BC201&gt;=1.5,4,0)))</f>
        <v>0</v>
      </c>
      <c r="CD201" s="42" t="n">
        <f aca="false">BY201+BZ201+CA201+CB201+CC201</f>
        <v>31</v>
      </c>
      <c r="CE201" s="42" t="n">
        <f aca="false">IF(AND(BS201&lt;&gt;1,BW201+BX201=0),1,0)</f>
        <v>0</v>
      </c>
      <c r="CF201" s="42" t="n">
        <f aca="false">IF(BU201=-1,1,0)</f>
        <v>0</v>
      </c>
      <c r="CG201" s="42" t="n">
        <f aca="false">IF(S201=-1,1,0)</f>
        <v>0</v>
      </c>
      <c r="CH201" s="42" t="n">
        <f aca="false">IF(BV201+BW201+BX201=0,1,0)</f>
        <v>1</v>
      </c>
      <c r="CI201" s="42" t="n">
        <f aca="false">IF(BC201&lt;p_RRmin,1,0)</f>
        <v>1</v>
      </c>
      <c r="CJ201" s="46" t="str">
        <f aca="false">IF(SUM(CE201:CI201)=0,IF(CD201&gt;=p_GradeA,"A",IF(CD201&gt;=p_GradeB,"B","C")),IF(AND(CI201=1,SUM(CE201:CH201)=0,CD201&gt;=p_GradeB),"B","C"))</f>
        <v>C</v>
      </c>
    </row>
    <row r="202" customFormat="false" ht="15" hidden="false" customHeight="false" outlineLevel="0" collapsed="false">
      <c r="A202" s="36" t="n">
        <v>45936</v>
      </c>
      <c r="B202" s="37" t="n">
        <v>27.22</v>
      </c>
      <c r="C202" s="37" t="n">
        <v>27.3</v>
      </c>
      <c r="D202" s="37" t="n">
        <v>27.06</v>
      </c>
      <c r="E202" s="37" t="n">
        <v>27.18</v>
      </c>
      <c r="F202" s="38" t="n">
        <v>2290500</v>
      </c>
      <c r="G202" s="39" t="n">
        <f aca="false">A202-WEEKDAY(A202,3)</f>
        <v>45936</v>
      </c>
      <c r="H202" s="40" t="n">
        <f aca="false">2/(p_EmaF+1)*E202+(1-2/(p_EmaF+1))*H201</f>
        <v>25.9977704936514</v>
      </c>
      <c r="I202" s="40" t="n">
        <f aca="false">2/(p_EmaS+1)*E202+(1-2/(p_EmaS+1))*I201</f>
        <v>25.3131791319219</v>
      </c>
      <c r="J202" s="41" t="n">
        <f aca="false">2/(p_MacdF+1)*E202+(1-2/(p_MacdF+1))*J201</f>
        <v>26.067868293594</v>
      </c>
      <c r="K202" s="41" t="n">
        <f aca="false">2/(p_MacdS+1)*E202+(1-2/(p_MacdS+1))*K201</f>
        <v>25.3131791319219</v>
      </c>
      <c r="L202" s="41" t="n">
        <f aca="false">J202-K202</f>
        <v>0.754689161672093</v>
      </c>
      <c r="M202" s="41" t="n">
        <f aca="false">2/(p_MacdSig+1)*L202+(1-2/(p_MacdSig+1))*M201</f>
        <v>0.591033862644418</v>
      </c>
      <c r="N202" s="41" t="n">
        <f aca="false">L202-M202</f>
        <v>0.163655299027676</v>
      </c>
      <c r="O202" s="42" t="n">
        <f aca="false">IF(H202&gt;H201,1,0)</f>
        <v>1</v>
      </c>
      <c r="P202" s="42" t="n">
        <f aca="false">IF(H202&lt;H201,1,0)</f>
        <v>0</v>
      </c>
      <c r="Q202" s="42" t="n">
        <f aca="false">IF(N202&gt;N201,1,0)</f>
        <v>1</v>
      </c>
      <c r="R202" s="42" t="n">
        <f aca="false">IF(N202&lt;N201,1,0)</f>
        <v>0</v>
      </c>
      <c r="S202" s="42" t="n">
        <f aca="false">IF(AND(O202=1,Q202=1),1,IF(AND(P202=1,R202=1),-1,0))</f>
        <v>1</v>
      </c>
      <c r="T202" s="43" t="str">
        <f aca="false">IF(S202=1,"绿",IF(S202=-1,"红","蓝"))</f>
        <v>绿</v>
      </c>
      <c r="U202" s="44" t="n">
        <f aca="false">F202*(E202-E201)</f>
        <v>-22905.0000000036</v>
      </c>
      <c r="V202" s="44" t="n">
        <f aca="false">2/(p_FiS+1)*U202+(1-2/(p_FiS+1))*V201</f>
        <v>995264.776468849</v>
      </c>
      <c r="W202" s="44" t="n">
        <f aca="false">2/(p_FiL+1)*U202+(1-2/(p_FiL+1))*W201</f>
        <v>944268.340026827</v>
      </c>
      <c r="X202" s="41" t="n">
        <f aca="false">MAX(C202-D202,ABS(C202-E201),ABS(D202-E201))</f>
        <v>0.240000000000002</v>
      </c>
      <c r="Y202" s="41" t="n">
        <f aca="true">AVERAGE(OFFSET(X202,1-MIN(p_AtrN,ROW()-4),0,MIN(p_AtrN,ROW()-4),1))</f>
        <v>0.716923076923077</v>
      </c>
      <c r="Z202" s="41" t="n">
        <f aca="false">IF(AND(C202-C201&gt;D201-D202,C202-C201&gt;0),C202-C201,0)</f>
        <v>0</v>
      </c>
      <c r="AA202" s="41" t="n">
        <f aca="false">IF(AND(D201-D202&gt;C202-C201,D201-D202&gt;0),D201-D202,0)</f>
        <v>0</v>
      </c>
      <c r="AB202" s="41" t="n">
        <f aca="false">2/(p_AdxN+1)*X202+(1-2/(p_AdxN+1))*AB201</f>
        <v>0.718562731017721</v>
      </c>
      <c r="AC202" s="41" t="n">
        <f aca="false">2/(p_AdxN+1)*Z202+(1-2/(p_AdxN+1))*AC201</f>
        <v>0.227495993878134</v>
      </c>
      <c r="AD202" s="41" t="n">
        <f aca="false">2/(p_AdxN+1)*AA202+(1-2/(p_AdxN+1))*AD201</f>
        <v>0.0707237618238882</v>
      </c>
      <c r="AE202" s="45" t="n">
        <f aca="false">100*AC202/AB202</f>
        <v>31.6598654589175</v>
      </c>
      <c r="AF202" s="45" t="n">
        <f aca="false">100*AD202/AB202</f>
        <v>9.84239214907794</v>
      </c>
      <c r="AG202" s="45" t="n">
        <f aca="false">IFERROR(100*ABS(AE202-AF202)/(AE202+AF202),0)</f>
        <v>52.5693650593996</v>
      </c>
      <c r="AH202" s="45" t="n">
        <f aca="false">2/(p_AdxN+1)*AG202+(1-2/(p_AdxN+1))*AH201</f>
        <v>36.6160492738756</v>
      </c>
      <c r="AI202" s="40" t="n">
        <f aca="false">I202*(1+p_ChPct)</f>
        <v>26.8319698798372</v>
      </c>
      <c r="AJ202" s="40" t="n">
        <f aca="false">I202*(1-p_ChPct)</f>
        <v>23.7943883840066</v>
      </c>
      <c r="AK202" s="40" t="n">
        <f aca="false">I202+1*Y202</f>
        <v>26.030102208845</v>
      </c>
      <c r="AL202" s="40" t="n">
        <f aca="false">I202+2*Y202</f>
        <v>26.7470252857681</v>
      </c>
      <c r="AM202" s="40" t="n">
        <f aca="false">I202+3*Y202</f>
        <v>27.4639483626911</v>
      </c>
      <c r="AN202" s="40" t="n">
        <f aca="false">I202-1*Y202</f>
        <v>24.5962560549988</v>
      </c>
      <c r="AO202" s="40" t="n">
        <f aca="false">I202-2*Y202</f>
        <v>23.8793329780757</v>
      </c>
      <c r="AP202" s="40" t="n">
        <f aca="false">I202-3*Y202</f>
        <v>23.1624099011527</v>
      </c>
      <c r="AQ202" s="40" t="n">
        <f aca="true">MAX(OFFSET(C202,1-MIN(p_StochN,ROW()-4),0,MIN(p_StochN,ROW()-4),1))</f>
        <v>27.36</v>
      </c>
      <c r="AR202" s="40" t="n">
        <f aca="true">MIN(OFFSET(D202,1-MIN(p_StochN,ROW()-4),0,MIN(p_StochN,ROW()-4),1))</f>
        <v>25.69</v>
      </c>
      <c r="AS202" s="45" t="n">
        <f aca="false">IF(AQ202=AR202,50,100*(E202-AR202)/(AQ202-AR202))</f>
        <v>89.2215568862276</v>
      </c>
      <c r="AT202" s="45" t="n">
        <f aca="true">AVERAGE(OFFSET(AS202,1-MIN(p_StochSm,ROW()-4),0,MIN(p_StochSm,ROW()-4),1))</f>
        <v>78.634887088568</v>
      </c>
      <c r="AU202" s="45" t="n">
        <f aca="true">AVERAGE(OFFSET(AT202,1-MIN(p_StochSm,ROW()-4),0,MIN(p_StochSm,ROW()-4),1))</f>
        <v>69.5543302535201</v>
      </c>
      <c r="AV202" s="41" t="n">
        <f aca="false">MAX(0,H202-D202)</f>
        <v>0</v>
      </c>
      <c r="AW202" s="41" t="n">
        <f aca="true">IF(COUNTIF(OFFSET(AV202,1-MIN(p_PenLb,ROW()-4),0,MIN(p_PenLb,ROW()-4),1),"&gt;0")&gt;0,SUM(OFFSET(AV202,1-MIN(p_PenLb,ROW()-4),0,MIN(p_PenLb,ROW()-4),1))/COUNTIF(OFFSET(AV202,1-MIN(p_PenLb,ROW()-4),0,MIN(p_PenLb,ROW()-4),1),"&gt;0"),0.5*Y202)</f>
        <v>0.377887406151935</v>
      </c>
      <c r="AX202" s="41" t="n">
        <f aca="false">2*H202-H201</f>
        <v>26.1948087447095</v>
      </c>
      <c r="AY202" s="40" t="n">
        <f aca="false">ROUND(MAX(AX202-AW202,0.01),2)</f>
        <v>25.82</v>
      </c>
      <c r="AZ202" s="40" t="n">
        <f aca="true">IF(MIN(p_StopLb,ROW()-4)&lt;2,D202,SMALL(OFFSET(D202,1-MIN(p_StopLb,ROW()-4),0,MIN(p_StopLb,ROW()-4),1),2))</f>
        <v>25.04</v>
      </c>
      <c r="BA202" s="40" t="n">
        <f aca="false">IF(MOD(ROUND(ROUNDDOWN(MIN(AZ202-0.01,AY202-p_StopAtr*Y202),2)*100,0),50)=0,ROUNDDOWN(MIN(AZ202-0.01,AY202-p_StopAtr*Y202),2)-0.01,ROUNDDOWN(MIN(AZ202-0.01,AY202-p_StopAtr*Y202),2))</f>
        <v>25.03</v>
      </c>
      <c r="BB202" s="40" t="n">
        <f aca="false">ROUND(AI202,2)</f>
        <v>26.83</v>
      </c>
      <c r="BC202" s="40" t="n">
        <f aca="false">IF(AY202-BA202&gt;0,(BB202-AY202)/(AY202-BA202),0)</f>
        <v>1.27848101265823</v>
      </c>
      <c r="BD202" s="42" t="n">
        <f aca="false">IF(N202&lt;0,1,0)</f>
        <v>0</v>
      </c>
      <c r="BE202" s="41" t="n">
        <f aca="false">IF(AND(BD202=1,BD201=0),N202,IF(BD202=1,MIN(BE201,N202),BE201))</f>
        <v>-0.0622611748996084</v>
      </c>
      <c r="BF202" s="40" t="n">
        <f aca="false">IF(AND(BD202=1,BD201=0),D202,IF(BD202=1,MIN(BF201,D202),BF201))</f>
        <v>23.33</v>
      </c>
      <c r="BG202" s="42" t="n">
        <f aca="false">IF(AND(BD202=1,BD201=0),ROW(),IF(BD202=1,IF(N202&lt;BE201,ROW(),BG201),BG201))</f>
        <v>190</v>
      </c>
      <c r="BH202" s="41" t="n">
        <f aca="false">IF(AND(BD202=1,BD201=0),BE201,BH201)</f>
        <v>-0.149433863515745</v>
      </c>
      <c r="BI202" s="40" t="n">
        <f aca="false">IF(AND(BD202=1,BD201=0),BF201,BI201)</f>
        <v>23.49</v>
      </c>
      <c r="BJ202" s="42" t="n">
        <f aca="false">IF(AND(BD202=1,BD201=0),BG201,BJ201)</f>
        <v>179</v>
      </c>
      <c r="BK202" s="42" t="n">
        <f aca="false">IF(AND(ISNUMBER(BG202),ISNUMBER(BJ202)),BG202-BJ202,"")</f>
        <v>11</v>
      </c>
      <c r="BL202" s="42" t="n">
        <f aca="false">IF(AND(BD202=1,N202&gt;N201,ISNUMBER(BH202),ISNUMBER(BK202)),IF(AND(BE202&gt;BH202,BF202&lt;BI202,BK202&gt;=p_GapMin,BK202&lt;=p_GapMax),1,0),0)</f>
        <v>0</v>
      </c>
      <c r="BM202" s="42" t="n">
        <f aca="false">IF(AND(BL202=1,E202&gt;BI202),1,0)</f>
        <v>0</v>
      </c>
      <c r="BN202" s="42" t="n">
        <f aca="false">IF(BL202=1,IF(BE202&gt;=BH202*0.5,1,0),0)</f>
        <v>0</v>
      </c>
      <c r="BO202" s="42" t="n">
        <f aca="true">IF(V202&gt;MIN(OFFSET(V202,-MIN(p_FiLb-1,ROW()-5),0,MIN(p_FiLb-1,ROW()-5),1)),1,0)</f>
        <v>1</v>
      </c>
      <c r="BP202" s="44" t="n">
        <f aca="true">IF(COUNTIF(OFFSET(V202,1-MIN(100,ROW()-4),0,MIN(100,ROW()-4),1),"&lt;0")&gt;=5,AVERAGEIF(OFFSET(V202,1-MIN(100,ROW()-4),0,MIN(100,ROW()-4),1),"&lt;0"),"")</f>
        <v>-831111.630119507</v>
      </c>
      <c r="BQ202" s="42" t="n">
        <f aca="false">IF(ISNUMBER(BP202),IF(AND(V202&lt;5*BP202,V202&gt;V201,E202&lt;AJ202),1,0),0)</f>
        <v>0</v>
      </c>
      <c r="BR202" s="44" t="n">
        <f aca="true">AVERAGE(OFFSET(F202,1-MIN(5,ROW()-4),0,MIN(5,ROW()-4),1))</f>
        <v>3954340</v>
      </c>
      <c r="BS202" s="42" t="n">
        <f aca="false">IFERROR(IF(MATCH(G202,周线!$A$5:$A$84,0)&lt;=1,"",INDEX(周线!$R$5:$R$84,MATCH(G202,周线!$A$5:$A$84,0)-1)),"")</f>
        <v>1</v>
      </c>
      <c r="BT202" s="42" t="n">
        <f aca="false">IFERROR(IF(MATCH(G202,周线!$A$5:$A$84,0)&lt;=1,"",INDEX(周线!$S$5:$S$84,MATCH(G202,周线!$A$5:$A$84,0)-1)),"")</f>
        <v>1</v>
      </c>
      <c r="BU202" s="42" t="n">
        <f aca="false">IFERROR(IF(MATCH(G202,周线!$A$5:$A$84,0)&lt;=1,"",INDEX(周线!$U$5:$U$84,MATCH(G202,周线!$A$5:$A$84,0)-1)),"")</f>
        <v>1</v>
      </c>
      <c r="BV202" s="42" t="n">
        <f aca="false">IF(AND(BS202=1,S202&lt;&gt;-1,V202&lt;0,BO202=1,E202&lt;=H202,E202&gt;=AJ202),1,0)</f>
        <v>0</v>
      </c>
      <c r="BW202" s="42" t="n">
        <f aca="false">BL202</f>
        <v>0</v>
      </c>
      <c r="BX202" s="42" t="n">
        <f aca="false">BQ202</f>
        <v>0</v>
      </c>
      <c r="BY202" s="42" t="n">
        <f aca="false">IF(BS202=1,10,0)+IF(BU202=1,5,IF(BU202=-1,0,3))+IF(BT202=1,5,0)+IF(AND(AE202&gt;AF202,AH202&gt;AH201),5,0)</f>
        <v>25</v>
      </c>
      <c r="BZ202" s="42" t="n">
        <f aca="false">IF(AND(E202&lt;=H202,E202&gt;=I202),10,IF(AND(E202&gt;=AJ202,E202&lt;I202),6,0))+IF(AND(V202&lt;0,BO202=1),8,0)+IF(AT202&lt;30,7,IF(AT202&lt;50,3,0))</f>
        <v>0</v>
      </c>
      <c r="CA202" s="42" t="n">
        <f aca="false">IF(AND(BV202=1,BW202=1),25,IF(BW202=1,22,IF(BV202=1,15,IF(BX202=1,12,0))))</f>
        <v>0</v>
      </c>
      <c r="CB202" s="42" t="n">
        <f aca="false">IF(W202&gt;0,6,0)+IF(F202&lt;BR202,4,0)</f>
        <v>10</v>
      </c>
      <c r="CC202" s="42" t="n">
        <f aca="false">IF(BC202&gt;=3,15,IF(BC202&gt;=p_RRmin,10,IF(BC202&gt;=1.5,4,0)))</f>
        <v>0</v>
      </c>
      <c r="CD202" s="42" t="n">
        <f aca="false">BY202+BZ202+CA202+CB202+CC202</f>
        <v>35</v>
      </c>
      <c r="CE202" s="42" t="n">
        <f aca="false">IF(AND(BS202&lt;&gt;1,BW202+BX202=0),1,0)</f>
        <v>0</v>
      </c>
      <c r="CF202" s="42" t="n">
        <f aca="false">IF(BU202=-1,1,0)</f>
        <v>0</v>
      </c>
      <c r="CG202" s="42" t="n">
        <f aca="false">IF(S202=-1,1,0)</f>
        <v>0</v>
      </c>
      <c r="CH202" s="42" t="n">
        <f aca="false">IF(BV202+BW202+BX202=0,1,0)</f>
        <v>1</v>
      </c>
      <c r="CI202" s="42" t="n">
        <f aca="false">IF(BC202&lt;p_RRmin,1,0)</f>
        <v>1</v>
      </c>
      <c r="CJ202" s="46" t="str">
        <f aca="false">IF(SUM(CE202:CI202)=0,IF(CD202&gt;=p_GradeA,"A",IF(CD202&gt;=p_GradeB,"B","C")),IF(AND(CI202=1,SUM(CE202:CH202)=0,CD202&gt;=p_GradeB),"B","C"))</f>
        <v>C</v>
      </c>
    </row>
    <row r="203" customFormat="false" ht="15" hidden="false" customHeight="false" outlineLevel="0" collapsed="false">
      <c r="A203" s="36" t="n">
        <v>45937</v>
      </c>
      <c r="B203" s="37" t="n">
        <v>27.08</v>
      </c>
      <c r="C203" s="37" t="n">
        <v>28.05</v>
      </c>
      <c r="D203" s="37" t="n">
        <v>26.97</v>
      </c>
      <c r="E203" s="37" t="n">
        <v>27.81</v>
      </c>
      <c r="F203" s="38" t="n">
        <v>5102800</v>
      </c>
      <c r="G203" s="39" t="n">
        <f aca="false">A203-WEEKDAY(A203,3)</f>
        <v>45936</v>
      </c>
      <c r="H203" s="40" t="n">
        <f aca="false">2/(p_EmaF+1)*E203+(1-2/(p_EmaF+1))*H202</f>
        <v>26.2566604231297</v>
      </c>
      <c r="I203" s="40" t="n">
        <f aca="false">2/(p_EmaS+1)*E203+(1-2/(p_EmaS+1))*I202</f>
        <v>25.4981288258536</v>
      </c>
      <c r="J203" s="41" t="n">
        <f aca="false">2/(p_MacdF+1)*E203+(1-2/(p_MacdF+1))*J202</f>
        <v>26.335888556118</v>
      </c>
      <c r="K203" s="41" t="n">
        <f aca="false">2/(p_MacdS+1)*E203+(1-2/(p_MacdS+1))*K202</f>
        <v>25.4981288258536</v>
      </c>
      <c r="L203" s="41" t="n">
        <f aca="false">J203-K203</f>
        <v>0.837759730264384</v>
      </c>
      <c r="M203" s="41" t="n">
        <f aca="false">2/(p_MacdSig+1)*L203+(1-2/(p_MacdSig+1))*M202</f>
        <v>0.640379036168411</v>
      </c>
      <c r="N203" s="41" t="n">
        <f aca="false">L203-M203</f>
        <v>0.197380694095973</v>
      </c>
      <c r="O203" s="42" t="n">
        <f aca="false">IF(H203&gt;H202,1,0)</f>
        <v>1</v>
      </c>
      <c r="P203" s="42" t="n">
        <f aca="false">IF(H203&lt;H202,1,0)</f>
        <v>0</v>
      </c>
      <c r="Q203" s="42" t="n">
        <f aca="false">IF(N203&gt;N202,1,0)</f>
        <v>1</v>
      </c>
      <c r="R203" s="42" t="n">
        <f aca="false">IF(N203&lt;N202,1,0)</f>
        <v>0</v>
      </c>
      <c r="S203" s="42" t="n">
        <f aca="false">IF(AND(O203=1,Q203=1),1,IF(AND(P203=1,R203=1),-1,0))</f>
        <v>1</v>
      </c>
      <c r="T203" s="43" t="str">
        <f aca="false">IF(S203=1,"绿",IF(S203=-1,"红","蓝"))</f>
        <v>绿</v>
      </c>
      <c r="U203" s="44" t="n">
        <f aca="false">F203*(E203-E202)</f>
        <v>3214764</v>
      </c>
      <c r="V203" s="44" t="n">
        <f aca="false">2/(p_FiS+1)*U203+(1-2/(p_FiS+1))*V202</f>
        <v>2474930.92548961</v>
      </c>
      <c r="W203" s="44" t="n">
        <f aca="false">2/(p_FiL+1)*U203+(1-2/(p_FiL+1))*W202</f>
        <v>1268624.86288014</v>
      </c>
      <c r="X203" s="41" t="n">
        <f aca="false">MAX(C203-D203,ABS(C203-E202),ABS(D203-E202))</f>
        <v>1.08</v>
      </c>
      <c r="Y203" s="41" t="n">
        <f aca="true">AVERAGE(OFFSET(X203,1-MIN(p_AtrN,ROW()-4),0,MIN(p_AtrN,ROW()-4),1))</f>
        <v>0.716153846153846</v>
      </c>
      <c r="Z203" s="41" t="n">
        <f aca="false">IF(AND(C203-C202&gt;D202-D203,C203-C202&gt;0),C203-C202,0)</f>
        <v>0.75</v>
      </c>
      <c r="AA203" s="41" t="n">
        <f aca="false">IF(AND(D202-D203&gt;C203-C202,D202-D203&gt;0),D202-D203,0)</f>
        <v>0</v>
      </c>
      <c r="AB203" s="41" t="n">
        <f aca="false">2/(p_AdxN+1)*X203+(1-2/(p_AdxN+1))*AB202</f>
        <v>0.770196626586618</v>
      </c>
      <c r="AC203" s="41" t="n">
        <f aca="false">2/(p_AdxN+1)*Z203+(1-2/(p_AdxN+1))*AC202</f>
        <v>0.302139423324115</v>
      </c>
      <c r="AD203" s="41" t="n">
        <f aca="false">2/(p_AdxN+1)*AA203+(1-2/(p_AdxN+1))*AD202</f>
        <v>0.0606203672776184</v>
      </c>
      <c r="AE203" s="45" t="n">
        <f aca="false">100*AC203/AB203</f>
        <v>39.2288686933291</v>
      </c>
      <c r="AF203" s="45" t="n">
        <f aca="false">100*AD203/AB203</f>
        <v>7.8707650988135</v>
      </c>
      <c r="AG203" s="45" t="n">
        <f aca="false">IFERROR(100*ABS(AE203-AF203)/(AE203+AF203),0)</f>
        <v>66.5782322913664</v>
      </c>
      <c r="AH203" s="45" t="n">
        <f aca="false">2/(p_AdxN+1)*AG203+(1-2/(p_AdxN+1))*AH202</f>
        <v>40.8963611335171</v>
      </c>
      <c r="AI203" s="40" t="n">
        <f aca="false">I203*(1+p_ChPct)</f>
        <v>27.0280165554048</v>
      </c>
      <c r="AJ203" s="40" t="n">
        <f aca="false">I203*(1-p_ChPct)</f>
        <v>23.9682410963024</v>
      </c>
      <c r="AK203" s="40" t="n">
        <f aca="false">I203+1*Y203</f>
        <v>26.2142826720075</v>
      </c>
      <c r="AL203" s="40" t="n">
        <f aca="false">I203+2*Y203</f>
        <v>26.9304365181613</v>
      </c>
      <c r="AM203" s="40" t="n">
        <f aca="false">I203+3*Y203</f>
        <v>27.6465903643152</v>
      </c>
      <c r="AN203" s="40" t="n">
        <f aca="false">I203-1*Y203</f>
        <v>24.7819749796998</v>
      </c>
      <c r="AO203" s="40" t="n">
        <f aca="false">I203-2*Y203</f>
        <v>24.0658211335459</v>
      </c>
      <c r="AP203" s="40" t="n">
        <f aca="false">I203-3*Y203</f>
        <v>23.3496672873921</v>
      </c>
      <c r="AQ203" s="40" t="n">
        <f aca="true">MAX(OFFSET(C203,1-MIN(p_StochN,ROW()-4),0,MIN(p_StochN,ROW()-4),1))</f>
        <v>28.05</v>
      </c>
      <c r="AR203" s="40" t="n">
        <f aca="true">MIN(OFFSET(D203,1-MIN(p_StochN,ROW()-4),0,MIN(p_StochN,ROW()-4),1))</f>
        <v>25.69</v>
      </c>
      <c r="AS203" s="45" t="n">
        <f aca="false">IF(AQ203=AR203,50,100*(E203-AR203)/(AQ203-AR203))</f>
        <v>89.8305084745762</v>
      </c>
      <c r="AT203" s="45" t="n">
        <f aca="true">AVERAGE(OFFSET(AS203,1-MIN(p_StochSm,ROW()-4),0,MIN(p_StochSm,ROW()-4),1))</f>
        <v>89.6241415474137</v>
      </c>
      <c r="AU203" s="45" t="n">
        <f aca="true">AVERAGE(OFFSET(AT203,1-MIN(p_StochSm,ROW()-4),0,MIN(p_StochSm,ROW()-4),1))</f>
        <v>77.6551208581465</v>
      </c>
      <c r="AV203" s="41" t="n">
        <f aca="false">MAX(0,H203-D203)</f>
        <v>0</v>
      </c>
      <c r="AW203" s="41" t="n">
        <f aca="true">IF(COUNTIF(OFFSET(AV203,1-MIN(p_PenLb,ROW()-4),0,MIN(p_PenLb,ROW()-4),1),"&gt;0")&gt;0,SUM(OFFSET(AV203,1-MIN(p_PenLb,ROW()-4),0,MIN(p_PenLb,ROW()-4),1))/COUNTIF(OFFSET(AV203,1-MIN(p_PenLb,ROW()-4),0,MIN(p_PenLb,ROW()-4),1),"&gt;0"),0.5*Y203)</f>
        <v>0.402341150985215</v>
      </c>
      <c r="AX203" s="41" t="n">
        <f aca="false">2*H203-H202</f>
        <v>26.5155503526081</v>
      </c>
      <c r="AY203" s="40" t="n">
        <f aca="false">ROUND(MAX(AX203-AW203,0.01),2)</f>
        <v>26.11</v>
      </c>
      <c r="AZ203" s="40" t="n">
        <f aca="true">IF(MIN(p_StopLb,ROW()-4)&lt;2,D203,SMALL(OFFSET(D203,1-MIN(p_StopLb,ROW()-4),0,MIN(p_StopLb,ROW()-4),1),2))</f>
        <v>25.15</v>
      </c>
      <c r="BA203" s="40" t="n">
        <f aca="false">IF(MOD(ROUND(ROUNDDOWN(MIN(AZ203-0.01,AY203-p_StopAtr*Y203),2)*100,0),50)=0,ROUNDDOWN(MIN(AZ203-0.01,AY203-p_StopAtr*Y203),2)-0.01,ROUNDDOWN(MIN(AZ203-0.01,AY203-p_StopAtr*Y203),2))</f>
        <v>25.14</v>
      </c>
      <c r="BB203" s="40" t="n">
        <f aca="false">ROUND(AI203,2)</f>
        <v>27.03</v>
      </c>
      <c r="BC203" s="40" t="n">
        <f aca="false">IF(AY203-BA203&gt;0,(BB203-AY203)/(AY203-BA203),0)</f>
        <v>0.948453608247426</v>
      </c>
      <c r="BD203" s="42" t="n">
        <f aca="false">IF(N203&lt;0,1,0)</f>
        <v>0</v>
      </c>
      <c r="BE203" s="41" t="n">
        <f aca="false">IF(AND(BD203=1,BD202=0),N203,IF(BD203=1,MIN(BE202,N203),BE202))</f>
        <v>-0.0622611748996084</v>
      </c>
      <c r="BF203" s="40" t="n">
        <f aca="false">IF(AND(BD203=1,BD202=0),D203,IF(BD203=1,MIN(BF202,D203),BF202))</f>
        <v>23.33</v>
      </c>
      <c r="BG203" s="42" t="n">
        <f aca="false">IF(AND(BD203=1,BD202=0),ROW(),IF(BD203=1,IF(N203&lt;BE202,ROW(),BG202),BG202))</f>
        <v>190</v>
      </c>
      <c r="BH203" s="41" t="n">
        <f aca="false">IF(AND(BD203=1,BD202=0),BE202,BH202)</f>
        <v>-0.149433863515745</v>
      </c>
      <c r="BI203" s="40" t="n">
        <f aca="false">IF(AND(BD203=1,BD202=0),BF202,BI202)</f>
        <v>23.49</v>
      </c>
      <c r="BJ203" s="42" t="n">
        <f aca="false">IF(AND(BD203=1,BD202=0),BG202,BJ202)</f>
        <v>179</v>
      </c>
      <c r="BK203" s="42" t="n">
        <f aca="false">IF(AND(ISNUMBER(BG203),ISNUMBER(BJ203)),BG203-BJ203,"")</f>
        <v>11</v>
      </c>
      <c r="BL203" s="42" t="n">
        <f aca="false">IF(AND(BD203=1,N203&gt;N202,ISNUMBER(BH203),ISNUMBER(BK203)),IF(AND(BE203&gt;BH203,BF203&lt;BI203,BK203&gt;=p_GapMin,BK203&lt;=p_GapMax),1,0),0)</f>
        <v>0</v>
      </c>
      <c r="BM203" s="42" t="n">
        <f aca="false">IF(AND(BL203=1,E203&gt;BI203),1,0)</f>
        <v>0</v>
      </c>
      <c r="BN203" s="42" t="n">
        <f aca="false">IF(BL203=1,IF(BE203&gt;=BH203*0.5,1,0),0)</f>
        <v>0</v>
      </c>
      <c r="BO203" s="42" t="n">
        <f aca="true">IF(V203&gt;MIN(OFFSET(V203,-MIN(p_FiLb-1,ROW()-5),0,MIN(p_FiLb-1,ROW()-5),1)),1,0)</f>
        <v>1</v>
      </c>
      <c r="BP203" s="44" t="n">
        <f aca="true">IF(COUNTIF(OFFSET(V203,1-MIN(100,ROW()-4),0,MIN(100,ROW()-4),1),"&lt;0")&gt;=5,AVERAGEIF(OFFSET(V203,1-MIN(100,ROW()-4),0,MIN(100,ROW()-4),1),"&lt;0"),"")</f>
        <v>-832740.480758397</v>
      </c>
      <c r="BQ203" s="42" t="n">
        <f aca="false">IF(ISNUMBER(BP203),IF(AND(V203&lt;5*BP203,V203&gt;V202,E203&lt;AJ203),1,0),0)</f>
        <v>0</v>
      </c>
      <c r="BR203" s="44" t="n">
        <f aca="true">AVERAGE(OFFSET(F203,1-MIN(5,ROW()-4),0,MIN(5,ROW()-4),1))</f>
        <v>4262060</v>
      </c>
      <c r="BS203" s="42" t="n">
        <f aca="false">IFERROR(IF(MATCH(G203,周线!$A$5:$A$84,0)&lt;=1,"",INDEX(周线!$R$5:$R$84,MATCH(G203,周线!$A$5:$A$84,0)-1)),"")</f>
        <v>1</v>
      </c>
      <c r="BT203" s="42" t="n">
        <f aca="false">IFERROR(IF(MATCH(G203,周线!$A$5:$A$84,0)&lt;=1,"",INDEX(周线!$S$5:$S$84,MATCH(G203,周线!$A$5:$A$84,0)-1)),"")</f>
        <v>1</v>
      </c>
      <c r="BU203" s="42" t="n">
        <f aca="false">IFERROR(IF(MATCH(G203,周线!$A$5:$A$84,0)&lt;=1,"",INDEX(周线!$U$5:$U$84,MATCH(G203,周线!$A$5:$A$84,0)-1)),"")</f>
        <v>1</v>
      </c>
      <c r="BV203" s="42" t="n">
        <f aca="false">IF(AND(BS203=1,S203&lt;&gt;-1,V203&lt;0,BO203=1,E203&lt;=H203,E203&gt;=AJ203),1,0)</f>
        <v>0</v>
      </c>
      <c r="BW203" s="42" t="n">
        <f aca="false">BL203</f>
        <v>0</v>
      </c>
      <c r="BX203" s="42" t="n">
        <f aca="false">BQ203</f>
        <v>0</v>
      </c>
      <c r="BY203" s="42" t="n">
        <f aca="false">IF(BS203=1,10,0)+IF(BU203=1,5,IF(BU203=-1,0,3))+IF(BT203=1,5,0)+IF(AND(AE203&gt;AF203,AH203&gt;AH202),5,0)</f>
        <v>25</v>
      </c>
      <c r="BZ203" s="42" t="n">
        <f aca="false">IF(AND(E203&lt;=H203,E203&gt;=I203),10,IF(AND(E203&gt;=AJ203,E203&lt;I203),6,0))+IF(AND(V203&lt;0,BO203=1),8,0)+IF(AT203&lt;30,7,IF(AT203&lt;50,3,0))</f>
        <v>0</v>
      </c>
      <c r="CA203" s="42" t="n">
        <f aca="false">IF(AND(BV203=1,BW203=1),25,IF(BW203=1,22,IF(BV203=1,15,IF(BX203=1,12,0))))</f>
        <v>0</v>
      </c>
      <c r="CB203" s="42" t="n">
        <f aca="false">IF(W203&gt;0,6,0)+IF(F203&lt;BR203,4,0)</f>
        <v>6</v>
      </c>
      <c r="CC203" s="42" t="n">
        <f aca="false">IF(BC203&gt;=3,15,IF(BC203&gt;=p_RRmin,10,IF(BC203&gt;=1.5,4,0)))</f>
        <v>0</v>
      </c>
      <c r="CD203" s="42" t="n">
        <f aca="false">BY203+BZ203+CA203+CB203+CC203</f>
        <v>31</v>
      </c>
      <c r="CE203" s="42" t="n">
        <f aca="false">IF(AND(BS203&lt;&gt;1,BW203+BX203=0),1,0)</f>
        <v>0</v>
      </c>
      <c r="CF203" s="42" t="n">
        <f aca="false">IF(BU203=-1,1,0)</f>
        <v>0</v>
      </c>
      <c r="CG203" s="42" t="n">
        <f aca="false">IF(S203=-1,1,0)</f>
        <v>0</v>
      </c>
      <c r="CH203" s="42" t="n">
        <f aca="false">IF(BV203+BW203+BX203=0,1,0)</f>
        <v>1</v>
      </c>
      <c r="CI203" s="42" t="n">
        <f aca="false">IF(BC203&lt;p_RRmin,1,0)</f>
        <v>1</v>
      </c>
      <c r="CJ203" s="46" t="str">
        <f aca="false">IF(SUM(CE203:CI203)=0,IF(CD203&gt;=p_GradeA,"A",IF(CD203&gt;=p_GradeB,"B","C")),IF(AND(CI203=1,SUM(CE203:CH203)=0,CD203&gt;=p_GradeB),"B","C"))</f>
        <v>C</v>
      </c>
    </row>
    <row r="204" customFormat="false" ht="15" hidden="false" customHeight="false" outlineLevel="0" collapsed="false">
      <c r="A204" s="36" t="n">
        <v>45938</v>
      </c>
      <c r="B204" s="37" t="n">
        <v>27.75</v>
      </c>
      <c r="C204" s="37" t="n">
        <v>28</v>
      </c>
      <c r="D204" s="37" t="n">
        <v>27.23</v>
      </c>
      <c r="E204" s="37" t="n">
        <v>27.55</v>
      </c>
      <c r="F204" s="38" t="n">
        <v>2914600</v>
      </c>
      <c r="G204" s="39" t="n">
        <f aca="false">A204-WEEKDAY(A204,3)</f>
        <v>45936</v>
      </c>
      <c r="H204" s="40" t="n">
        <f aca="false">2/(p_EmaF+1)*E204+(1-2/(p_EmaF+1))*H203</f>
        <v>26.4414232198255</v>
      </c>
      <c r="I204" s="40" t="n">
        <f aca="false">2/(p_EmaS+1)*E204+(1-2/(p_EmaS+1))*I203</f>
        <v>25.6501192831978</v>
      </c>
      <c r="J204" s="41" t="n">
        <f aca="false">2/(p_MacdF+1)*E204+(1-2/(p_MacdF+1))*J203</f>
        <v>26.5226749320998</v>
      </c>
      <c r="K204" s="41" t="n">
        <f aca="false">2/(p_MacdS+1)*E204+(1-2/(p_MacdS+1))*K203</f>
        <v>25.6501192831978</v>
      </c>
      <c r="L204" s="41" t="n">
        <f aca="false">J204-K204</f>
        <v>0.872555648902054</v>
      </c>
      <c r="M204" s="41" t="n">
        <f aca="false">2/(p_MacdSig+1)*L204+(1-2/(p_MacdSig+1))*M203</f>
        <v>0.68681435871514</v>
      </c>
      <c r="N204" s="41" t="n">
        <f aca="false">L204-M204</f>
        <v>0.185741290186914</v>
      </c>
      <c r="O204" s="42" t="n">
        <f aca="false">IF(H204&gt;H203,1,0)</f>
        <v>1</v>
      </c>
      <c r="P204" s="42" t="n">
        <f aca="false">IF(H204&lt;H203,1,0)</f>
        <v>0</v>
      </c>
      <c r="Q204" s="42" t="n">
        <f aca="false">IF(N204&gt;N203,1,0)</f>
        <v>0</v>
      </c>
      <c r="R204" s="42" t="n">
        <f aca="false">IF(N204&lt;N203,1,0)</f>
        <v>1</v>
      </c>
      <c r="S204" s="42" t="n">
        <f aca="false">IF(AND(O204=1,Q204=1),1,IF(AND(P204=1,R204=1),-1,0))</f>
        <v>0</v>
      </c>
      <c r="T204" s="43" t="str">
        <f aca="false">IF(S204=1,"绿",IF(S204=-1,"红","蓝"))</f>
        <v>蓝</v>
      </c>
      <c r="U204" s="44" t="n">
        <f aca="false">F204*(E204-E203)</f>
        <v>-757795.999999994</v>
      </c>
      <c r="V204" s="44" t="n">
        <f aca="false">2/(p_FiS+1)*U204+(1-2/(p_FiS+1))*V203</f>
        <v>319779.641829875</v>
      </c>
      <c r="W204" s="44" t="n">
        <f aca="false">2/(p_FiL+1)*U204+(1-2/(p_FiL+1))*W203</f>
        <v>979136.168182975</v>
      </c>
      <c r="X204" s="41" t="n">
        <f aca="false">MAX(C204-D204,ABS(C204-E203),ABS(D204-E203))</f>
        <v>0.77</v>
      </c>
      <c r="Y204" s="41" t="n">
        <f aca="true">AVERAGE(OFFSET(X204,1-MIN(p_AtrN,ROW()-4),0,MIN(p_AtrN,ROW()-4),1))</f>
        <v>0.698461538461539</v>
      </c>
      <c r="Z204" s="41" t="n">
        <f aca="false">IF(AND(C204-C203&gt;D203-D204,C204-C203&gt;0),C204-C203,0)</f>
        <v>0</v>
      </c>
      <c r="AA204" s="41" t="n">
        <f aca="false">IF(AND(D203-D204&gt;C204-C203,D203-D204&gt;0),D203-D204,0)</f>
        <v>0</v>
      </c>
      <c r="AB204" s="41" t="n">
        <f aca="false">2/(p_AdxN+1)*X204+(1-2/(p_AdxN+1))*AB203</f>
        <v>0.770168537074244</v>
      </c>
      <c r="AC204" s="41" t="n">
        <f aca="false">2/(p_AdxN+1)*Z204+(1-2/(p_AdxN+1))*AC203</f>
        <v>0.258976648563527</v>
      </c>
      <c r="AD204" s="41" t="n">
        <f aca="false">2/(p_AdxN+1)*AA204+(1-2/(p_AdxN+1))*AD203</f>
        <v>0.0519603148093872</v>
      </c>
      <c r="AE204" s="45" t="n">
        <f aca="false">100*AC204/AB204</f>
        <v>33.6259709527139</v>
      </c>
      <c r="AF204" s="45" t="n">
        <f aca="false">100*AD204/AB204</f>
        <v>6.74661613765433</v>
      </c>
      <c r="AG204" s="45" t="n">
        <f aca="false">IFERROR(100*ABS(AE204-AF204)/(AE204+AF204),0)</f>
        <v>66.5782322913664</v>
      </c>
      <c r="AH204" s="45" t="n">
        <f aca="false">2/(p_AdxN+1)*AG204+(1-2/(p_AdxN+1))*AH203</f>
        <v>44.5651998703527</v>
      </c>
      <c r="AI204" s="40" t="n">
        <f aca="false">I204*(1+p_ChPct)</f>
        <v>27.1891264401897</v>
      </c>
      <c r="AJ204" s="40" t="n">
        <f aca="false">I204*(1-p_ChPct)</f>
        <v>24.1111121262059</v>
      </c>
      <c r="AK204" s="40" t="n">
        <f aca="false">I204+1*Y204</f>
        <v>26.3485808216593</v>
      </c>
      <c r="AL204" s="40" t="n">
        <f aca="false">I204+2*Y204</f>
        <v>27.0470423601209</v>
      </c>
      <c r="AM204" s="40" t="n">
        <f aca="false">I204+3*Y204</f>
        <v>27.7455038985824</v>
      </c>
      <c r="AN204" s="40" t="n">
        <f aca="false">I204-1*Y204</f>
        <v>24.9516577447363</v>
      </c>
      <c r="AO204" s="40" t="n">
        <f aca="false">I204-2*Y204</f>
        <v>24.2531962062747</v>
      </c>
      <c r="AP204" s="40" t="n">
        <f aca="false">I204-3*Y204</f>
        <v>23.5547346678132</v>
      </c>
      <c r="AQ204" s="40" t="n">
        <f aca="true">MAX(OFFSET(C204,1-MIN(p_StochN,ROW()-4),0,MIN(p_StochN,ROW()-4),1))</f>
        <v>28.05</v>
      </c>
      <c r="AR204" s="40" t="n">
        <f aca="true">MIN(OFFSET(D204,1-MIN(p_StochN,ROW()-4),0,MIN(p_StochN,ROW()-4),1))</f>
        <v>25.71</v>
      </c>
      <c r="AS204" s="45" t="n">
        <f aca="false">IF(AQ204=AR204,50,100*(E204-AR204)/(AQ204-AR204))</f>
        <v>78.6324786324786</v>
      </c>
      <c r="AT204" s="45" t="n">
        <f aca="true">AVERAGE(OFFSET(AS204,1-MIN(p_StochSm,ROW()-4),0,MIN(p_StochSm,ROW()-4),1))</f>
        <v>85.8948479977608</v>
      </c>
      <c r="AU204" s="45" t="n">
        <f aca="true">AVERAGE(OFFSET(AT204,1-MIN(p_StochSm,ROW()-4),0,MIN(p_StochSm,ROW()-4),1))</f>
        <v>84.7179588779141</v>
      </c>
      <c r="AV204" s="41" t="n">
        <f aca="false">MAX(0,H204-D204)</f>
        <v>0</v>
      </c>
      <c r="AW204" s="41" t="n">
        <f aca="true">IF(COUNTIF(OFFSET(AV204,1-MIN(p_PenLb,ROW()-4),0,MIN(p_PenLb,ROW()-4),1),"&gt;0")&gt;0,SUM(OFFSET(AV204,1-MIN(p_PenLb,ROW()-4),0,MIN(p_PenLb,ROW()-4),1))/COUNTIF(OFFSET(AV204,1-MIN(p_PenLb,ROW()-4),0,MIN(p_PenLb,ROW()-4),1),"&gt;0"),0.5*Y204)</f>
        <v>0.409380953587053</v>
      </c>
      <c r="AX204" s="41" t="n">
        <f aca="false">2*H204-H203</f>
        <v>26.6261860165212</v>
      </c>
      <c r="AY204" s="40" t="n">
        <f aca="false">ROUND(MAX(AX204-AW204,0.01),2)</f>
        <v>26.22</v>
      </c>
      <c r="AZ204" s="40" t="n">
        <f aca="true">IF(MIN(p_StopLb,ROW()-4)&lt;2,D204,SMALL(OFFSET(D204,1-MIN(p_StopLb,ROW()-4),0,MIN(p_StopLb,ROW()-4),1),2))</f>
        <v>25.69</v>
      </c>
      <c r="BA204" s="40" t="n">
        <f aca="false">IF(MOD(ROUND(ROUNDDOWN(MIN(AZ204-0.01,AY204-p_StopAtr*Y204),2)*100,0),50)=0,ROUNDDOWN(MIN(AZ204-0.01,AY204-p_StopAtr*Y204),2)-0.01,ROUNDDOWN(MIN(AZ204-0.01,AY204-p_StopAtr*Y204),2))</f>
        <v>25.52</v>
      </c>
      <c r="BB204" s="40" t="n">
        <f aca="false">ROUND(AI204,2)</f>
        <v>27.19</v>
      </c>
      <c r="BC204" s="40" t="n">
        <f aca="false">IF(AY204-BA204&gt;0,(BB204-AY204)/(AY204-BA204),0)</f>
        <v>1.38571428571429</v>
      </c>
      <c r="BD204" s="42" t="n">
        <f aca="false">IF(N204&lt;0,1,0)</f>
        <v>0</v>
      </c>
      <c r="BE204" s="41" t="n">
        <f aca="false">IF(AND(BD204=1,BD203=0),N204,IF(BD204=1,MIN(BE203,N204),BE203))</f>
        <v>-0.0622611748996084</v>
      </c>
      <c r="BF204" s="40" t="n">
        <f aca="false">IF(AND(BD204=1,BD203=0),D204,IF(BD204=1,MIN(BF203,D204),BF203))</f>
        <v>23.33</v>
      </c>
      <c r="BG204" s="42" t="n">
        <f aca="false">IF(AND(BD204=1,BD203=0),ROW(),IF(BD204=1,IF(N204&lt;BE203,ROW(),BG203),BG203))</f>
        <v>190</v>
      </c>
      <c r="BH204" s="41" t="n">
        <f aca="false">IF(AND(BD204=1,BD203=0),BE203,BH203)</f>
        <v>-0.149433863515745</v>
      </c>
      <c r="BI204" s="40" t="n">
        <f aca="false">IF(AND(BD204=1,BD203=0),BF203,BI203)</f>
        <v>23.49</v>
      </c>
      <c r="BJ204" s="42" t="n">
        <f aca="false">IF(AND(BD204=1,BD203=0),BG203,BJ203)</f>
        <v>179</v>
      </c>
      <c r="BK204" s="42" t="n">
        <f aca="false">IF(AND(ISNUMBER(BG204),ISNUMBER(BJ204)),BG204-BJ204,"")</f>
        <v>11</v>
      </c>
      <c r="BL204" s="42" t="n">
        <f aca="false">IF(AND(BD204=1,N204&gt;N203,ISNUMBER(BH204),ISNUMBER(BK204)),IF(AND(BE204&gt;BH204,BF204&lt;BI204,BK204&gt;=p_GapMin,BK204&lt;=p_GapMax),1,0),0)</f>
        <v>0</v>
      </c>
      <c r="BM204" s="42" t="n">
        <f aca="false">IF(AND(BL204=1,E204&gt;BI204),1,0)</f>
        <v>0</v>
      </c>
      <c r="BN204" s="42" t="n">
        <f aca="false">IF(BL204=1,IF(BE204&gt;=BH204*0.5,1,0),0)</f>
        <v>0</v>
      </c>
      <c r="BO204" s="42" t="n">
        <f aca="true">IF(V204&gt;MIN(OFFSET(V204,-MIN(p_FiLb-1,ROW()-5),0,MIN(p_FiLb-1,ROW()-5),1)),1,0)</f>
        <v>1</v>
      </c>
      <c r="BP204" s="44" t="n">
        <f aca="true">IF(COUNTIF(OFFSET(V204,1-MIN(100,ROW()-4),0,MIN(100,ROW()-4),1),"&lt;0")&gt;=5,AVERAGEIF(OFFSET(V204,1-MIN(100,ROW()-4),0,MIN(100,ROW()-4),1),"&lt;0"),"")</f>
        <v>-778894.682399383</v>
      </c>
      <c r="BQ204" s="42" t="n">
        <f aca="false">IF(ISNUMBER(BP204),IF(AND(V204&lt;5*BP204,V204&gt;V203,E204&lt;AJ204),1,0),0)</f>
        <v>0</v>
      </c>
      <c r="BR204" s="44" t="n">
        <f aca="true">AVERAGE(OFFSET(F204,1-MIN(5,ROW()-4),0,MIN(5,ROW()-4),1))</f>
        <v>3882520</v>
      </c>
      <c r="BS204" s="42" t="n">
        <f aca="false">IFERROR(IF(MATCH(G204,周线!$A$5:$A$84,0)&lt;=1,"",INDEX(周线!$R$5:$R$84,MATCH(G204,周线!$A$5:$A$84,0)-1)),"")</f>
        <v>1</v>
      </c>
      <c r="BT204" s="42" t="n">
        <f aca="false">IFERROR(IF(MATCH(G204,周线!$A$5:$A$84,0)&lt;=1,"",INDEX(周线!$S$5:$S$84,MATCH(G204,周线!$A$5:$A$84,0)-1)),"")</f>
        <v>1</v>
      </c>
      <c r="BU204" s="42" t="n">
        <f aca="false">IFERROR(IF(MATCH(G204,周线!$A$5:$A$84,0)&lt;=1,"",INDEX(周线!$U$5:$U$84,MATCH(G204,周线!$A$5:$A$84,0)-1)),"")</f>
        <v>1</v>
      </c>
      <c r="BV204" s="42" t="n">
        <f aca="false">IF(AND(BS204=1,S204&lt;&gt;-1,V204&lt;0,BO204=1,E204&lt;=H204,E204&gt;=AJ204),1,0)</f>
        <v>0</v>
      </c>
      <c r="BW204" s="42" t="n">
        <f aca="false">BL204</f>
        <v>0</v>
      </c>
      <c r="BX204" s="42" t="n">
        <f aca="false">BQ204</f>
        <v>0</v>
      </c>
      <c r="BY204" s="42" t="n">
        <f aca="false">IF(BS204=1,10,0)+IF(BU204=1,5,IF(BU204=-1,0,3))+IF(BT204=1,5,0)+IF(AND(AE204&gt;AF204,AH204&gt;AH203),5,0)</f>
        <v>25</v>
      </c>
      <c r="BZ204" s="42" t="n">
        <f aca="false">IF(AND(E204&lt;=H204,E204&gt;=I204),10,IF(AND(E204&gt;=AJ204,E204&lt;I204),6,0))+IF(AND(V204&lt;0,BO204=1),8,0)+IF(AT204&lt;30,7,IF(AT204&lt;50,3,0))</f>
        <v>0</v>
      </c>
      <c r="CA204" s="42" t="n">
        <f aca="false">IF(AND(BV204=1,BW204=1),25,IF(BW204=1,22,IF(BV204=1,15,IF(BX204=1,12,0))))</f>
        <v>0</v>
      </c>
      <c r="CB204" s="42" t="n">
        <f aca="false">IF(W204&gt;0,6,0)+IF(F204&lt;BR204,4,0)</f>
        <v>10</v>
      </c>
      <c r="CC204" s="42" t="n">
        <f aca="false">IF(BC204&gt;=3,15,IF(BC204&gt;=p_RRmin,10,IF(BC204&gt;=1.5,4,0)))</f>
        <v>0</v>
      </c>
      <c r="CD204" s="42" t="n">
        <f aca="false">BY204+BZ204+CA204+CB204+CC204</f>
        <v>35</v>
      </c>
      <c r="CE204" s="42" t="n">
        <f aca="false">IF(AND(BS204&lt;&gt;1,BW204+BX204=0),1,0)</f>
        <v>0</v>
      </c>
      <c r="CF204" s="42" t="n">
        <f aca="false">IF(BU204=-1,1,0)</f>
        <v>0</v>
      </c>
      <c r="CG204" s="42" t="n">
        <f aca="false">IF(S204=-1,1,0)</f>
        <v>0</v>
      </c>
      <c r="CH204" s="42" t="n">
        <f aca="false">IF(BV204+BW204+BX204=0,1,0)</f>
        <v>1</v>
      </c>
      <c r="CI204" s="42" t="n">
        <f aca="false">IF(BC204&lt;p_RRmin,1,0)</f>
        <v>1</v>
      </c>
      <c r="CJ204" s="46" t="str">
        <f aca="false">IF(SUM(CE204:CI204)=0,IF(CD204&gt;=p_GradeA,"A",IF(CD204&gt;=p_GradeB,"B","C")),IF(AND(CI204=1,SUM(CE204:CH204)=0,CD204&gt;=p_GradeB),"B","C"))</f>
        <v>C</v>
      </c>
    </row>
    <row r="205" customFormat="false" ht="15" hidden="false" customHeight="false" outlineLevel="0" collapsed="false">
      <c r="A205" s="36" t="n">
        <v>45939</v>
      </c>
      <c r="B205" s="37" t="n">
        <v>27.58</v>
      </c>
      <c r="C205" s="37" t="n">
        <v>27.62</v>
      </c>
      <c r="D205" s="37" t="n">
        <v>26.77</v>
      </c>
      <c r="E205" s="37" t="n">
        <v>26.9</v>
      </c>
      <c r="F205" s="38" t="n">
        <v>4758500</v>
      </c>
      <c r="G205" s="39" t="n">
        <f aca="false">A205-WEEKDAY(A205,3)</f>
        <v>45936</v>
      </c>
      <c r="H205" s="40" t="n">
        <f aca="false">2/(p_EmaF+1)*E205+(1-2/(p_EmaF+1))*H204</f>
        <v>26.5069341884218</v>
      </c>
      <c r="I205" s="40" t="n">
        <f aca="false">2/(p_EmaS+1)*E205+(1-2/(p_EmaS+1))*I204</f>
        <v>25.742703039998</v>
      </c>
      <c r="J205" s="41" t="n">
        <f aca="false">2/(p_MacdF+1)*E205+(1-2/(p_MacdF+1))*J204</f>
        <v>26.580724942546</v>
      </c>
      <c r="K205" s="41" t="n">
        <f aca="false">2/(p_MacdS+1)*E205+(1-2/(p_MacdS+1))*K204</f>
        <v>25.742703039998</v>
      </c>
      <c r="L205" s="41" t="n">
        <f aca="false">J205-K205</f>
        <v>0.838021902548064</v>
      </c>
      <c r="M205" s="41" t="n">
        <f aca="false">2/(p_MacdSig+1)*L205+(1-2/(p_MacdSig+1))*M204</f>
        <v>0.717055867481725</v>
      </c>
      <c r="N205" s="41" t="n">
        <f aca="false">L205-M205</f>
        <v>0.12096603506634</v>
      </c>
      <c r="O205" s="42" t="n">
        <f aca="false">IF(H205&gt;H204,1,0)</f>
        <v>1</v>
      </c>
      <c r="P205" s="42" t="n">
        <f aca="false">IF(H205&lt;H204,1,0)</f>
        <v>0</v>
      </c>
      <c r="Q205" s="42" t="n">
        <f aca="false">IF(N205&gt;N204,1,0)</f>
        <v>0</v>
      </c>
      <c r="R205" s="42" t="n">
        <f aca="false">IF(N205&lt;N204,1,0)</f>
        <v>1</v>
      </c>
      <c r="S205" s="42" t="n">
        <f aca="false">IF(AND(O205=1,Q205=1),1,IF(AND(P205=1,R205=1),-1,0))</f>
        <v>0</v>
      </c>
      <c r="T205" s="43" t="str">
        <f aca="false">IF(S205=1,"绿",IF(S205=-1,"红","蓝"))</f>
        <v>蓝</v>
      </c>
      <c r="U205" s="44" t="n">
        <f aca="false">F205*(E205-E204)</f>
        <v>-3093025.00000001</v>
      </c>
      <c r="V205" s="44" t="n">
        <f aca="false">2/(p_FiS+1)*U205+(1-2/(p_FiS+1))*V204</f>
        <v>-1955423.45272338</v>
      </c>
      <c r="W205" s="44" t="n">
        <f aca="false">2/(p_FiL+1)*U205+(1-2/(p_FiL+1))*W204</f>
        <v>397398.858442549</v>
      </c>
      <c r="X205" s="41" t="n">
        <f aca="false">MAX(C205-D205,ABS(C205-E204),ABS(D205-E204))</f>
        <v>0.850000000000001</v>
      </c>
      <c r="Y205" s="41" t="n">
        <f aca="true">AVERAGE(OFFSET(X205,1-MIN(p_AtrN,ROW()-4),0,MIN(p_AtrN,ROW()-4),1))</f>
        <v>0.734615384615385</v>
      </c>
      <c r="Z205" s="41" t="n">
        <f aca="false">IF(AND(C205-C204&gt;D204-D205,C205-C204&gt;0),C205-C204,0)</f>
        <v>0</v>
      </c>
      <c r="AA205" s="41" t="n">
        <f aca="false">IF(AND(D204-D205&gt;C205-C204,D204-D205&gt;0),D204-D205,0)</f>
        <v>0.460000000000001</v>
      </c>
      <c r="AB205" s="41" t="n">
        <f aca="false">2/(p_AdxN+1)*X205+(1-2/(p_AdxN+1))*AB204</f>
        <v>0.781573031777924</v>
      </c>
      <c r="AC205" s="41" t="n">
        <f aca="false">2/(p_AdxN+1)*Z205+(1-2/(p_AdxN+1))*AC204</f>
        <v>0.221979984483023</v>
      </c>
      <c r="AD205" s="41" t="n">
        <f aca="false">2/(p_AdxN+1)*AA205+(1-2/(p_AdxN+1))*AD204</f>
        <v>0.110251698408046</v>
      </c>
      <c r="AE205" s="45" t="n">
        <f aca="false">100*AC205/AB205</f>
        <v>28.4016944620086</v>
      </c>
      <c r="AF205" s="45" t="n">
        <f aca="false">100*AD205/AB205</f>
        <v>14.1063846787607</v>
      </c>
      <c r="AG205" s="45" t="n">
        <f aca="false">IFERROR(100*ABS(AE205-AF205)/(AE205+AF205),0)</f>
        <v>33.629630113155</v>
      </c>
      <c r="AH205" s="45" t="n">
        <f aca="false">2/(p_AdxN+1)*AG205+(1-2/(p_AdxN+1))*AH204</f>
        <v>43.0029756193245</v>
      </c>
      <c r="AI205" s="40" t="n">
        <f aca="false">I205*(1+p_ChPct)</f>
        <v>27.2872652223978</v>
      </c>
      <c r="AJ205" s="40" t="n">
        <f aca="false">I205*(1-p_ChPct)</f>
        <v>24.1981408575981</v>
      </c>
      <c r="AK205" s="40" t="n">
        <f aca="false">I205+1*Y205</f>
        <v>26.4773184246133</v>
      </c>
      <c r="AL205" s="40" t="n">
        <f aca="false">I205+2*Y205</f>
        <v>27.2119338092287</v>
      </c>
      <c r="AM205" s="40" t="n">
        <f aca="false">I205+3*Y205</f>
        <v>27.9465491938441</v>
      </c>
      <c r="AN205" s="40" t="n">
        <f aca="false">I205-1*Y205</f>
        <v>25.0080876553826</v>
      </c>
      <c r="AO205" s="40" t="n">
        <f aca="false">I205-2*Y205</f>
        <v>24.2734722707672</v>
      </c>
      <c r="AP205" s="40" t="n">
        <f aca="false">I205-3*Y205</f>
        <v>23.5388568861518</v>
      </c>
      <c r="AQ205" s="40" t="n">
        <f aca="true">MAX(OFFSET(C205,1-MIN(p_StochN,ROW()-4),0,MIN(p_StochN,ROW()-4),1))</f>
        <v>28.05</v>
      </c>
      <c r="AR205" s="40" t="n">
        <f aca="true">MIN(OFFSET(D205,1-MIN(p_StochN,ROW()-4),0,MIN(p_StochN,ROW()-4),1))</f>
        <v>26.04</v>
      </c>
      <c r="AS205" s="45" t="n">
        <f aca="false">IF(AQ205=AR205,50,100*(E205-AR205)/(AQ205-AR205))</f>
        <v>42.7860696517412</v>
      </c>
      <c r="AT205" s="45" t="n">
        <f aca="true">AVERAGE(OFFSET(AS205,1-MIN(p_StochSm,ROW()-4),0,MIN(p_StochSm,ROW()-4),1))</f>
        <v>70.416352252932</v>
      </c>
      <c r="AU205" s="45" t="n">
        <f aca="true">AVERAGE(OFFSET(AT205,1-MIN(p_StochSm,ROW()-4),0,MIN(p_StochSm,ROW()-4),1))</f>
        <v>81.9784472660355</v>
      </c>
      <c r="AV205" s="41" t="n">
        <f aca="false">MAX(0,H205-D205)</f>
        <v>0</v>
      </c>
      <c r="AW205" s="41" t="n">
        <f aca="true">IF(COUNTIF(OFFSET(AV205,1-MIN(p_PenLb,ROW()-4),0,MIN(p_PenLb,ROW()-4),1),"&gt;0")&gt;0,SUM(OFFSET(AV205,1-MIN(p_PenLb,ROW()-4),0,MIN(p_PenLb,ROW()-4),1))/COUNTIF(OFFSET(AV205,1-MIN(p_PenLb,ROW()-4),0,MIN(p_PenLb,ROW()-4),1),"&gt;0"),0.5*Y205)</f>
        <v>0.427215713892025</v>
      </c>
      <c r="AX205" s="41" t="n">
        <f aca="false">2*H205-H204</f>
        <v>26.5724451570182</v>
      </c>
      <c r="AY205" s="40" t="n">
        <f aca="false">ROUND(MAX(AX205-AW205,0.01),2)</f>
        <v>26.15</v>
      </c>
      <c r="AZ205" s="40" t="n">
        <f aca="true">IF(MIN(p_StopLb,ROW()-4)&lt;2,D205,SMALL(OFFSET(D205,1-MIN(p_StopLb,ROW()-4),0,MIN(p_StopLb,ROW()-4),1),2))</f>
        <v>25.71</v>
      </c>
      <c r="BA205" s="40" t="n">
        <f aca="false">IF(MOD(ROUND(ROUNDDOWN(MIN(AZ205-0.01,AY205-p_StopAtr*Y205),2)*100,0),50)=0,ROUNDDOWN(MIN(AZ205-0.01,AY205-p_StopAtr*Y205),2)-0.01,ROUNDDOWN(MIN(AZ205-0.01,AY205-p_StopAtr*Y205),2))</f>
        <v>25.41</v>
      </c>
      <c r="BB205" s="40" t="n">
        <f aca="false">ROUND(AI205,2)</f>
        <v>27.29</v>
      </c>
      <c r="BC205" s="40" t="n">
        <f aca="false">IF(AY205-BA205&gt;0,(BB205-AY205)/(AY205-BA205),0)</f>
        <v>1.54054054054054</v>
      </c>
      <c r="BD205" s="42" t="n">
        <f aca="false">IF(N205&lt;0,1,0)</f>
        <v>0</v>
      </c>
      <c r="BE205" s="41" t="n">
        <f aca="false">IF(AND(BD205=1,BD204=0),N205,IF(BD205=1,MIN(BE204,N205),BE204))</f>
        <v>-0.0622611748996084</v>
      </c>
      <c r="BF205" s="40" t="n">
        <f aca="false">IF(AND(BD205=1,BD204=0),D205,IF(BD205=1,MIN(BF204,D205),BF204))</f>
        <v>23.33</v>
      </c>
      <c r="BG205" s="42" t="n">
        <f aca="false">IF(AND(BD205=1,BD204=0),ROW(),IF(BD205=1,IF(N205&lt;BE204,ROW(),BG204),BG204))</f>
        <v>190</v>
      </c>
      <c r="BH205" s="41" t="n">
        <f aca="false">IF(AND(BD205=1,BD204=0),BE204,BH204)</f>
        <v>-0.149433863515745</v>
      </c>
      <c r="BI205" s="40" t="n">
        <f aca="false">IF(AND(BD205=1,BD204=0),BF204,BI204)</f>
        <v>23.49</v>
      </c>
      <c r="BJ205" s="42" t="n">
        <f aca="false">IF(AND(BD205=1,BD204=0),BG204,BJ204)</f>
        <v>179</v>
      </c>
      <c r="BK205" s="42" t="n">
        <f aca="false">IF(AND(ISNUMBER(BG205),ISNUMBER(BJ205)),BG205-BJ205,"")</f>
        <v>11</v>
      </c>
      <c r="BL205" s="42" t="n">
        <f aca="false">IF(AND(BD205=1,N205&gt;N204,ISNUMBER(BH205),ISNUMBER(BK205)),IF(AND(BE205&gt;BH205,BF205&lt;BI205,BK205&gt;=p_GapMin,BK205&lt;=p_GapMax),1,0),0)</f>
        <v>0</v>
      </c>
      <c r="BM205" s="42" t="n">
        <f aca="false">IF(AND(BL205=1,E205&gt;BI205),1,0)</f>
        <v>0</v>
      </c>
      <c r="BN205" s="42" t="n">
        <f aca="false">IF(BL205=1,IF(BE205&gt;=BH205*0.5,1,0),0)</f>
        <v>0</v>
      </c>
      <c r="BO205" s="42" t="n">
        <f aca="true">IF(V205&gt;MIN(OFFSET(V205,-MIN(p_FiLb-1,ROW()-5),0,MIN(p_FiLb-1,ROW()-5),1)),1,0)</f>
        <v>1</v>
      </c>
      <c r="BP205" s="44" t="n">
        <f aca="true">IF(COUNTIF(OFFSET(V205,1-MIN(100,ROW()-4),0,MIN(100,ROW()-4),1),"&lt;0")&gt;=5,AVERAGEIF(OFFSET(V205,1-MIN(100,ROW()-4),0,MIN(100,ROW()-4),1),"&lt;0"),"")</f>
        <v>-808633.116958762</v>
      </c>
      <c r="BQ205" s="42" t="n">
        <f aca="false">IF(ISNUMBER(BP205),IF(AND(V205&lt;5*BP205,V205&gt;V204,E205&lt;AJ205),1,0),0)</f>
        <v>0</v>
      </c>
      <c r="BR205" s="44" t="n">
        <f aca="true">AVERAGE(OFFSET(F205,1-MIN(5,ROW()-4),0,MIN(5,ROW()-4),1))</f>
        <v>3937420</v>
      </c>
      <c r="BS205" s="42" t="n">
        <f aca="false">IFERROR(IF(MATCH(G205,周线!$A$5:$A$84,0)&lt;=1,"",INDEX(周线!$R$5:$R$84,MATCH(G205,周线!$A$5:$A$84,0)-1)),"")</f>
        <v>1</v>
      </c>
      <c r="BT205" s="42" t="n">
        <f aca="false">IFERROR(IF(MATCH(G205,周线!$A$5:$A$84,0)&lt;=1,"",INDEX(周线!$S$5:$S$84,MATCH(G205,周线!$A$5:$A$84,0)-1)),"")</f>
        <v>1</v>
      </c>
      <c r="BU205" s="42" t="n">
        <f aca="false">IFERROR(IF(MATCH(G205,周线!$A$5:$A$84,0)&lt;=1,"",INDEX(周线!$U$5:$U$84,MATCH(G205,周线!$A$5:$A$84,0)-1)),"")</f>
        <v>1</v>
      </c>
      <c r="BV205" s="42" t="n">
        <f aca="false">IF(AND(BS205=1,S205&lt;&gt;-1,V205&lt;0,BO205=1,E205&lt;=H205,E205&gt;=AJ205),1,0)</f>
        <v>0</v>
      </c>
      <c r="BW205" s="42" t="n">
        <f aca="false">BL205</f>
        <v>0</v>
      </c>
      <c r="BX205" s="42" t="n">
        <f aca="false">BQ205</f>
        <v>0</v>
      </c>
      <c r="BY205" s="42" t="n">
        <f aca="false">IF(BS205=1,10,0)+IF(BU205=1,5,IF(BU205=-1,0,3))+IF(BT205=1,5,0)+IF(AND(AE205&gt;AF205,AH205&gt;AH204),5,0)</f>
        <v>20</v>
      </c>
      <c r="BZ205" s="42" t="n">
        <f aca="false">IF(AND(E205&lt;=H205,E205&gt;=I205),10,IF(AND(E205&gt;=AJ205,E205&lt;I205),6,0))+IF(AND(V205&lt;0,BO205=1),8,0)+IF(AT205&lt;30,7,IF(AT205&lt;50,3,0))</f>
        <v>8</v>
      </c>
      <c r="CA205" s="42" t="n">
        <f aca="false">IF(AND(BV205=1,BW205=1),25,IF(BW205=1,22,IF(BV205=1,15,IF(BX205=1,12,0))))</f>
        <v>0</v>
      </c>
      <c r="CB205" s="42" t="n">
        <f aca="false">IF(W205&gt;0,6,0)+IF(F205&lt;BR205,4,0)</f>
        <v>6</v>
      </c>
      <c r="CC205" s="42" t="n">
        <f aca="false">IF(BC205&gt;=3,15,IF(BC205&gt;=p_RRmin,10,IF(BC205&gt;=1.5,4,0)))</f>
        <v>4</v>
      </c>
      <c r="CD205" s="42" t="n">
        <f aca="false">BY205+BZ205+CA205+CB205+CC205</f>
        <v>38</v>
      </c>
      <c r="CE205" s="42" t="n">
        <f aca="false">IF(AND(BS205&lt;&gt;1,BW205+BX205=0),1,0)</f>
        <v>0</v>
      </c>
      <c r="CF205" s="42" t="n">
        <f aca="false">IF(BU205=-1,1,0)</f>
        <v>0</v>
      </c>
      <c r="CG205" s="42" t="n">
        <f aca="false">IF(S205=-1,1,0)</f>
        <v>0</v>
      </c>
      <c r="CH205" s="42" t="n">
        <f aca="false">IF(BV205+BW205+BX205=0,1,0)</f>
        <v>1</v>
      </c>
      <c r="CI205" s="42" t="n">
        <f aca="false">IF(BC205&lt;p_RRmin,1,0)</f>
        <v>1</v>
      </c>
      <c r="CJ205" s="46" t="str">
        <f aca="false">IF(SUM(CE205:CI205)=0,IF(CD205&gt;=p_GradeA,"A",IF(CD205&gt;=p_GradeB,"B","C")),IF(AND(CI205=1,SUM(CE205:CH205)=0,CD205&gt;=p_GradeB),"B","C"))</f>
        <v>C</v>
      </c>
    </row>
    <row r="206" customFormat="false" ht="15" hidden="false" customHeight="false" outlineLevel="0" collapsed="false">
      <c r="A206" s="36" t="n">
        <v>45940</v>
      </c>
      <c r="B206" s="37" t="n">
        <v>26.95</v>
      </c>
      <c r="C206" s="37" t="n">
        <v>27</v>
      </c>
      <c r="D206" s="37" t="n">
        <v>26.67</v>
      </c>
      <c r="E206" s="37" t="n">
        <v>26.86</v>
      </c>
      <c r="F206" s="38" t="n">
        <v>4001800</v>
      </c>
      <c r="G206" s="39" t="n">
        <f aca="false">A206-WEEKDAY(A206,3)</f>
        <v>45936</v>
      </c>
      <c r="H206" s="40" t="n">
        <f aca="false">2/(p_EmaF+1)*E206+(1-2/(p_EmaF+1))*H205</f>
        <v>26.5573721615044</v>
      </c>
      <c r="I206" s="40" t="n">
        <f aca="false">2/(p_EmaS+1)*E206+(1-2/(p_EmaS+1))*I205</f>
        <v>25.8254657777759</v>
      </c>
      <c r="J206" s="41" t="n">
        <f aca="false">2/(p_MacdF+1)*E206+(1-2/(p_MacdF+1))*J205</f>
        <v>26.6236903360005</v>
      </c>
      <c r="K206" s="41" t="n">
        <f aca="false">2/(p_MacdS+1)*E206+(1-2/(p_MacdS+1))*K205</f>
        <v>25.8254657777759</v>
      </c>
      <c r="L206" s="41" t="n">
        <f aca="false">J206-K206</f>
        <v>0.79822455822459</v>
      </c>
      <c r="M206" s="41" t="n">
        <f aca="false">2/(p_MacdSig+1)*L206+(1-2/(p_MacdSig+1))*M205</f>
        <v>0.733289605630298</v>
      </c>
      <c r="N206" s="41" t="n">
        <f aca="false">L206-M206</f>
        <v>0.0649349525942918</v>
      </c>
      <c r="O206" s="42" t="n">
        <f aca="false">IF(H206&gt;H205,1,0)</f>
        <v>1</v>
      </c>
      <c r="P206" s="42" t="n">
        <f aca="false">IF(H206&lt;H205,1,0)</f>
        <v>0</v>
      </c>
      <c r="Q206" s="42" t="n">
        <f aca="false">IF(N206&gt;N205,1,0)</f>
        <v>0</v>
      </c>
      <c r="R206" s="42" t="n">
        <f aca="false">IF(N206&lt;N205,1,0)</f>
        <v>1</v>
      </c>
      <c r="S206" s="42" t="n">
        <f aca="false">IF(AND(O206=1,Q206=1),1,IF(AND(P206=1,R206=1),-1,0))</f>
        <v>0</v>
      </c>
      <c r="T206" s="43" t="str">
        <f aca="false">IF(S206=1,"绿",IF(S206=-1,"红","蓝"))</f>
        <v>蓝</v>
      </c>
      <c r="U206" s="44" t="n">
        <f aca="false">F206*(E206-E205)</f>
        <v>-160071.999999997</v>
      </c>
      <c r="V206" s="44" t="n">
        <f aca="false">2/(p_FiS+1)*U206+(1-2/(p_FiS+1))*V205</f>
        <v>-758522.484241125</v>
      </c>
      <c r="W206" s="44" t="n">
        <f aca="false">2/(p_FiL+1)*U206+(1-2/(p_FiL+1))*W205</f>
        <v>317760.164379328</v>
      </c>
      <c r="X206" s="41" t="n">
        <f aca="false">MAX(C206-D206,ABS(C206-E205),ABS(D206-E205))</f>
        <v>0.329999999999998</v>
      </c>
      <c r="Y206" s="41" t="n">
        <f aca="true">AVERAGE(OFFSET(X206,1-MIN(p_AtrN,ROW()-4),0,MIN(p_AtrN,ROW()-4),1))</f>
        <v>0.743076923076923</v>
      </c>
      <c r="Z206" s="41" t="n">
        <f aca="false">IF(AND(C206-C205&gt;D205-D206,C206-C205&gt;0),C206-C205,0)</f>
        <v>0</v>
      </c>
      <c r="AA206" s="41" t="n">
        <f aca="false">IF(AND(D205-D206&gt;C206-C205,D205-D206&gt;0),D205-D206,0)</f>
        <v>0.0999999999999979</v>
      </c>
      <c r="AB206" s="41" t="n">
        <f aca="false">2/(p_AdxN+1)*X206+(1-2/(p_AdxN+1))*AB205</f>
        <v>0.717062598666792</v>
      </c>
      <c r="AC206" s="41" t="n">
        <f aca="false">2/(p_AdxN+1)*Z206+(1-2/(p_AdxN+1))*AC205</f>
        <v>0.190268558128305</v>
      </c>
      <c r="AD206" s="41" t="n">
        <f aca="false">2/(p_AdxN+1)*AA206+(1-2/(p_AdxN+1))*AD205</f>
        <v>0.108787170064039</v>
      </c>
      <c r="AE206" s="45" t="n">
        <f aca="false">100*AC206/AB206</f>
        <v>26.5344418300529</v>
      </c>
      <c r="AF206" s="45" t="n">
        <f aca="false">100*AD206/AB206</f>
        <v>15.1712235816376</v>
      </c>
      <c r="AG206" s="45" t="n">
        <f aca="false">IFERROR(100*ABS(AE206-AF206)/(AE206+AF206),0)</f>
        <v>27.2462221529023</v>
      </c>
      <c r="AH206" s="45" t="n">
        <f aca="false">2/(p_AdxN+1)*AG206+(1-2/(p_AdxN+1))*AH205</f>
        <v>40.752010838407</v>
      </c>
      <c r="AI206" s="40" t="n">
        <f aca="false">I206*(1+p_ChPct)</f>
        <v>27.3749937244424</v>
      </c>
      <c r="AJ206" s="40" t="n">
        <f aca="false">I206*(1-p_ChPct)</f>
        <v>24.2759378311093</v>
      </c>
      <c r="AK206" s="40" t="n">
        <f aca="false">I206+1*Y206</f>
        <v>26.5685427008528</v>
      </c>
      <c r="AL206" s="40" t="n">
        <f aca="false">I206+2*Y206</f>
        <v>27.3116196239297</v>
      </c>
      <c r="AM206" s="40" t="n">
        <f aca="false">I206+3*Y206</f>
        <v>28.0546965470067</v>
      </c>
      <c r="AN206" s="40" t="n">
        <f aca="false">I206-1*Y206</f>
        <v>25.082388854699</v>
      </c>
      <c r="AO206" s="40" t="n">
        <f aca="false">I206-2*Y206</f>
        <v>24.339311931622</v>
      </c>
      <c r="AP206" s="40" t="n">
        <f aca="false">I206-3*Y206</f>
        <v>23.5962350085451</v>
      </c>
      <c r="AQ206" s="40" t="n">
        <f aca="true">MAX(OFFSET(C206,1-MIN(p_StochN,ROW()-4),0,MIN(p_StochN,ROW()-4),1))</f>
        <v>28.05</v>
      </c>
      <c r="AR206" s="40" t="n">
        <f aca="true">MIN(OFFSET(D206,1-MIN(p_StochN,ROW()-4),0,MIN(p_StochN,ROW()-4),1))</f>
        <v>26.67</v>
      </c>
      <c r="AS206" s="45" t="n">
        <f aca="false">IF(AQ206=AR206,50,100*(E206-AR206)/(AQ206-AR206))</f>
        <v>13.7681159420288</v>
      </c>
      <c r="AT206" s="45" t="n">
        <f aca="true">AVERAGE(OFFSET(AS206,1-MIN(p_StochSm,ROW()-4),0,MIN(p_StochSm,ROW()-4),1))</f>
        <v>45.0622214087496</v>
      </c>
      <c r="AU206" s="45" t="n">
        <f aca="true">AVERAGE(OFFSET(AT206,1-MIN(p_StochSm,ROW()-4),0,MIN(p_StochSm,ROW()-4),1))</f>
        <v>67.1244738864808</v>
      </c>
      <c r="AV206" s="41" t="n">
        <f aca="false">MAX(0,H206-D206)</f>
        <v>0</v>
      </c>
      <c r="AW206" s="41" t="n">
        <f aca="true">IF(COUNTIF(OFFSET(AV206,1-MIN(p_PenLb,ROW()-4),0,MIN(p_PenLb,ROW()-4),1),"&gt;0")&gt;0,SUM(OFFSET(AV206,1-MIN(p_PenLb,ROW()-4),0,MIN(p_PenLb,ROW()-4),1))/COUNTIF(OFFSET(AV206,1-MIN(p_PenLb,ROW()-4),0,MIN(p_PenLb,ROW()-4),1),"&gt;0"),0.5*Y206)</f>
        <v>0.432755423171902</v>
      </c>
      <c r="AX206" s="41" t="n">
        <f aca="false">2*H206-H205</f>
        <v>26.607810134587</v>
      </c>
      <c r="AY206" s="40" t="n">
        <f aca="false">ROUND(MAX(AX206-AW206,0.01),2)</f>
        <v>26.18</v>
      </c>
      <c r="AZ206" s="40" t="n">
        <f aca="true">IF(MIN(p_StopLb,ROW()-4)&lt;2,D206,SMALL(OFFSET(D206,1-MIN(p_StopLb,ROW()-4),0,MIN(p_StopLb,ROW()-4),1),2))</f>
        <v>25.71</v>
      </c>
      <c r="BA206" s="40" t="n">
        <f aca="false">IF(MOD(ROUND(ROUNDDOWN(MIN(AZ206-0.01,AY206-p_StopAtr*Y206),2)*100,0),50)=0,ROUNDDOWN(MIN(AZ206-0.01,AY206-p_StopAtr*Y206),2)-0.01,ROUNDDOWN(MIN(AZ206-0.01,AY206-p_StopAtr*Y206),2))</f>
        <v>25.43</v>
      </c>
      <c r="BB206" s="40" t="n">
        <f aca="false">ROUND(AI206,2)</f>
        <v>27.37</v>
      </c>
      <c r="BC206" s="40" t="n">
        <f aca="false">IF(AY206-BA206&gt;0,(BB206-AY206)/(AY206-BA206),0)</f>
        <v>1.58666666666667</v>
      </c>
      <c r="BD206" s="42" t="n">
        <f aca="false">IF(N206&lt;0,1,0)</f>
        <v>0</v>
      </c>
      <c r="BE206" s="41" t="n">
        <f aca="false">IF(AND(BD206=1,BD205=0),N206,IF(BD206=1,MIN(BE205,N206),BE205))</f>
        <v>-0.0622611748996084</v>
      </c>
      <c r="BF206" s="40" t="n">
        <f aca="false">IF(AND(BD206=1,BD205=0),D206,IF(BD206=1,MIN(BF205,D206),BF205))</f>
        <v>23.33</v>
      </c>
      <c r="BG206" s="42" t="n">
        <f aca="false">IF(AND(BD206=1,BD205=0),ROW(),IF(BD206=1,IF(N206&lt;BE205,ROW(),BG205),BG205))</f>
        <v>190</v>
      </c>
      <c r="BH206" s="41" t="n">
        <f aca="false">IF(AND(BD206=1,BD205=0),BE205,BH205)</f>
        <v>-0.149433863515745</v>
      </c>
      <c r="BI206" s="40" t="n">
        <f aca="false">IF(AND(BD206=1,BD205=0),BF205,BI205)</f>
        <v>23.49</v>
      </c>
      <c r="BJ206" s="42" t="n">
        <f aca="false">IF(AND(BD206=1,BD205=0),BG205,BJ205)</f>
        <v>179</v>
      </c>
      <c r="BK206" s="42" t="n">
        <f aca="false">IF(AND(ISNUMBER(BG206),ISNUMBER(BJ206)),BG206-BJ206,"")</f>
        <v>11</v>
      </c>
      <c r="BL206" s="42" t="n">
        <f aca="false">IF(AND(BD206=1,N206&gt;N205,ISNUMBER(BH206),ISNUMBER(BK206)),IF(AND(BE206&gt;BH206,BF206&lt;BI206,BK206&gt;=p_GapMin,BK206&lt;=p_GapMax),1,0),0)</f>
        <v>0</v>
      </c>
      <c r="BM206" s="42" t="n">
        <f aca="false">IF(AND(BL206=1,E206&gt;BI206),1,0)</f>
        <v>0</v>
      </c>
      <c r="BN206" s="42" t="n">
        <f aca="false">IF(BL206=1,IF(BE206&gt;=BH206*0.5,1,0),0)</f>
        <v>0</v>
      </c>
      <c r="BO206" s="42" t="n">
        <f aca="true">IF(V206&gt;MIN(OFFSET(V206,-MIN(p_FiLb-1,ROW()-5),0,MIN(p_FiLb-1,ROW()-5),1)),1,0)</f>
        <v>1</v>
      </c>
      <c r="BP206" s="44" t="n">
        <f aca="true">IF(COUNTIF(OFFSET(V206,1-MIN(100,ROW()-4),0,MIN(100,ROW()-4),1),"&lt;0")&gt;=5,AVERAGEIF(OFFSET(V206,1-MIN(100,ROW()-4),0,MIN(100,ROW()-4),1),"&lt;0"),"")</f>
        <v>-816120.717952239</v>
      </c>
      <c r="BQ206" s="42" t="n">
        <f aca="false">IF(ISNUMBER(BP206),IF(AND(V206&lt;5*BP206,V206&gt;V205,E206&lt;AJ206),1,0),0)</f>
        <v>0</v>
      </c>
      <c r="BR206" s="44" t="n">
        <f aca="true">AVERAGE(OFFSET(F206,1-MIN(5,ROW()-4),0,MIN(5,ROW()-4),1))</f>
        <v>3813640</v>
      </c>
      <c r="BS206" s="42" t="n">
        <f aca="false">IFERROR(IF(MATCH(G206,周线!$A$5:$A$84,0)&lt;=1,"",INDEX(周线!$R$5:$R$84,MATCH(G206,周线!$A$5:$A$84,0)-1)),"")</f>
        <v>1</v>
      </c>
      <c r="BT206" s="42" t="n">
        <f aca="false">IFERROR(IF(MATCH(G206,周线!$A$5:$A$84,0)&lt;=1,"",INDEX(周线!$S$5:$S$84,MATCH(G206,周线!$A$5:$A$84,0)-1)),"")</f>
        <v>1</v>
      </c>
      <c r="BU206" s="42" t="n">
        <f aca="false">IFERROR(IF(MATCH(G206,周线!$A$5:$A$84,0)&lt;=1,"",INDEX(周线!$U$5:$U$84,MATCH(G206,周线!$A$5:$A$84,0)-1)),"")</f>
        <v>1</v>
      </c>
      <c r="BV206" s="42" t="n">
        <f aca="false">IF(AND(BS206=1,S206&lt;&gt;-1,V206&lt;0,BO206=1,E206&lt;=H206,E206&gt;=AJ206),1,0)</f>
        <v>0</v>
      </c>
      <c r="BW206" s="42" t="n">
        <f aca="false">BL206</f>
        <v>0</v>
      </c>
      <c r="BX206" s="42" t="n">
        <f aca="false">BQ206</f>
        <v>0</v>
      </c>
      <c r="BY206" s="42" t="n">
        <f aca="false">IF(BS206=1,10,0)+IF(BU206=1,5,IF(BU206=-1,0,3))+IF(BT206=1,5,0)+IF(AND(AE206&gt;AF206,AH206&gt;AH205),5,0)</f>
        <v>20</v>
      </c>
      <c r="BZ206" s="42" t="n">
        <f aca="false">IF(AND(E206&lt;=H206,E206&gt;=I206),10,IF(AND(E206&gt;=AJ206,E206&lt;I206),6,0))+IF(AND(V206&lt;0,BO206=1),8,0)+IF(AT206&lt;30,7,IF(AT206&lt;50,3,0))</f>
        <v>11</v>
      </c>
      <c r="CA206" s="42" t="n">
        <f aca="false">IF(AND(BV206=1,BW206=1),25,IF(BW206=1,22,IF(BV206=1,15,IF(BX206=1,12,0))))</f>
        <v>0</v>
      </c>
      <c r="CB206" s="42" t="n">
        <f aca="false">IF(W206&gt;0,6,0)+IF(F206&lt;BR206,4,0)</f>
        <v>6</v>
      </c>
      <c r="CC206" s="42" t="n">
        <f aca="false">IF(BC206&gt;=3,15,IF(BC206&gt;=p_RRmin,10,IF(BC206&gt;=1.5,4,0)))</f>
        <v>4</v>
      </c>
      <c r="CD206" s="42" t="n">
        <f aca="false">BY206+BZ206+CA206+CB206+CC206</f>
        <v>41</v>
      </c>
      <c r="CE206" s="42" t="n">
        <f aca="false">IF(AND(BS206&lt;&gt;1,BW206+BX206=0),1,0)</f>
        <v>0</v>
      </c>
      <c r="CF206" s="42" t="n">
        <f aca="false">IF(BU206=-1,1,0)</f>
        <v>0</v>
      </c>
      <c r="CG206" s="42" t="n">
        <f aca="false">IF(S206=-1,1,0)</f>
        <v>0</v>
      </c>
      <c r="CH206" s="42" t="n">
        <f aca="false">IF(BV206+BW206+BX206=0,1,0)</f>
        <v>1</v>
      </c>
      <c r="CI206" s="42" t="n">
        <f aca="false">IF(BC206&lt;p_RRmin,1,0)</f>
        <v>1</v>
      </c>
      <c r="CJ206" s="46" t="str">
        <f aca="false">IF(SUM(CE206:CI206)=0,IF(CD206&gt;=p_GradeA,"A",IF(CD206&gt;=p_GradeB,"B","C")),IF(AND(CI206=1,SUM(CE206:CH206)=0,CD206&gt;=p_GradeB),"B","C"))</f>
        <v>C</v>
      </c>
    </row>
    <row r="207" customFormat="false" ht="15" hidden="false" customHeight="false" outlineLevel="0" collapsed="false">
      <c r="A207" s="36" t="n">
        <v>45943</v>
      </c>
      <c r="B207" s="37" t="n">
        <v>26.84</v>
      </c>
      <c r="C207" s="37" t="n">
        <v>27.25</v>
      </c>
      <c r="D207" s="37" t="n">
        <v>26.71</v>
      </c>
      <c r="E207" s="37" t="n">
        <v>27.06</v>
      </c>
      <c r="F207" s="38" t="n">
        <v>3300500</v>
      </c>
      <c r="G207" s="39" t="n">
        <f aca="false">A207-WEEKDAY(A207,3)</f>
        <v>45943</v>
      </c>
      <c r="H207" s="40" t="n">
        <f aca="false">2/(p_EmaF+1)*E207+(1-2/(p_EmaF+1))*H206</f>
        <v>26.6291761384324</v>
      </c>
      <c r="I207" s="40" t="n">
        <f aca="false">2/(p_EmaS+1)*E207+(1-2/(p_EmaS+1))*I206</f>
        <v>25.9169127571999</v>
      </c>
      <c r="J207" s="41" t="n">
        <f aca="false">2/(p_MacdF+1)*E207+(1-2/(p_MacdF+1))*J206</f>
        <v>26.6908148996927</v>
      </c>
      <c r="K207" s="41" t="n">
        <f aca="false">2/(p_MacdS+1)*E207+(1-2/(p_MacdS+1))*K206</f>
        <v>25.9169127571999</v>
      </c>
      <c r="L207" s="41" t="n">
        <f aca="false">J207-K207</f>
        <v>0.773902142492812</v>
      </c>
      <c r="M207" s="41" t="n">
        <f aca="false">2/(p_MacdSig+1)*L207+(1-2/(p_MacdSig+1))*M206</f>
        <v>0.741412113002801</v>
      </c>
      <c r="N207" s="41" t="n">
        <f aca="false">L207-M207</f>
        <v>0.0324900294900112</v>
      </c>
      <c r="O207" s="42" t="n">
        <f aca="false">IF(H207&gt;H206,1,0)</f>
        <v>1</v>
      </c>
      <c r="P207" s="42" t="n">
        <f aca="false">IF(H207&lt;H206,1,0)</f>
        <v>0</v>
      </c>
      <c r="Q207" s="42" t="n">
        <f aca="false">IF(N207&gt;N206,1,0)</f>
        <v>0</v>
      </c>
      <c r="R207" s="42" t="n">
        <f aca="false">IF(N207&lt;N206,1,0)</f>
        <v>1</v>
      </c>
      <c r="S207" s="42" t="n">
        <f aca="false">IF(AND(O207=1,Q207=1),1,IF(AND(P207=1,R207=1),-1,0))</f>
        <v>0</v>
      </c>
      <c r="T207" s="43" t="str">
        <f aca="false">IF(S207=1,"绿",IF(S207=-1,"红","蓝"))</f>
        <v>蓝</v>
      </c>
      <c r="U207" s="44" t="n">
        <f aca="false">F207*(E207-E206)</f>
        <v>660099.999999998</v>
      </c>
      <c r="V207" s="44" t="n">
        <f aca="false">2/(p_FiS+1)*U207+(1-2/(p_FiS+1))*V206</f>
        <v>187225.83858629</v>
      </c>
      <c r="W207" s="44" t="n">
        <f aca="false">2/(p_FiL+1)*U207+(1-2/(p_FiL+1))*W206</f>
        <v>366665.855182281</v>
      </c>
      <c r="X207" s="41" t="n">
        <f aca="false">MAX(C207-D207,ABS(C207-E206),ABS(D207-E206))</f>
        <v>0.539999999999999</v>
      </c>
      <c r="Y207" s="41" t="n">
        <f aca="true">AVERAGE(OFFSET(X207,1-MIN(p_AtrN,ROW()-4),0,MIN(p_AtrN,ROW()-4),1))</f>
        <v>0.731538461538461</v>
      </c>
      <c r="Z207" s="41" t="n">
        <f aca="false">IF(AND(C207-C206&gt;D206-D207,C207-C206&gt;0),C207-C206,0)</f>
        <v>0.25</v>
      </c>
      <c r="AA207" s="41" t="n">
        <f aca="false">IF(AND(D206-D207&gt;C207-C206,D206-D207&gt;0),D206-D207,0)</f>
        <v>0</v>
      </c>
      <c r="AB207" s="41" t="n">
        <f aca="false">2/(p_AdxN+1)*X207+(1-2/(p_AdxN+1))*AB206</f>
        <v>0.691767941714393</v>
      </c>
      <c r="AC207" s="41" t="n">
        <f aca="false">2/(p_AdxN+1)*Z207+(1-2/(p_AdxN+1))*AC206</f>
        <v>0.198801621252833</v>
      </c>
      <c r="AD207" s="41" t="n">
        <f aca="false">2/(p_AdxN+1)*AA207+(1-2/(p_AdxN+1))*AD206</f>
        <v>0.0932461457691766</v>
      </c>
      <c r="AE207" s="45" t="n">
        <f aca="false">100*AC207/AB207</f>
        <v>28.7381951757041</v>
      </c>
      <c r="AF207" s="45" t="n">
        <f aca="false">100*AD207/AB207</f>
        <v>13.4793967957068</v>
      </c>
      <c r="AG207" s="45" t="n">
        <f aca="false">IFERROR(100*ABS(AE207-AF207)/(AE207+AF207),0)</f>
        <v>36.1432229254817</v>
      </c>
      <c r="AH207" s="45" t="n">
        <f aca="false">2/(p_AdxN+1)*AG207+(1-2/(p_AdxN+1))*AH206</f>
        <v>40.093612565132</v>
      </c>
      <c r="AI207" s="40" t="n">
        <f aca="false">I207*(1+p_ChPct)</f>
        <v>27.4719275226319</v>
      </c>
      <c r="AJ207" s="40" t="n">
        <f aca="false">I207*(1-p_ChPct)</f>
        <v>24.3618979917679</v>
      </c>
      <c r="AK207" s="40" t="n">
        <f aca="false">I207+1*Y207</f>
        <v>26.6484512187384</v>
      </c>
      <c r="AL207" s="40" t="n">
        <f aca="false">I207+2*Y207</f>
        <v>27.3799896802768</v>
      </c>
      <c r="AM207" s="40" t="n">
        <f aca="false">I207+3*Y207</f>
        <v>28.1115281418153</v>
      </c>
      <c r="AN207" s="40" t="n">
        <f aca="false">I207-1*Y207</f>
        <v>25.1853742956614</v>
      </c>
      <c r="AO207" s="40" t="n">
        <f aca="false">I207-2*Y207</f>
        <v>24.453835834123</v>
      </c>
      <c r="AP207" s="40" t="n">
        <f aca="false">I207-3*Y207</f>
        <v>23.7222973725845</v>
      </c>
      <c r="AQ207" s="40" t="n">
        <f aca="true">MAX(OFFSET(C207,1-MIN(p_StochN,ROW()-4),0,MIN(p_StochN,ROW()-4),1))</f>
        <v>28.05</v>
      </c>
      <c r="AR207" s="40" t="n">
        <f aca="true">MIN(OFFSET(D207,1-MIN(p_StochN,ROW()-4),0,MIN(p_StochN,ROW()-4),1))</f>
        <v>26.67</v>
      </c>
      <c r="AS207" s="45" t="n">
        <f aca="false">IF(AQ207=AR207,50,100*(E207-AR207)/(AQ207-AR207))</f>
        <v>28.2608695652172</v>
      </c>
      <c r="AT207" s="45" t="n">
        <f aca="true">AVERAGE(OFFSET(AS207,1-MIN(p_StochSm,ROW()-4),0,MIN(p_StochSm,ROW()-4),1))</f>
        <v>28.2716850529958</v>
      </c>
      <c r="AU207" s="45" t="n">
        <f aca="true">AVERAGE(OFFSET(AT207,1-MIN(p_StochSm,ROW()-4),0,MIN(p_StochSm,ROW()-4),1))</f>
        <v>47.9167529048924</v>
      </c>
      <c r="AV207" s="41" t="n">
        <f aca="false">MAX(0,H207-D207)</f>
        <v>0</v>
      </c>
      <c r="AW207" s="41" t="n">
        <f aca="true">IF(COUNTIF(OFFSET(AV207,1-MIN(p_PenLb,ROW()-4),0,MIN(p_PenLb,ROW()-4),1),"&gt;0")&gt;0,SUM(OFFSET(AV207,1-MIN(p_PenLb,ROW()-4),0,MIN(p_PenLb,ROW()-4),1))/COUNTIF(OFFSET(AV207,1-MIN(p_PenLb,ROW()-4),0,MIN(p_PenLb,ROW()-4),1),"&gt;0"),0.5*Y207)</f>
        <v>0.435156108197906</v>
      </c>
      <c r="AX207" s="41" t="n">
        <f aca="false">2*H207-H206</f>
        <v>26.7009801153603</v>
      </c>
      <c r="AY207" s="40" t="n">
        <f aca="false">ROUND(MAX(AX207-AW207,0.01),2)</f>
        <v>26.27</v>
      </c>
      <c r="AZ207" s="40" t="n">
        <f aca="true">IF(MIN(p_StopLb,ROW()-4)&lt;2,D207,SMALL(OFFSET(D207,1-MIN(p_StopLb,ROW()-4),0,MIN(p_StopLb,ROW()-4),1),2))</f>
        <v>25.71</v>
      </c>
      <c r="BA207" s="40" t="n">
        <f aca="false">IF(MOD(ROUND(ROUNDDOWN(MIN(AZ207-0.01,AY207-p_StopAtr*Y207),2)*100,0),50)=0,ROUNDDOWN(MIN(AZ207-0.01,AY207-p_StopAtr*Y207),2)-0.01,ROUNDDOWN(MIN(AZ207-0.01,AY207-p_StopAtr*Y207),2))</f>
        <v>25.53</v>
      </c>
      <c r="BB207" s="40" t="n">
        <f aca="false">ROUND(AI207,2)</f>
        <v>27.47</v>
      </c>
      <c r="BC207" s="40" t="n">
        <f aca="false">IF(AY207-BA207&gt;0,(BB207-AY207)/(AY207-BA207),0)</f>
        <v>1.62162162162162</v>
      </c>
      <c r="BD207" s="42" t="n">
        <f aca="false">IF(N207&lt;0,1,0)</f>
        <v>0</v>
      </c>
      <c r="BE207" s="41" t="n">
        <f aca="false">IF(AND(BD207=1,BD206=0),N207,IF(BD207=1,MIN(BE206,N207),BE206))</f>
        <v>-0.0622611748996084</v>
      </c>
      <c r="BF207" s="40" t="n">
        <f aca="false">IF(AND(BD207=1,BD206=0),D207,IF(BD207=1,MIN(BF206,D207),BF206))</f>
        <v>23.33</v>
      </c>
      <c r="BG207" s="42" t="n">
        <f aca="false">IF(AND(BD207=1,BD206=0),ROW(),IF(BD207=1,IF(N207&lt;BE206,ROW(),BG206),BG206))</f>
        <v>190</v>
      </c>
      <c r="BH207" s="41" t="n">
        <f aca="false">IF(AND(BD207=1,BD206=0),BE206,BH206)</f>
        <v>-0.149433863515745</v>
      </c>
      <c r="BI207" s="40" t="n">
        <f aca="false">IF(AND(BD207=1,BD206=0),BF206,BI206)</f>
        <v>23.49</v>
      </c>
      <c r="BJ207" s="42" t="n">
        <f aca="false">IF(AND(BD207=1,BD206=0),BG206,BJ206)</f>
        <v>179</v>
      </c>
      <c r="BK207" s="42" t="n">
        <f aca="false">IF(AND(ISNUMBER(BG207),ISNUMBER(BJ207)),BG207-BJ207,"")</f>
        <v>11</v>
      </c>
      <c r="BL207" s="42" t="n">
        <f aca="false">IF(AND(BD207=1,N207&gt;N206,ISNUMBER(BH207),ISNUMBER(BK207)),IF(AND(BE207&gt;BH207,BF207&lt;BI207,BK207&gt;=p_GapMin,BK207&lt;=p_GapMax),1,0),0)</f>
        <v>0</v>
      </c>
      <c r="BM207" s="42" t="n">
        <f aca="false">IF(AND(BL207=1,E207&gt;BI207),1,0)</f>
        <v>0</v>
      </c>
      <c r="BN207" s="42" t="n">
        <f aca="false">IF(BL207=1,IF(BE207&gt;=BH207*0.5,1,0),0)</f>
        <v>0</v>
      </c>
      <c r="BO207" s="42" t="n">
        <f aca="true">IF(V207&gt;MIN(OFFSET(V207,-MIN(p_FiLb-1,ROW()-5),0,MIN(p_FiLb-1,ROW()-5),1)),1,0)</f>
        <v>1</v>
      </c>
      <c r="BP207" s="44" t="n">
        <f aca="true">IF(COUNTIF(OFFSET(V207,1-MIN(100,ROW()-4),0,MIN(100,ROW()-4),1),"&lt;0")&gt;=5,AVERAGEIF(OFFSET(V207,1-MIN(100,ROW()-4),0,MIN(100,ROW()-4),1),"&lt;0"),"")</f>
        <v>-837888.9027033</v>
      </c>
      <c r="BQ207" s="42" t="n">
        <f aca="false">IF(ISNUMBER(BP207),IF(AND(V207&lt;5*BP207,V207&gt;V206,E207&lt;AJ207),1,0),0)</f>
        <v>0</v>
      </c>
      <c r="BR207" s="44" t="n">
        <f aca="true">AVERAGE(OFFSET(F207,1-MIN(5,ROW()-4),0,MIN(5,ROW()-4),1))</f>
        <v>4015640</v>
      </c>
      <c r="BS207" s="42" t="n">
        <f aca="false">IFERROR(IF(MATCH(G207,周线!$A$5:$A$84,0)&lt;=1,"",INDEX(周线!$R$5:$R$84,MATCH(G207,周线!$A$5:$A$84,0)-1)),"")</f>
        <v>1</v>
      </c>
      <c r="BT207" s="42" t="n">
        <f aca="false">IFERROR(IF(MATCH(G207,周线!$A$5:$A$84,0)&lt;=1,"",INDEX(周线!$S$5:$S$84,MATCH(G207,周线!$A$5:$A$84,0)-1)),"")</f>
        <v>1</v>
      </c>
      <c r="BU207" s="42" t="n">
        <f aca="false">IFERROR(IF(MATCH(G207,周线!$A$5:$A$84,0)&lt;=1,"",INDEX(周线!$U$5:$U$84,MATCH(G207,周线!$A$5:$A$84,0)-1)),"")</f>
        <v>1</v>
      </c>
      <c r="BV207" s="42" t="n">
        <f aca="false">IF(AND(BS207=1,S207&lt;&gt;-1,V207&lt;0,BO207=1,E207&lt;=H207,E207&gt;=AJ207),1,0)</f>
        <v>0</v>
      </c>
      <c r="BW207" s="42" t="n">
        <f aca="false">BL207</f>
        <v>0</v>
      </c>
      <c r="BX207" s="42" t="n">
        <f aca="false">BQ207</f>
        <v>0</v>
      </c>
      <c r="BY207" s="42" t="n">
        <f aca="false">IF(BS207=1,10,0)+IF(BU207=1,5,IF(BU207=-1,0,3))+IF(BT207=1,5,0)+IF(AND(AE207&gt;AF207,AH207&gt;AH206),5,0)</f>
        <v>20</v>
      </c>
      <c r="BZ207" s="42" t="n">
        <f aca="false">IF(AND(E207&lt;=H207,E207&gt;=I207),10,IF(AND(E207&gt;=AJ207,E207&lt;I207),6,0))+IF(AND(V207&lt;0,BO207=1),8,0)+IF(AT207&lt;30,7,IF(AT207&lt;50,3,0))</f>
        <v>7</v>
      </c>
      <c r="CA207" s="42" t="n">
        <f aca="false">IF(AND(BV207=1,BW207=1),25,IF(BW207=1,22,IF(BV207=1,15,IF(BX207=1,12,0))))</f>
        <v>0</v>
      </c>
      <c r="CB207" s="42" t="n">
        <f aca="false">IF(W207&gt;0,6,0)+IF(F207&lt;BR207,4,0)</f>
        <v>10</v>
      </c>
      <c r="CC207" s="42" t="n">
        <f aca="false">IF(BC207&gt;=3,15,IF(BC207&gt;=p_RRmin,10,IF(BC207&gt;=1.5,4,0)))</f>
        <v>4</v>
      </c>
      <c r="CD207" s="42" t="n">
        <f aca="false">BY207+BZ207+CA207+CB207+CC207</f>
        <v>41</v>
      </c>
      <c r="CE207" s="42" t="n">
        <f aca="false">IF(AND(BS207&lt;&gt;1,BW207+BX207=0),1,0)</f>
        <v>0</v>
      </c>
      <c r="CF207" s="42" t="n">
        <f aca="false">IF(BU207=-1,1,0)</f>
        <v>0</v>
      </c>
      <c r="CG207" s="42" t="n">
        <f aca="false">IF(S207=-1,1,0)</f>
        <v>0</v>
      </c>
      <c r="CH207" s="42" t="n">
        <f aca="false">IF(BV207+BW207+BX207=0,1,0)</f>
        <v>1</v>
      </c>
      <c r="CI207" s="42" t="n">
        <f aca="false">IF(BC207&lt;p_RRmin,1,0)</f>
        <v>1</v>
      </c>
      <c r="CJ207" s="46" t="str">
        <f aca="false">IF(SUM(CE207:CI207)=0,IF(CD207&gt;=p_GradeA,"A",IF(CD207&gt;=p_GradeB,"B","C")),IF(AND(CI207=1,SUM(CE207:CH207)=0,CD207&gt;=p_GradeB),"B","C"))</f>
        <v>C</v>
      </c>
    </row>
    <row r="208" customFormat="false" ht="15" hidden="false" customHeight="false" outlineLevel="0" collapsed="false">
      <c r="A208" s="36" t="n">
        <v>45944</v>
      </c>
      <c r="B208" s="37" t="n">
        <v>27.15</v>
      </c>
      <c r="C208" s="37" t="n">
        <v>27.96</v>
      </c>
      <c r="D208" s="37" t="n">
        <v>26.97</v>
      </c>
      <c r="E208" s="37" t="n">
        <v>27.72</v>
      </c>
      <c r="F208" s="38" t="n">
        <v>4237900</v>
      </c>
      <c r="G208" s="39" t="n">
        <f aca="false">A208-WEEKDAY(A208,3)</f>
        <v>45943</v>
      </c>
      <c r="H208" s="40" t="n">
        <f aca="false">2/(p_EmaF+1)*E208+(1-2/(p_EmaF+1))*H207</f>
        <v>26.7850081186563</v>
      </c>
      <c r="I208" s="40" t="n">
        <f aca="false">2/(p_EmaS+1)*E208+(1-2/(p_EmaS+1))*I207</f>
        <v>26.0504747751851</v>
      </c>
      <c r="J208" s="41" t="n">
        <f aca="false">2/(p_MacdF+1)*E208+(1-2/(p_MacdF+1))*J207</f>
        <v>26.8491510689708</v>
      </c>
      <c r="K208" s="41" t="n">
        <f aca="false">2/(p_MacdS+1)*E208+(1-2/(p_MacdS+1))*K207</f>
        <v>26.0504747751851</v>
      </c>
      <c r="L208" s="41" t="n">
        <f aca="false">J208-K208</f>
        <v>0.798676293785661</v>
      </c>
      <c r="M208" s="41" t="n">
        <f aca="false">2/(p_MacdSig+1)*L208+(1-2/(p_MacdSig+1))*M207</f>
        <v>0.752864949159373</v>
      </c>
      <c r="N208" s="41" t="n">
        <f aca="false">L208-M208</f>
        <v>0.0458113446262883</v>
      </c>
      <c r="O208" s="42" t="n">
        <f aca="false">IF(H208&gt;H207,1,0)</f>
        <v>1</v>
      </c>
      <c r="P208" s="42" t="n">
        <f aca="false">IF(H208&lt;H207,1,0)</f>
        <v>0</v>
      </c>
      <c r="Q208" s="42" t="n">
        <f aca="false">IF(N208&gt;N207,1,0)</f>
        <v>1</v>
      </c>
      <c r="R208" s="42" t="n">
        <f aca="false">IF(N208&lt;N207,1,0)</f>
        <v>0</v>
      </c>
      <c r="S208" s="42" t="n">
        <f aca="false">IF(AND(O208=1,Q208=1),1,IF(AND(P208=1,R208=1),-1,0))</f>
        <v>1</v>
      </c>
      <c r="T208" s="43" t="str">
        <f aca="false">IF(S208=1,"绿",IF(S208=-1,"红","蓝"))</f>
        <v>绿</v>
      </c>
      <c r="U208" s="44" t="n">
        <f aca="false">F208*(E208-E207)</f>
        <v>2797014</v>
      </c>
      <c r="V208" s="44" t="n">
        <f aca="false">2/(p_FiS+1)*U208+(1-2/(p_FiS+1))*V207</f>
        <v>1927084.6128621</v>
      </c>
      <c r="W208" s="44" t="n">
        <f aca="false">2/(p_FiL+1)*U208+(1-2/(p_FiL+1))*W207</f>
        <v>713858.447299098</v>
      </c>
      <c r="X208" s="41" t="n">
        <f aca="false">MAX(C208-D208,ABS(C208-E207),ABS(D208-E207))</f>
        <v>0.990000000000002</v>
      </c>
      <c r="Y208" s="41" t="n">
        <f aca="true">AVERAGE(OFFSET(X208,1-MIN(p_AtrN,ROW()-4),0,MIN(p_AtrN,ROW()-4),1))</f>
        <v>0.728461538461539</v>
      </c>
      <c r="Z208" s="41" t="n">
        <f aca="false">IF(AND(C208-C207&gt;D207-D208,C208-C207&gt;0),C208-C207,0)</f>
        <v>0.710000000000001</v>
      </c>
      <c r="AA208" s="41" t="n">
        <f aca="false">IF(AND(D207-D208&gt;C208-C207,D207-D208&gt;0),D207-D208,0)</f>
        <v>0</v>
      </c>
      <c r="AB208" s="41" t="n">
        <f aca="false">2/(p_AdxN+1)*X208+(1-2/(p_AdxN+1))*AB207</f>
        <v>0.73437252146948</v>
      </c>
      <c r="AC208" s="41" t="n">
        <f aca="false">2/(p_AdxN+1)*Z208+(1-2/(p_AdxN+1))*AC207</f>
        <v>0.271829961073857</v>
      </c>
      <c r="AD208" s="41" t="n">
        <f aca="false">2/(p_AdxN+1)*AA208+(1-2/(p_AdxN+1))*AD207</f>
        <v>0.0799252678021514</v>
      </c>
      <c r="AE208" s="45" t="n">
        <f aca="false">100*AC208/AB208</f>
        <v>37.0152685628712</v>
      </c>
      <c r="AF208" s="45" t="n">
        <f aca="false">100*AD208/AB208</f>
        <v>10.8834774539522</v>
      </c>
      <c r="AG208" s="45" t="n">
        <f aca="false">IFERROR(100*ABS(AE208-AF208)/(AE208+AF208),0)</f>
        <v>54.5563157326514</v>
      </c>
      <c r="AH208" s="45" t="n">
        <f aca="false">2/(p_AdxN+1)*AG208+(1-2/(p_AdxN+1))*AH207</f>
        <v>42.1597130176348</v>
      </c>
      <c r="AI208" s="40" t="n">
        <f aca="false">I208*(1+p_ChPct)</f>
        <v>27.6135032616962</v>
      </c>
      <c r="AJ208" s="40" t="n">
        <f aca="false">I208*(1-p_ChPct)</f>
        <v>24.487446288674</v>
      </c>
      <c r="AK208" s="40" t="n">
        <f aca="false">I208+1*Y208</f>
        <v>26.7789363136466</v>
      </c>
      <c r="AL208" s="40" t="n">
        <f aca="false">I208+2*Y208</f>
        <v>27.5073978521082</v>
      </c>
      <c r="AM208" s="40" t="n">
        <f aca="false">I208+3*Y208</f>
        <v>28.2358593905697</v>
      </c>
      <c r="AN208" s="40" t="n">
        <f aca="false">I208-1*Y208</f>
        <v>25.3220132367236</v>
      </c>
      <c r="AO208" s="40" t="n">
        <f aca="false">I208-2*Y208</f>
        <v>24.593551698262</v>
      </c>
      <c r="AP208" s="40" t="n">
        <f aca="false">I208-3*Y208</f>
        <v>23.8650901598005</v>
      </c>
      <c r="AQ208" s="40" t="n">
        <f aca="true">MAX(OFFSET(C208,1-MIN(p_StochN,ROW()-4),0,MIN(p_StochN,ROW()-4),1))</f>
        <v>28</v>
      </c>
      <c r="AR208" s="40" t="n">
        <f aca="true">MIN(OFFSET(D208,1-MIN(p_StochN,ROW()-4),0,MIN(p_StochN,ROW()-4),1))</f>
        <v>26.67</v>
      </c>
      <c r="AS208" s="45" t="n">
        <f aca="false">IF(AQ208=AR208,50,100*(E208-AR208)/(AQ208-AR208))</f>
        <v>78.9473684210525</v>
      </c>
      <c r="AT208" s="45" t="n">
        <f aca="true">AVERAGE(OFFSET(AS208,1-MIN(p_StochSm,ROW()-4),0,MIN(p_StochSm,ROW()-4),1))</f>
        <v>40.3254513094328</v>
      </c>
      <c r="AU208" s="45" t="n">
        <f aca="true">AVERAGE(OFFSET(AT208,1-MIN(p_StochSm,ROW()-4),0,MIN(p_StochSm,ROW()-4),1))</f>
        <v>37.8864525903927</v>
      </c>
      <c r="AV208" s="41" t="n">
        <f aca="false">MAX(0,H208-D208)</f>
        <v>0</v>
      </c>
      <c r="AW208" s="41" t="n">
        <f aca="true">IF(COUNTIF(OFFSET(AV208,1-MIN(p_PenLb,ROW()-4),0,MIN(p_PenLb,ROW()-4),1),"&gt;0")&gt;0,SUM(OFFSET(AV208,1-MIN(p_PenLb,ROW()-4),0,MIN(p_PenLb,ROW()-4),1))/COUNTIF(OFFSET(AV208,1-MIN(p_PenLb,ROW()-4),0,MIN(p_PenLb,ROW()-4),1),"&gt;0"),0.5*Y208)</f>
        <v>0.448841900056051</v>
      </c>
      <c r="AX208" s="41" t="n">
        <f aca="false">2*H208-H207</f>
        <v>26.9408400988803</v>
      </c>
      <c r="AY208" s="40" t="n">
        <f aca="false">ROUND(MAX(AX208-AW208,0.01),2)</f>
        <v>26.49</v>
      </c>
      <c r="AZ208" s="40" t="n">
        <f aca="true">IF(MIN(p_StopLb,ROW()-4)&lt;2,D208,SMALL(OFFSET(D208,1-MIN(p_StopLb,ROW()-4),0,MIN(p_StopLb,ROW()-4),1),2))</f>
        <v>25.71</v>
      </c>
      <c r="BA208" s="40" t="n">
        <f aca="false">IF(MOD(ROUND(ROUNDDOWN(MIN(AZ208-0.01,AY208-p_StopAtr*Y208),2)*100,0),50)=0,ROUNDDOWN(MIN(AZ208-0.01,AY208-p_StopAtr*Y208),2)-0.01,ROUNDDOWN(MIN(AZ208-0.01,AY208-p_StopAtr*Y208),2))</f>
        <v>25.7</v>
      </c>
      <c r="BB208" s="40" t="n">
        <f aca="false">ROUND(AI208,2)</f>
        <v>27.61</v>
      </c>
      <c r="BC208" s="40" t="n">
        <f aca="false">IF(AY208-BA208&gt;0,(BB208-AY208)/(AY208-BA208),0)</f>
        <v>1.41772151898734</v>
      </c>
      <c r="BD208" s="42" t="n">
        <f aca="false">IF(N208&lt;0,1,0)</f>
        <v>0</v>
      </c>
      <c r="BE208" s="41" t="n">
        <f aca="false">IF(AND(BD208=1,BD207=0),N208,IF(BD208=1,MIN(BE207,N208),BE207))</f>
        <v>-0.0622611748996084</v>
      </c>
      <c r="BF208" s="40" t="n">
        <f aca="false">IF(AND(BD208=1,BD207=0),D208,IF(BD208=1,MIN(BF207,D208),BF207))</f>
        <v>23.33</v>
      </c>
      <c r="BG208" s="42" t="n">
        <f aca="false">IF(AND(BD208=1,BD207=0),ROW(),IF(BD208=1,IF(N208&lt;BE207,ROW(),BG207),BG207))</f>
        <v>190</v>
      </c>
      <c r="BH208" s="41" t="n">
        <f aca="false">IF(AND(BD208=1,BD207=0),BE207,BH207)</f>
        <v>-0.149433863515745</v>
      </c>
      <c r="BI208" s="40" t="n">
        <f aca="false">IF(AND(BD208=1,BD207=0),BF207,BI207)</f>
        <v>23.49</v>
      </c>
      <c r="BJ208" s="42" t="n">
        <f aca="false">IF(AND(BD208=1,BD207=0),BG207,BJ207)</f>
        <v>179</v>
      </c>
      <c r="BK208" s="42" t="n">
        <f aca="false">IF(AND(ISNUMBER(BG208),ISNUMBER(BJ208)),BG208-BJ208,"")</f>
        <v>11</v>
      </c>
      <c r="BL208" s="42" t="n">
        <f aca="false">IF(AND(BD208=1,N208&gt;N207,ISNUMBER(BH208),ISNUMBER(BK208)),IF(AND(BE208&gt;BH208,BF208&lt;BI208,BK208&gt;=p_GapMin,BK208&lt;=p_GapMax),1,0),0)</f>
        <v>0</v>
      </c>
      <c r="BM208" s="42" t="n">
        <f aca="false">IF(AND(BL208=1,E208&gt;BI208),1,0)</f>
        <v>0</v>
      </c>
      <c r="BN208" s="42" t="n">
        <f aca="false">IF(BL208=1,IF(BE208&gt;=BH208*0.5,1,0),0)</f>
        <v>0</v>
      </c>
      <c r="BO208" s="42" t="n">
        <f aca="true">IF(V208&gt;MIN(OFFSET(V208,-MIN(p_FiLb-1,ROW()-5),0,MIN(p_FiLb-1,ROW()-5),1)),1,0)</f>
        <v>1</v>
      </c>
      <c r="BP208" s="44" t="n">
        <f aca="true">IF(COUNTIF(OFFSET(V208,1-MIN(100,ROW()-4),0,MIN(100,ROW()-4),1),"&lt;0")&gt;=5,AVERAGEIF(OFFSET(V208,1-MIN(100,ROW()-4),0,MIN(100,ROW()-4),1),"&lt;0"),"")</f>
        <v>-837888.9027033</v>
      </c>
      <c r="BQ208" s="42" t="n">
        <f aca="false">IF(ISNUMBER(BP208),IF(AND(V208&lt;5*BP208,V208&gt;V207,E208&lt;AJ208),1,0),0)</f>
        <v>0</v>
      </c>
      <c r="BR208" s="44" t="n">
        <f aca="true">AVERAGE(OFFSET(F208,1-MIN(5,ROW()-4),0,MIN(5,ROW()-4),1))</f>
        <v>3842660</v>
      </c>
      <c r="BS208" s="42" t="n">
        <f aca="false">IFERROR(IF(MATCH(G208,周线!$A$5:$A$84,0)&lt;=1,"",INDEX(周线!$R$5:$R$84,MATCH(G208,周线!$A$5:$A$84,0)-1)),"")</f>
        <v>1</v>
      </c>
      <c r="BT208" s="42" t="n">
        <f aca="false">IFERROR(IF(MATCH(G208,周线!$A$5:$A$84,0)&lt;=1,"",INDEX(周线!$S$5:$S$84,MATCH(G208,周线!$A$5:$A$84,0)-1)),"")</f>
        <v>1</v>
      </c>
      <c r="BU208" s="42" t="n">
        <f aca="false">IFERROR(IF(MATCH(G208,周线!$A$5:$A$84,0)&lt;=1,"",INDEX(周线!$U$5:$U$84,MATCH(G208,周线!$A$5:$A$84,0)-1)),"")</f>
        <v>1</v>
      </c>
      <c r="BV208" s="42" t="n">
        <f aca="false">IF(AND(BS208=1,S208&lt;&gt;-1,V208&lt;0,BO208=1,E208&lt;=H208,E208&gt;=AJ208),1,0)</f>
        <v>0</v>
      </c>
      <c r="BW208" s="42" t="n">
        <f aca="false">BL208</f>
        <v>0</v>
      </c>
      <c r="BX208" s="42" t="n">
        <f aca="false">BQ208</f>
        <v>0</v>
      </c>
      <c r="BY208" s="42" t="n">
        <f aca="false">IF(BS208=1,10,0)+IF(BU208=1,5,IF(BU208=-1,0,3))+IF(BT208=1,5,0)+IF(AND(AE208&gt;AF208,AH208&gt;AH207),5,0)</f>
        <v>25</v>
      </c>
      <c r="BZ208" s="42" t="n">
        <f aca="false">IF(AND(E208&lt;=H208,E208&gt;=I208),10,IF(AND(E208&gt;=AJ208,E208&lt;I208),6,0))+IF(AND(V208&lt;0,BO208=1),8,0)+IF(AT208&lt;30,7,IF(AT208&lt;50,3,0))</f>
        <v>3</v>
      </c>
      <c r="CA208" s="42" t="n">
        <f aca="false">IF(AND(BV208=1,BW208=1),25,IF(BW208=1,22,IF(BV208=1,15,IF(BX208=1,12,0))))</f>
        <v>0</v>
      </c>
      <c r="CB208" s="42" t="n">
        <f aca="false">IF(W208&gt;0,6,0)+IF(F208&lt;BR208,4,0)</f>
        <v>6</v>
      </c>
      <c r="CC208" s="42" t="n">
        <f aca="false">IF(BC208&gt;=3,15,IF(BC208&gt;=p_RRmin,10,IF(BC208&gt;=1.5,4,0)))</f>
        <v>0</v>
      </c>
      <c r="CD208" s="42" t="n">
        <f aca="false">BY208+BZ208+CA208+CB208+CC208</f>
        <v>34</v>
      </c>
      <c r="CE208" s="42" t="n">
        <f aca="false">IF(AND(BS208&lt;&gt;1,BW208+BX208=0),1,0)</f>
        <v>0</v>
      </c>
      <c r="CF208" s="42" t="n">
        <f aca="false">IF(BU208=-1,1,0)</f>
        <v>0</v>
      </c>
      <c r="CG208" s="42" t="n">
        <f aca="false">IF(S208=-1,1,0)</f>
        <v>0</v>
      </c>
      <c r="CH208" s="42" t="n">
        <f aca="false">IF(BV208+BW208+BX208=0,1,0)</f>
        <v>1</v>
      </c>
      <c r="CI208" s="42" t="n">
        <f aca="false">IF(BC208&lt;p_RRmin,1,0)</f>
        <v>1</v>
      </c>
      <c r="CJ208" s="46" t="str">
        <f aca="false">IF(SUM(CE208:CI208)=0,IF(CD208&gt;=p_GradeA,"A",IF(CD208&gt;=p_GradeB,"B","C")),IF(AND(CI208=1,SUM(CE208:CH208)=0,CD208&gt;=p_GradeB),"B","C"))</f>
        <v>C</v>
      </c>
    </row>
    <row r="209" customFormat="false" ht="15" hidden="false" customHeight="false" outlineLevel="0" collapsed="false">
      <c r="A209" s="36" t="n">
        <v>45945</v>
      </c>
      <c r="B209" s="37" t="n">
        <v>27.62</v>
      </c>
      <c r="C209" s="37" t="n">
        <v>28.05</v>
      </c>
      <c r="D209" s="37" t="n">
        <v>27.24</v>
      </c>
      <c r="E209" s="37" t="n">
        <v>27.87</v>
      </c>
      <c r="F209" s="38" t="n">
        <v>2835300</v>
      </c>
      <c r="G209" s="39" t="n">
        <f aca="false">A209-WEEKDAY(A209,3)</f>
        <v>45943</v>
      </c>
      <c r="H209" s="40" t="n">
        <f aca="false">2/(p_EmaF+1)*E209+(1-2/(p_EmaF+1))*H208</f>
        <v>26.9400069588483</v>
      </c>
      <c r="I209" s="40" t="n">
        <f aca="false">2/(p_EmaS+1)*E209+(1-2/(p_EmaS+1))*I208</f>
        <v>26.1852544214677</v>
      </c>
      <c r="J209" s="41" t="n">
        <f aca="false">2/(p_MacdF+1)*E209+(1-2/(p_MacdF+1))*J208</f>
        <v>27.0062047506676</v>
      </c>
      <c r="K209" s="41" t="n">
        <f aca="false">2/(p_MacdS+1)*E209+(1-2/(p_MacdS+1))*K208</f>
        <v>26.1852544214677</v>
      </c>
      <c r="L209" s="41" t="n">
        <f aca="false">J209-K209</f>
        <v>0.820950329199881</v>
      </c>
      <c r="M209" s="41" t="n">
        <f aca="false">2/(p_MacdSig+1)*L209+(1-2/(p_MacdSig+1))*M208</f>
        <v>0.766482025167475</v>
      </c>
      <c r="N209" s="41" t="n">
        <f aca="false">L209-M209</f>
        <v>0.0544683040324069</v>
      </c>
      <c r="O209" s="42" t="n">
        <f aca="false">IF(H209&gt;H208,1,0)</f>
        <v>1</v>
      </c>
      <c r="P209" s="42" t="n">
        <f aca="false">IF(H209&lt;H208,1,0)</f>
        <v>0</v>
      </c>
      <c r="Q209" s="42" t="n">
        <f aca="false">IF(N209&gt;N208,1,0)</f>
        <v>1</v>
      </c>
      <c r="R209" s="42" t="n">
        <f aca="false">IF(N209&lt;N208,1,0)</f>
        <v>0</v>
      </c>
      <c r="S209" s="42" t="n">
        <f aca="false">IF(AND(O209=1,Q209=1),1,IF(AND(P209=1,R209=1),-1,0))</f>
        <v>1</v>
      </c>
      <c r="T209" s="43" t="str">
        <f aca="false">IF(S209=1,"绿",IF(S209=-1,"红","蓝"))</f>
        <v>绿</v>
      </c>
      <c r="U209" s="44" t="n">
        <f aca="false">F209*(E209-E208)</f>
        <v>425295.000000006</v>
      </c>
      <c r="V209" s="44" t="n">
        <f aca="false">2/(p_FiS+1)*U209+(1-2/(p_FiS+1))*V208</f>
        <v>925891.537620703</v>
      </c>
      <c r="W209" s="44" t="n">
        <f aca="false">2/(p_FiL+1)*U209+(1-2/(p_FiL+1))*W208</f>
        <v>672635.097684942</v>
      </c>
      <c r="X209" s="41" t="n">
        <f aca="false">MAX(C209-D209,ABS(C209-E208),ABS(D209-E208))</f>
        <v>0.810000000000002</v>
      </c>
      <c r="Y209" s="41" t="n">
        <f aca="true">AVERAGE(OFFSET(X209,1-MIN(p_AtrN,ROW()-4),0,MIN(p_AtrN,ROW()-4),1))</f>
        <v>0.745384615384616</v>
      </c>
      <c r="Z209" s="41" t="n">
        <f aca="false">IF(AND(C209-C208&gt;D208-D209,C209-C208&gt;0),C209-C208,0)</f>
        <v>0.0899999999999999</v>
      </c>
      <c r="AA209" s="41" t="n">
        <f aca="false">IF(AND(D208-D209&gt;C209-C208,D208-D209&gt;0),D208-D209,0)</f>
        <v>0</v>
      </c>
      <c r="AB209" s="41" t="n">
        <f aca="false">2/(p_AdxN+1)*X209+(1-2/(p_AdxN+1))*AB208</f>
        <v>0.74517644697384</v>
      </c>
      <c r="AC209" s="41" t="n">
        <f aca="false">2/(p_AdxN+1)*Z209+(1-2/(p_AdxN+1))*AC208</f>
        <v>0.24585425234902</v>
      </c>
      <c r="AD209" s="41" t="n">
        <f aca="false">2/(p_AdxN+1)*AA209+(1-2/(p_AdxN+1))*AD208</f>
        <v>0.0685073724018441</v>
      </c>
      <c r="AE209" s="45" t="n">
        <f aca="false">100*AC209/AB209</f>
        <v>32.9927567286156</v>
      </c>
      <c r="AF209" s="45" t="n">
        <f aca="false">100*AD209/AB209</f>
        <v>9.19344306708195</v>
      </c>
      <c r="AG209" s="45" t="n">
        <f aca="false">IFERROR(100*ABS(AE209-AF209)/(AE209+AF209),0)</f>
        <v>56.4149266271689</v>
      </c>
      <c r="AH209" s="45" t="n">
        <f aca="false">2/(p_AdxN+1)*AG209+(1-2/(p_AdxN+1))*AH208</f>
        <v>44.1961721047111</v>
      </c>
      <c r="AI209" s="40" t="n">
        <f aca="false">I209*(1+p_ChPct)</f>
        <v>27.7563696867557</v>
      </c>
      <c r="AJ209" s="40" t="n">
        <f aca="false">I209*(1-p_ChPct)</f>
        <v>24.6141391561796</v>
      </c>
      <c r="AK209" s="40" t="n">
        <f aca="false">I209+1*Y209</f>
        <v>26.9306390368523</v>
      </c>
      <c r="AL209" s="40" t="n">
        <f aca="false">I209+2*Y209</f>
        <v>27.6760236522369</v>
      </c>
      <c r="AM209" s="40" t="n">
        <f aca="false">I209+3*Y209</f>
        <v>28.4214082676215</v>
      </c>
      <c r="AN209" s="40" t="n">
        <f aca="false">I209-1*Y209</f>
        <v>25.4398698060831</v>
      </c>
      <c r="AO209" s="40" t="n">
        <f aca="false">I209-2*Y209</f>
        <v>24.6944851906984</v>
      </c>
      <c r="AP209" s="40" t="n">
        <f aca="false">I209-3*Y209</f>
        <v>23.9491005753138</v>
      </c>
      <c r="AQ209" s="40" t="n">
        <f aca="true">MAX(OFFSET(C209,1-MIN(p_StochN,ROW()-4),0,MIN(p_StochN,ROW()-4),1))</f>
        <v>28.05</v>
      </c>
      <c r="AR209" s="40" t="n">
        <f aca="true">MIN(OFFSET(D209,1-MIN(p_StochN,ROW()-4),0,MIN(p_StochN,ROW()-4),1))</f>
        <v>26.67</v>
      </c>
      <c r="AS209" s="45" t="n">
        <f aca="false">IF(AQ209=AR209,50,100*(E209-AR209)/(AQ209-AR209))</f>
        <v>86.9565217391305</v>
      </c>
      <c r="AT209" s="45" t="n">
        <f aca="true">AVERAGE(OFFSET(AS209,1-MIN(p_StochSm,ROW()-4),0,MIN(p_StochSm,ROW()-4),1))</f>
        <v>64.7215865751334</v>
      </c>
      <c r="AU209" s="45" t="n">
        <f aca="true">AVERAGE(OFFSET(AT209,1-MIN(p_StochSm,ROW()-4),0,MIN(p_StochSm,ROW()-4),1))</f>
        <v>44.4395743125207</v>
      </c>
      <c r="AV209" s="41" t="n">
        <f aca="false">MAX(0,H209-D209)</f>
        <v>0</v>
      </c>
      <c r="AW209" s="41" t="n">
        <f aca="true">IF(COUNTIF(OFFSET(AV209,1-MIN(p_PenLb,ROW()-4),0,MIN(p_PenLb,ROW()-4),1),"&gt;0")&gt;0,SUM(OFFSET(AV209,1-MIN(p_PenLb,ROW()-4),0,MIN(p_PenLb,ROW()-4),1))/COUNTIF(OFFSET(AV209,1-MIN(p_PenLb,ROW()-4),0,MIN(p_PenLb,ROW()-4),1),"&gt;0"),0.5*Y209)</f>
        <v>0.446970537559125</v>
      </c>
      <c r="AX209" s="41" t="n">
        <f aca="false">2*H209-H208</f>
        <v>27.0950057990402</v>
      </c>
      <c r="AY209" s="40" t="n">
        <f aca="false">ROUND(MAX(AX209-AW209,0.01),2)</f>
        <v>26.65</v>
      </c>
      <c r="AZ209" s="40" t="n">
        <f aca="true">IF(MIN(p_StopLb,ROW()-4)&lt;2,D209,SMALL(OFFSET(D209,1-MIN(p_StopLb,ROW()-4),0,MIN(p_StopLb,ROW()-4),1),2))</f>
        <v>26.04</v>
      </c>
      <c r="BA209" s="40" t="n">
        <f aca="false">IF(MOD(ROUND(ROUNDDOWN(MIN(AZ209-0.01,AY209-p_StopAtr*Y209),2)*100,0),50)=0,ROUNDDOWN(MIN(AZ209-0.01,AY209-p_StopAtr*Y209),2)-0.01,ROUNDDOWN(MIN(AZ209-0.01,AY209-p_StopAtr*Y209),2))</f>
        <v>25.9</v>
      </c>
      <c r="BB209" s="40" t="n">
        <f aca="false">ROUND(AI209,2)</f>
        <v>27.76</v>
      </c>
      <c r="BC209" s="40" t="n">
        <f aca="false">IF(AY209-BA209&gt;0,(BB209-AY209)/(AY209-BA209),0)</f>
        <v>1.48</v>
      </c>
      <c r="BD209" s="42" t="n">
        <f aca="false">IF(N209&lt;0,1,0)</f>
        <v>0</v>
      </c>
      <c r="BE209" s="41" t="n">
        <f aca="false">IF(AND(BD209=1,BD208=0),N209,IF(BD209=1,MIN(BE208,N209),BE208))</f>
        <v>-0.0622611748996084</v>
      </c>
      <c r="BF209" s="40" t="n">
        <f aca="false">IF(AND(BD209=1,BD208=0),D209,IF(BD209=1,MIN(BF208,D209),BF208))</f>
        <v>23.33</v>
      </c>
      <c r="BG209" s="42" t="n">
        <f aca="false">IF(AND(BD209=1,BD208=0),ROW(),IF(BD209=1,IF(N209&lt;BE208,ROW(),BG208),BG208))</f>
        <v>190</v>
      </c>
      <c r="BH209" s="41" t="n">
        <f aca="false">IF(AND(BD209=1,BD208=0),BE208,BH208)</f>
        <v>-0.149433863515745</v>
      </c>
      <c r="BI209" s="40" t="n">
        <f aca="false">IF(AND(BD209=1,BD208=0),BF208,BI208)</f>
        <v>23.49</v>
      </c>
      <c r="BJ209" s="42" t="n">
        <f aca="false">IF(AND(BD209=1,BD208=0),BG208,BJ208)</f>
        <v>179</v>
      </c>
      <c r="BK209" s="42" t="n">
        <f aca="false">IF(AND(ISNUMBER(BG209),ISNUMBER(BJ209)),BG209-BJ209,"")</f>
        <v>11</v>
      </c>
      <c r="BL209" s="42" t="n">
        <f aca="false">IF(AND(BD209=1,N209&gt;N208,ISNUMBER(BH209),ISNUMBER(BK209)),IF(AND(BE209&gt;BH209,BF209&lt;BI209,BK209&gt;=p_GapMin,BK209&lt;=p_GapMax),1,0),0)</f>
        <v>0</v>
      </c>
      <c r="BM209" s="42" t="n">
        <f aca="false">IF(AND(BL209=1,E209&gt;BI209),1,0)</f>
        <v>0</v>
      </c>
      <c r="BN209" s="42" t="n">
        <f aca="false">IF(BL209=1,IF(BE209&gt;=BH209*0.5,1,0),0)</f>
        <v>0</v>
      </c>
      <c r="BO209" s="42" t="n">
        <f aca="true">IF(V209&gt;MIN(OFFSET(V209,-MIN(p_FiLb-1,ROW()-5),0,MIN(p_FiLb-1,ROW()-5),1)),1,0)</f>
        <v>1</v>
      </c>
      <c r="BP209" s="44" t="n">
        <f aca="true">IF(COUNTIF(OFFSET(V209,1-MIN(100,ROW()-4),0,MIN(100,ROW()-4),1),"&lt;0")&gt;=5,AVERAGEIF(OFFSET(V209,1-MIN(100,ROW()-4),0,MIN(100,ROW()-4),1),"&lt;0"),"")</f>
        <v>-837888.9027033</v>
      </c>
      <c r="BQ209" s="42" t="n">
        <f aca="false">IF(ISNUMBER(BP209),IF(AND(V209&lt;5*BP209,V209&gt;V208,E209&lt;AJ209),1,0),0)</f>
        <v>0</v>
      </c>
      <c r="BR209" s="44" t="n">
        <f aca="true">AVERAGE(OFFSET(F209,1-MIN(5,ROW()-4),0,MIN(5,ROW()-4),1))</f>
        <v>3826800</v>
      </c>
      <c r="BS209" s="42" t="n">
        <f aca="false">IFERROR(IF(MATCH(G209,周线!$A$5:$A$84,0)&lt;=1,"",INDEX(周线!$R$5:$R$84,MATCH(G209,周线!$A$5:$A$84,0)-1)),"")</f>
        <v>1</v>
      </c>
      <c r="BT209" s="42" t="n">
        <f aca="false">IFERROR(IF(MATCH(G209,周线!$A$5:$A$84,0)&lt;=1,"",INDEX(周线!$S$5:$S$84,MATCH(G209,周线!$A$5:$A$84,0)-1)),"")</f>
        <v>1</v>
      </c>
      <c r="BU209" s="42" t="n">
        <f aca="false">IFERROR(IF(MATCH(G209,周线!$A$5:$A$84,0)&lt;=1,"",INDEX(周线!$U$5:$U$84,MATCH(G209,周线!$A$5:$A$84,0)-1)),"")</f>
        <v>1</v>
      </c>
      <c r="BV209" s="42" t="n">
        <f aca="false">IF(AND(BS209=1,S209&lt;&gt;-1,V209&lt;0,BO209=1,E209&lt;=H209,E209&gt;=AJ209),1,0)</f>
        <v>0</v>
      </c>
      <c r="BW209" s="42" t="n">
        <f aca="false">BL209</f>
        <v>0</v>
      </c>
      <c r="BX209" s="42" t="n">
        <f aca="false">BQ209</f>
        <v>0</v>
      </c>
      <c r="BY209" s="42" t="n">
        <f aca="false">IF(BS209=1,10,0)+IF(BU209=1,5,IF(BU209=-1,0,3))+IF(BT209=1,5,0)+IF(AND(AE209&gt;AF209,AH209&gt;AH208),5,0)</f>
        <v>25</v>
      </c>
      <c r="BZ209" s="42" t="n">
        <f aca="false">IF(AND(E209&lt;=H209,E209&gt;=I209),10,IF(AND(E209&gt;=AJ209,E209&lt;I209),6,0))+IF(AND(V209&lt;0,BO209=1),8,0)+IF(AT209&lt;30,7,IF(AT209&lt;50,3,0))</f>
        <v>0</v>
      </c>
      <c r="CA209" s="42" t="n">
        <f aca="false">IF(AND(BV209=1,BW209=1),25,IF(BW209=1,22,IF(BV209=1,15,IF(BX209=1,12,0))))</f>
        <v>0</v>
      </c>
      <c r="CB209" s="42" t="n">
        <f aca="false">IF(W209&gt;0,6,0)+IF(F209&lt;BR209,4,0)</f>
        <v>10</v>
      </c>
      <c r="CC209" s="42" t="n">
        <f aca="false">IF(BC209&gt;=3,15,IF(BC209&gt;=p_RRmin,10,IF(BC209&gt;=1.5,4,0)))</f>
        <v>0</v>
      </c>
      <c r="CD209" s="42" t="n">
        <f aca="false">BY209+BZ209+CA209+CB209+CC209</f>
        <v>35</v>
      </c>
      <c r="CE209" s="42" t="n">
        <f aca="false">IF(AND(BS209&lt;&gt;1,BW209+BX209=0),1,0)</f>
        <v>0</v>
      </c>
      <c r="CF209" s="42" t="n">
        <f aca="false">IF(BU209=-1,1,0)</f>
        <v>0</v>
      </c>
      <c r="CG209" s="42" t="n">
        <f aca="false">IF(S209=-1,1,0)</f>
        <v>0</v>
      </c>
      <c r="CH209" s="42" t="n">
        <f aca="false">IF(BV209+BW209+BX209=0,1,0)</f>
        <v>1</v>
      </c>
      <c r="CI209" s="42" t="n">
        <f aca="false">IF(BC209&lt;p_RRmin,1,0)</f>
        <v>1</v>
      </c>
      <c r="CJ209" s="46" t="str">
        <f aca="false">IF(SUM(CE209:CI209)=0,IF(CD209&gt;=p_GradeA,"A",IF(CD209&gt;=p_GradeB,"B","C")),IF(AND(CI209=1,SUM(CE209:CH209)=0,CD209&gt;=p_GradeB),"B","C"))</f>
        <v>C</v>
      </c>
    </row>
    <row r="210" customFormat="false" ht="15" hidden="false" customHeight="false" outlineLevel="0" collapsed="false">
      <c r="A210" s="36" t="n">
        <v>45946</v>
      </c>
      <c r="B210" s="37" t="n">
        <v>27.9</v>
      </c>
      <c r="C210" s="37" t="n">
        <v>27.92</v>
      </c>
      <c r="D210" s="37" t="n">
        <v>27.65</v>
      </c>
      <c r="E210" s="37" t="n">
        <v>27.69</v>
      </c>
      <c r="F210" s="38" t="n">
        <v>3561700</v>
      </c>
      <c r="G210" s="39" t="n">
        <f aca="false">A210-WEEKDAY(A210,3)</f>
        <v>45943</v>
      </c>
      <c r="H210" s="40" t="n">
        <f aca="false">2/(p_EmaF+1)*E210+(1-2/(p_EmaF+1))*H209</f>
        <v>27.04714882187</v>
      </c>
      <c r="I210" s="40" t="n">
        <f aca="false">2/(p_EmaS+1)*E210+(1-2/(p_EmaS+1))*I209</f>
        <v>26.2967170569145</v>
      </c>
      <c r="J210" s="41" t="n">
        <f aca="false">2/(p_MacdF+1)*E210+(1-2/(p_MacdF+1))*J209</f>
        <v>27.1114040197956</v>
      </c>
      <c r="K210" s="41" t="n">
        <f aca="false">2/(p_MacdS+1)*E210+(1-2/(p_MacdS+1))*K209</f>
        <v>26.2967170569145</v>
      </c>
      <c r="L210" s="41" t="n">
        <f aca="false">J210-K210</f>
        <v>0.814686962881108</v>
      </c>
      <c r="M210" s="41" t="n">
        <f aca="false">2/(p_MacdSig+1)*L210+(1-2/(p_MacdSig+1))*M209</f>
        <v>0.776123012710201</v>
      </c>
      <c r="N210" s="41" t="n">
        <f aca="false">L210-M210</f>
        <v>0.0385639501709069</v>
      </c>
      <c r="O210" s="42" t="n">
        <f aca="false">IF(H210&gt;H209,1,0)</f>
        <v>1</v>
      </c>
      <c r="P210" s="42" t="n">
        <f aca="false">IF(H210&lt;H209,1,0)</f>
        <v>0</v>
      </c>
      <c r="Q210" s="42" t="n">
        <f aca="false">IF(N210&gt;N209,1,0)</f>
        <v>0</v>
      </c>
      <c r="R210" s="42" t="n">
        <f aca="false">IF(N210&lt;N209,1,0)</f>
        <v>1</v>
      </c>
      <c r="S210" s="42" t="n">
        <f aca="false">IF(AND(O210=1,Q210=1),1,IF(AND(P210=1,R210=1),-1,0))</f>
        <v>0</v>
      </c>
      <c r="T210" s="43" t="str">
        <f aca="false">IF(S210=1,"绿",IF(S210=-1,"红","蓝"))</f>
        <v>蓝</v>
      </c>
      <c r="U210" s="44" t="n">
        <f aca="false">F210*(E210-E209)</f>
        <v>-641105.999999999</v>
      </c>
      <c r="V210" s="44" t="n">
        <f aca="false">2/(p_FiS+1)*U210+(1-2/(p_FiS+1))*V209</f>
        <v>-118773.487459765</v>
      </c>
      <c r="W210" s="44" t="n">
        <f aca="false">2/(p_FiL+1)*U210+(1-2/(p_FiL+1))*W209</f>
        <v>484957.798015665</v>
      </c>
      <c r="X210" s="41" t="n">
        <f aca="false">MAX(C210-D210,ABS(C210-E209),ABS(D210-E209))</f>
        <v>0.270000000000003</v>
      </c>
      <c r="Y210" s="41" t="n">
        <f aca="true">AVERAGE(OFFSET(X210,1-MIN(p_AtrN,ROW()-4),0,MIN(p_AtrN,ROW()-4),1))</f>
        <v>0.722307692307693</v>
      </c>
      <c r="Z210" s="41" t="n">
        <f aca="false">IF(AND(C210-C209&gt;D209-D210,C210-C209&gt;0),C210-C209,0)</f>
        <v>0</v>
      </c>
      <c r="AA210" s="41" t="n">
        <f aca="false">IF(AND(D209-D210&gt;C210-C209,D209-D210&gt;0),D209-D210,0)</f>
        <v>0</v>
      </c>
      <c r="AB210" s="41" t="n">
        <f aca="false">2/(p_AdxN+1)*X210+(1-2/(p_AdxN+1))*AB209</f>
        <v>0.677294097406149</v>
      </c>
      <c r="AC210" s="41" t="n">
        <f aca="false">2/(p_AdxN+1)*Z210+(1-2/(p_AdxN+1))*AC209</f>
        <v>0.21073221629916</v>
      </c>
      <c r="AD210" s="41" t="n">
        <f aca="false">2/(p_AdxN+1)*AA210+(1-2/(p_AdxN+1))*AD209</f>
        <v>0.0587206049158664</v>
      </c>
      <c r="AE210" s="45" t="n">
        <f aca="false">100*AC210/AB210</f>
        <v>31.1138421412806</v>
      </c>
      <c r="AF210" s="45" t="n">
        <f aca="false">100*AD210/AB210</f>
        <v>8.66988286783396</v>
      </c>
      <c r="AG210" s="45" t="n">
        <f aca="false">IFERROR(100*ABS(AE210-AF210)/(AE210+AF210),0)</f>
        <v>56.4149266271689</v>
      </c>
      <c r="AH210" s="45" t="n">
        <f aca="false">2/(p_AdxN+1)*AG210+(1-2/(p_AdxN+1))*AH209</f>
        <v>45.9417084650622</v>
      </c>
      <c r="AI210" s="40" t="n">
        <f aca="false">I210*(1+p_ChPct)</f>
        <v>27.8745200803294</v>
      </c>
      <c r="AJ210" s="40" t="n">
        <f aca="false">I210*(1-p_ChPct)</f>
        <v>24.7189140334996</v>
      </c>
      <c r="AK210" s="40" t="n">
        <f aca="false">I210+1*Y210</f>
        <v>27.0190247492222</v>
      </c>
      <c r="AL210" s="40" t="n">
        <f aca="false">I210+2*Y210</f>
        <v>27.7413324415299</v>
      </c>
      <c r="AM210" s="40" t="n">
        <f aca="false">I210+3*Y210</f>
        <v>28.4636401338376</v>
      </c>
      <c r="AN210" s="40" t="n">
        <f aca="false">I210-1*Y210</f>
        <v>25.5744093646068</v>
      </c>
      <c r="AO210" s="40" t="n">
        <f aca="false">I210-2*Y210</f>
        <v>24.8521016722991</v>
      </c>
      <c r="AP210" s="40" t="n">
        <f aca="false">I210-3*Y210</f>
        <v>24.1297939799914</v>
      </c>
      <c r="AQ210" s="40" t="n">
        <f aca="true">MAX(OFFSET(C210,1-MIN(p_StochN,ROW()-4),0,MIN(p_StochN,ROW()-4),1))</f>
        <v>28.05</v>
      </c>
      <c r="AR210" s="40" t="n">
        <f aca="true">MIN(OFFSET(D210,1-MIN(p_StochN,ROW()-4),0,MIN(p_StochN,ROW()-4),1))</f>
        <v>26.67</v>
      </c>
      <c r="AS210" s="45" t="n">
        <f aca="false">IF(AQ210=AR210,50,100*(E210-AR210)/(AQ210-AR210))</f>
        <v>73.9130434782609</v>
      </c>
      <c r="AT210" s="45" t="n">
        <f aca="true">AVERAGE(OFFSET(AS210,1-MIN(p_StochSm,ROW()-4),0,MIN(p_StochSm,ROW()-4),1))</f>
        <v>79.9389778794813</v>
      </c>
      <c r="AU210" s="45" t="n">
        <f aca="true">AVERAGE(OFFSET(AT210,1-MIN(p_StochSm,ROW()-4),0,MIN(p_StochSm,ROW()-4),1))</f>
        <v>61.6620052546825</v>
      </c>
      <c r="AV210" s="41" t="n">
        <f aca="false">MAX(0,H210-D210)</f>
        <v>0</v>
      </c>
      <c r="AW210" s="41" t="n">
        <f aca="true">IF(COUNTIF(OFFSET(AV210,1-MIN(p_PenLb,ROW()-4),0,MIN(p_PenLb,ROW()-4),1),"&gt;0")&gt;0,SUM(OFFSET(AV210,1-MIN(p_PenLb,ROW()-4),0,MIN(p_PenLb,ROW()-4),1))/COUNTIF(OFFSET(AV210,1-MIN(p_PenLb,ROW()-4),0,MIN(p_PenLb,ROW()-4),1),"&gt;0"),0.5*Y210)</f>
        <v>0.451697123054545</v>
      </c>
      <c r="AX210" s="41" t="n">
        <f aca="false">2*H210-H209</f>
        <v>27.1542906848916</v>
      </c>
      <c r="AY210" s="40" t="n">
        <f aca="false">ROUND(MAX(AX210-AW210,0.01),2)</f>
        <v>26.7</v>
      </c>
      <c r="AZ210" s="40" t="n">
        <f aca="true">IF(MIN(p_StopLb,ROW()-4)&lt;2,D210,SMALL(OFFSET(D210,1-MIN(p_StopLb,ROW()-4),0,MIN(p_StopLb,ROW()-4),1),2))</f>
        <v>26.67</v>
      </c>
      <c r="BA210" s="40" t="n">
        <f aca="false">IF(MOD(ROUND(ROUNDDOWN(MIN(AZ210-0.01,AY210-p_StopAtr*Y210),2)*100,0),50)=0,ROUNDDOWN(MIN(AZ210-0.01,AY210-p_StopAtr*Y210),2)-0.01,ROUNDDOWN(MIN(AZ210-0.01,AY210-p_StopAtr*Y210),2))</f>
        <v>25.97</v>
      </c>
      <c r="BB210" s="40" t="n">
        <f aca="false">ROUND(AI210,2)</f>
        <v>27.87</v>
      </c>
      <c r="BC210" s="40" t="n">
        <f aca="false">IF(AY210-BA210&gt;0,(BB210-AY210)/(AY210-BA210),0)</f>
        <v>1.6027397260274</v>
      </c>
      <c r="BD210" s="42" t="n">
        <f aca="false">IF(N210&lt;0,1,0)</f>
        <v>0</v>
      </c>
      <c r="BE210" s="41" t="n">
        <f aca="false">IF(AND(BD210=1,BD209=0),N210,IF(BD210=1,MIN(BE209,N210),BE209))</f>
        <v>-0.0622611748996084</v>
      </c>
      <c r="BF210" s="40" t="n">
        <f aca="false">IF(AND(BD210=1,BD209=0),D210,IF(BD210=1,MIN(BF209,D210),BF209))</f>
        <v>23.33</v>
      </c>
      <c r="BG210" s="42" t="n">
        <f aca="false">IF(AND(BD210=1,BD209=0),ROW(),IF(BD210=1,IF(N210&lt;BE209,ROW(),BG209),BG209))</f>
        <v>190</v>
      </c>
      <c r="BH210" s="41" t="n">
        <f aca="false">IF(AND(BD210=1,BD209=0),BE209,BH209)</f>
        <v>-0.149433863515745</v>
      </c>
      <c r="BI210" s="40" t="n">
        <f aca="false">IF(AND(BD210=1,BD209=0),BF209,BI209)</f>
        <v>23.49</v>
      </c>
      <c r="BJ210" s="42" t="n">
        <f aca="false">IF(AND(BD210=1,BD209=0),BG209,BJ209)</f>
        <v>179</v>
      </c>
      <c r="BK210" s="42" t="n">
        <f aca="false">IF(AND(ISNUMBER(BG210),ISNUMBER(BJ210)),BG210-BJ210,"")</f>
        <v>11</v>
      </c>
      <c r="BL210" s="42" t="n">
        <f aca="false">IF(AND(BD210=1,N210&gt;N209,ISNUMBER(BH210),ISNUMBER(BK210)),IF(AND(BE210&gt;BH210,BF210&lt;BI210,BK210&gt;=p_GapMin,BK210&lt;=p_GapMax),1,0),0)</f>
        <v>0</v>
      </c>
      <c r="BM210" s="42" t="n">
        <f aca="false">IF(AND(BL210=1,E210&gt;BI210),1,0)</f>
        <v>0</v>
      </c>
      <c r="BN210" s="42" t="n">
        <f aca="false">IF(BL210=1,IF(BE210&gt;=BH210*0.5,1,0),0)</f>
        <v>0</v>
      </c>
      <c r="BO210" s="42" t="n">
        <f aca="true">IF(V210&gt;MIN(OFFSET(V210,-MIN(p_FiLb-1,ROW()-5),0,MIN(p_FiLb-1,ROW()-5),1)),1,0)</f>
        <v>1</v>
      </c>
      <c r="BP210" s="44" t="n">
        <f aca="true">IF(COUNTIF(OFFSET(V210,1-MIN(100,ROW()-4),0,MIN(100,ROW()-4),1),"&lt;0")&gt;=5,AVERAGEIF(OFFSET(V210,1-MIN(100,ROW()-4),0,MIN(100,ROW()-4),1),"&lt;0"),"")</f>
        <v>-818964.81282847</v>
      </c>
      <c r="BQ210" s="42" t="n">
        <f aca="false">IF(ISNUMBER(BP210),IF(AND(V210&lt;5*BP210,V210&gt;V209,E210&lt;AJ210),1,0),0)</f>
        <v>0</v>
      </c>
      <c r="BR210" s="44" t="n">
        <f aca="true">AVERAGE(OFFSET(F210,1-MIN(5,ROW()-4),0,MIN(5,ROW()-4),1))</f>
        <v>3587440</v>
      </c>
      <c r="BS210" s="42" t="n">
        <f aca="false">IFERROR(IF(MATCH(G210,周线!$A$5:$A$84,0)&lt;=1,"",INDEX(周线!$R$5:$R$84,MATCH(G210,周线!$A$5:$A$84,0)-1)),"")</f>
        <v>1</v>
      </c>
      <c r="BT210" s="42" t="n">
        <f aca="false">IFERROR(IF(MATCH(G210,周线!$A$5:$A$84,0)&lt;=1,"",INDEX(周线!$S$5:$S$84,MATCH(G210,周线!$A$5:$A$84,0)-1)),"")</f>
        <v>1</v>
      </c>
      <c r="BU210" s="42" t="n">
        <f aca="false">IFERROR(IF(MATCH(G210,周线!$A$5:$A$84,0)&lt;=1,"",INDEX(周线!$U$5:$U$84,MATCH(G210,周线!$A$5:$A$84,0)-1)),"")</f>
        <v>1</v>
      </c>
      <c r="BV210" s="42" t="n">
        <f aca="false">IF(AND(BS210=1,S210&lt;&gt;-1,V210&lt;0,BO210=1,E210&lt;=H210,E210&gt;=AJ210),1,0)</f>
        <v>0</v>
      </c>
      <c r="BW210" s="42" t="n">
        <f aca="false">BL210</f>
        <v>0</v>
      </c>
      <c r="BX210" s="42" t="n">
        <f aca="false">BQ210</f>
        <v>0</v>
      </c>
      <c r="BY210" s="42" t="n">
        <f aca="false">IF(BS210=1,10,0)+IF(BU210=1,5,IF(BU210=-1,0,3))+IF(BT210=1,5,0)+IF(AND(AE210&gt;AF210,AH210&gt;AH209),5,0)</f>
        <v>25</v>
      </c>
      <c r="BZ210" s="42" t="n">
        <f aca="false">IF(AND(E210&lt;=H210,E210&gt;=I210),10,IF(AND(E210&gt;=AJ210,E210&lt;I210),6,0))+IF(AND(V210&lt;0,BO210=1),8,0)+IF(AT210&lt;30,7,IF(AT210&lt;50,3,0))</f>
        <v>8</v>
      </c>
      <c r="CA210" s="42" t="n">
        <f aca="false">IF(AND(BV210=1,BW210=1),25,IF(BW210=1,22,IF(BV210=1,15,IF(BX210=1,12,0))))</f>
        <v>0</v>
      </c>
      <c r="CB210" s="42" t="n">
        <f aca="false">IF(W210&gt;0,6,0)+IF(F210&lt;BR210,4,0)</f>
        <v>10</v>
      </c>
      <c r="CC210" s="42" t="n">
        <f aca="false">IF(BC210&gt;=3,15,IF(BC210&gt;=p_RRmin,10,IF(BC210&gt;=1.5,4,0)))</f>
        <v>4</v>
      </c>
      <c r="CD210" s="42" t="n">
        <f aca="false">BY210+BZ210+CA210+CB210+CC210</f>
        <v>47</v>
      </c>
      <c r="CE210" s="42" t="n">
        <f aca="false">IF(AND(BS210&lt;&gt;1,BW210+BX210=0),1,0)</f>
        <v>0</v>
      </c>
      <c r="CF210" s="42" t="n">
        <f aca="false">IF(BU210=-1,1,0)</f>
        <v>0</v>
      </c>
      <c r="CG210" s="42" t="n">
        <f aca="false">IF(S210=-1,1,0)</f>
        <v>0</v>
      </c>
      <c r="CH210" s="42" t="n">
        <f aca="false">IF(BV210+BW210+BX210=0,1,0)</f>
        <v>1</v>
      </c>
      <c r="CI210" s="42" t="n">
        <f aca="false">IF(BC210&lt;p_RRmin,1,0)</f>
        <v>1</v>
      </c>
      <c r="CJ210" s="46" t="str">
        <f aca="false">IF(SUM(CE210:CI210)=0,IF(CD210&gt;=p_GradeA,"A",IF(CD210&gt;=p_GradeB,"B","C")),IF(AND(CI210=1,SUM(CE210:CH210)=0,CD210&gt;=p_GradeB),"B","C"))</f>
        <v>C</v>
      </c>
    </row>
    <row r="211" customFormat="false" ht="15" hidden="false" customHeight="false" outlineLevel="0" collapsed="false">
      <c r="A211" s="36" t="n">
        <v>45947</v>
      </c>
      <c r="B211" s="37" t="n">
        <v>27.75</v>
      </c>
      <c r="C211" s="37" t="n">
        <v>27.92</v>
      </c>
      <c r="D211" s="37" t="n">
        <v>27.37</v>
      </c>
      <c r="E211" s="37" t="n">
        <v>27.43</v>
      </c>
      <c r="F211" s="38" t="n">
        <v>4176000</v>
      </c>
      <c r="G211" s="39" t="n">
        <f aca="false">A211-WEEKDAY(A211,3)</f>
        <v>45943</v>
      </c>
      <c r="H211" s="40" t="n">
        <f aca="false">2/(p_EmaF+1)*E211+(1-2/(p_EmaF+1))*H210</f>
        <v>27.1018418473171</v>
      </c>
      <c r="I211" s="40" t="n">
        <f aca="false">2/(p_EmaS+1)*E211+(1-2/(p_EmaS+1))*I210</f>
        <v>26.3806639415875</v>
      </c>
      <c r="J211" s="41" t="n">
        <f aca="false">2/(p_MacdF+1)*E211+(1-2/(p_MacdF+1))*J210</f>
        <v>27.1604187859809</v>
      </c>
      <c r="K211" s="41" t="n">
        <f aca="false">2/(p_MacdS+1)*E211+(1-2/(p_MacdS+1))*K210</f>
        <v>26.3806639415875</v>
      </c>
      <c r="L211" s="41" t="n">
        <f aca="false">J211-K211</f>
        <v>0.779754844393398</v>
      </c>
      <c r="M211" s="41" t="n">
        <f aca="false">2/(p_MacdSig+1)*L211+(1-2/(p_MacdSig+1))*M210</f>
        <v>0.776849379046841</v>
      </c>
      <c r="N211" s="41" t="n">
        <f aca="false">L211-M211</f>
        <v>0.00290546534655756</v>
      </c>
      <c r="O211" s="42" t="n">
        <f aca="false">IF(H211&gt;H210,1,0)</f>
        <v>1</v>
      </c>
      <c r="P211" s="42" t="n">
        <f aca="false">IF(H211&lt;H210,1,0)</f>
        <v>0</v>
      </c>
      <c r="Q211" s="42" t="n">
        <f aca="false">IF(N211&gt;N210,1,0)</f>
        <v>0</v>
      </c>
      <c r="R211" s="42" t="n">
        <f aca="false">IF(N211&lt;N210,1,0)</f>
        <v>1</v>
      </c>
      <c r="S211" s="42" t="n">
        <f aca="false">IF(AND(O211=1,Q211=1),1,IF(AND(P211=1,R211=1),-1,0))</f>
        <v>0</v>
      </c>
      <c r="T211" s="43" t="str">
        <f aca="false">IF(S211=1,"绿",IF(S211=-1,"红","蓝"))</f>
        <v>蓝</v>
      </c>
      <c r="U211" s="44" t="n">
        <f aca="false">F211*(E211-E210)</f>
        <v>-1085760.00000001</v>
      </c>
      <c r="V211" s="44" t="n">
        <f aca="false">2/(p_FiS+1)*U211+(1-2/(p_FiS+1))*V210</f>
        <v>-763431.162486593</v>
      </c>
      <c r="W211" s="44" t="n">
        <f aca="false">2/(p_FiL+1)*U211+(1-2/(p_FiL+1))*W210</f>
        <v>260569.541156283</v>
      </c>
      <c r="X211" s="41" t="n">
        <f aca="false">MAX(C211-D211,ABS(C211-E210),ABS(D211-E210))</f>
        <v>0.550000000000001</v>
      </c>
      <c r="Y211" s="41" t="n">
        <f aca="true">AVERAGE(OFFSET(X211,1-MIN(p_AtrN,ROW()-4),0,MIN(p_AtrN,ROW()-4),1))</f>
        <v>0.726923076923078</v>
      </c>
      <c r="Z211" s="41" t="n">
        <f aca="false">IF(AND(C211-C210&gt;D210-D211,C211-C210&gt;0),C211-C210,0)</f>
        <v>0</v>
      </c>
      <c r="AA211" s="41" t="n">
        <f aca="false">IF(AND(D210-D211&gt;C211-C210,D210-D211&gt;0),D210-D211,0)</f>
        <v>0.279999999999998</v>
      </c>
      <c r="AB211" s="41" t="n">
        <f aca="false">2/(p_AdxN+1)*X211+(1-2/(p_AdxN+1))*AB210</f>
        <v>0.659109226348128</v>
      </c>
      <c r="AC211" s="41" t="n">
        <f aca="false">2/(p_AdxN+1)*Z211+(1-2/(p_AdxN+1))*AC210</f>
        <v>0.180627613970709</v>
      </c>
      <c r="AD211" s="41" t="n">
        <f aca="false">2/(p_AdxN+1)*AA211+(1-2/(p_AdxN+1))*AD210</f>
        <v>0.0903319470707422</v>
      </c>
      <c r="AE211" s="45" t="n">
        <f aca="false">100*AC211/AB211</f>
        <v>27.4048073900433</v>
      </c>
      <c r="AF211" s="45" t="n">
        <f aca="false">100*AD211/AB211</f>
        <v>13.7051559073504</v>
      </c>
      <c r="AG211" s="45" t="n">
        <f aca="false">IFERROR(100*ABS(AE211-AF211)/(AE211+AF211),0)</f>
        <v>33.3244069900723</v>
      </c>
      <c r="AH211" s="45" t="n">
        <f aca="false">2/(p_AdxN+1)*AG211+(1-2/(p_AdxN+1))*AH210</f>
        <v>44.1392368257779</v>
      </c>
      <c r="AI211" s="40" t="n">
        <f aca="false">I211*(1+p_ChPct)</f>
        <v>27.9635037780828</v>
      </c>
      <c r="AJ211" s="40" t="n">
        <f aca="false">I211*(1-p_ChPct)</f>
        <v>24.7978241050923</v>
      </c>
      <c r="AK211" s="40" t="n">
        <f aca="false">I211+1*Y211</f>
        <v>27.1075870185106</v>
      </c>
      <c r="AL211" s="40" t="n">
        <f aca="false">I211+2*Y211</f>
        <v>27.8345100954337</v>
      </c>
      <c r="AM211" s="40" t="n">
        <f aca="false">I211+3*Y211</f>
        <v>28.5614331723567</v>
      </c>
      <c r="AN211" s="40" t="n">
        <f aca="false">I211-1*Y211</f>
        <v>25.6537408646644</v>
      </c>
      <c r="AO211" s="40" t="n">
        <f aca="false">I211-2*Y211</f>
        <v>24.9268177877414</v>
      </c>
      <c r="AP211" s="40" t="n">
        <f aca="false">I211-3*Y211</f>
        <v>24.1998947108183</v>
      </c>
      <c r="AQ211" s="40" t="n">
        <f aca="true">MAX(OFFSET(C211,1-MIN(p_StochN,ROW()-4),0,MIN(p_StochN,ROW()-4),1))</f>
        <v>28.05</v>
      </c>
      <c r="AR211" s="40" t="n">
        <f aca="true">MIN(OFFSET(D211,1-MIN(p_StochN,ROW()-4),0,MIN(p_StochN,ROW()-4),1))</f>
        <v>26.71</v>
      </c>
      <c r="AS211" s="45" t="n">
        <f aca="false">IF(AQ211=AR211,50,100*(E211-AR211)/(AQ211-AR211))</f>
        <v>53.731343283582</v>
      </c>
      <c r="AT211" s="45" t="n">
        <f aca="true">AVERAGE(OFFSET(AS211,1-MIN(p_StochSm,ROW()-4),0,MIN(p_StochSm,ROW()-4),1))</f>
        <v>71.5336361669911</v>
      </c>
      <c r="AU211" s="45" t="n">
        <f aca="true">AVERAGE(OFFSET(AT211,1-MIN(p_StochSm,ROW()-4),0,MIN(p_StochSm,ROW()-4),1))</f>
        <v>72.0647335405353</v>
      </c>
      <c r="AV211" s="41" t="n">
        <f aca="false">MAX(0,H211-D211)</f>
        <v>0</v>
      </c>
      <c r="AW211" s="41" t="n">
        <f aca="true">IF(COUNTIF(OFFSET(AV211,1-MIN(p_PenLb,ROW()-4),0,MIN(p_PenLb,ROW()-4),1),"&gt;0")&gt;0,SUM(OFFSET(AV211,1-MIN(p_PenLb,ROW()-4),0,MIN(p_PenLb,ROW()-4),1))/COUNTIF(OFFSET(AV211,1-MIN(p_PenLb,ROW()-4),0,MIN(p_PenLb,ROW()-4),1),"&gt;0"),0.5*Y211)</f>
        <v>0.472859015703672</v>
      </c>
      <c r="AX211" s="41" t="n">
        <f aca="false">2*H211-H210</f>
        <v>27.1565348727643</v>
      </c>
      <c r="AY211" s="40" t="n">
        <f aca="false">ROUND(MAX(AX211-AW211,0.01),2)</f>
        <v>26.68</v>
      </c>
      <c r="AZ211" s="40" t="n">
        <f aca="true">IF(MIN(p_StopLb,ROW()-4)&lt;2,D211,SMALL(OFFSET(D211,1-MIN(p_StopLb,ROW()-4),0,MIN(p_StopLb,ROW()-4),1),2))</f>
        <v>26.71</v>
      </c>
      <c r="BA211" s="40" t="n">
        <f aca="false">IF(MOD(ROUND(ROUNDDOWN(MIN(AZ211-0.01,AY211-p_StopAtr*Y211),2)*100,0),50)=0,ROUNDDOWN(MIN(AZ211-0.01,AY211-p_StopAtr*Y211),2)-0.01,ROUNDDOWN(MIN(AZ211-0.01,AY211-p_StopAtr*Y211),2))</f>
        <v>25.95</v>
      </c>
      <c r="BB211" s="40" t="n">
        <f aca="false">ROUND(AI211,2)</f>
        <v>27.96</v>
      </c>
      <c r="BC211" s="40" t="n">
        <f aca="false">IF(AY211-BA211&gt;0,(BB211-AY211)/(AY211-BA211),0)</f>
        <v>1.75342465753425</v>
      </c>
      <c r="BD211" s="42" t="n">
        <f aca="false">IF(N211&lt;0,1,0)</f>
        <v>0</v>
      </c>
      <c r="BE211" s="41" t="n">
        <f aca="false">IF(AND(BD211=1,BD210=0),N211,IF(BD211=1,MIN(BE210,N211),BE210))</f>
        <v>-0.0622611748996084</v>
      </c>
      <c r="BF211" s="40" t="n">
        <f aca="false">IF(AND(BD211=1,BD210=0),D211,IF(BD211=1,MIN(BF210,D211),BF210))</f>
        <v>23.33</v>
      </c>
      <c r="BG211" s="42" t="n">
        <f aca="false">IF(AND(BD211=1,BD210=0),ROW(),IF(BD211=1,IF(N211&lt;BE210,ROW(),BG210),BG210))</f>
        <v>190</v>
      </c>
      <c r="BH211" s="41" t="n">
        <f aca="false">IF(AND(BD211=1,BD210=0),BE210,BH210)</f>
        <v>-0.149433863515745</v>
      </c>
      <c r="BI211" s="40" t="n">
        <f aca="false">IF(AND(BD211=1,BD210=0),BF210,BI210)</f>
        <v>23.49</v>
      </c>
      <c r="BJ211" s="42" t="n">
        <f aca="false">IF(AND(BD211=1,BD210=0),BG210,BJ210)</f>
        <v>179</v>
      </c>
      <c r="BK211" s="42" t="n">
        <f aca="false">IF(AND(ISNUMBER(BG211),ISNUMBER(BJ211)),BG211-BJ211,"")</f>
        <v>11</v>
      </c>
      <c r="BL211" s="42" t="n">
        <f aca="false">IF(AND(BD211=1,N211&gt;N210,ISNUMBER(BH211),ISNUMBER(BK211)),IF(AND(BE211&gt;BH211,BF211&lt;BI211,BK211&gt;=p_GapMin,BK211&lt;=p_GapMax),1,0),0)</f>
        <v>0</v>
      </c>
      <c r="BM211" s="42" t="n">
        <f aca="false">IF(AND(BL211=1,E211&gt;BI211),1,0)</f>
        <v>0</v>
      </c>
      <c r="BN211" s="42" t="n">
        <f aca="false">IF(BL211=1,IF(BE211&gt;=BH211*0.5,1,0),0)</f>
        <v>0</v>
      </c>
      <c r="BO211" s="42" t="n">
        <f aca="true">IF(V211&gt;MIN(OFFSET(V211,-MIN(p_FiLb-1,ROW()-5),0,MIN(p_FiLb-1,ROW()-5),1)),1,0)</f>
        <v>1</v>
      </c>
      <c r="BP211" s="44" t="n">
        <f aca="true">IF(COUNTIF(OFFSET(V211,1-MIN(100,ROW()-4),0,MIN(100,ROW()-4),1),"&lt;0")&gt;=5,AVERAGEIF(OFFSET(V211,1-MIN(100,ROW()-4),0,MIN(100,ROW()-4),1),"&lt;0"),"")</f>
        <v>-817540.873076114</v>
      </c>
      <c r="BQ211" s="42" t="n">
        <f aca="false">IF(ISNUMBER(BP211),IF(AND(V211&lt;5*BP211,V211&gt;V210,E211&lt;AJ211),1,0),0)</f>
        <v>0</v>
      </c>
      <c r="BR211" s="44" t="n">
        <f aca="true">AVERAGE(OFFSET(F211,1-MIN(5,ROW()-4),0,MIN(5,ROW()-4),1))</f>
        <v>3622280</v>
      </c>
      <c r="BS211" s="42" t="n">
        <f aca="false">IFERROR(IF(MATCH(G211,周线!$A$5:$A$84,0)&lt;=1,"",INDEX(周线!$R$5:$R$84,MATCH(G211,周线!$A$5:$A$84,0)-1)),"")</f>
        <v>1</v>
      </c>
      <c r="BT211" s="42" t="n">
        <f aca="false">IFERROR(IF(MATCH(G211,周线!$A$5:$A$84,0)&lt;=1,"",INDEX(周线!$S$5:$S$84,MATCH(G211,周线!$A$5:$A$84,0)-1)),"")</f>
        <v>1</v>
      </c>
      <c r="BU211" s="42" t="n">
        <f aca="false">IFERROR(IF(MATCH(G211,周线!$A$5:$A$84,0)&lt;=1,"",INDEX(周线!$U$5:$U$84,MATCH(G211,周线!$A$5:$A$84,0)-1)),"")</f>
        <v>1</v>
      </c>
      <c r="BV211" s="42" t="n">
        <f aca="false">IF(AND(BS211=1,S211&lt;&gt;-1,V211&lt;0,BO211=1,E211&lt;=H211,E211&gt;=AJ211),1,0)</f>
        <v>0</v>
      </c>
      <c r="BW211" s="42" t="n">
        <f aca="false">BL211</f>
        <v>0</v>
      </c>
      <c r="BX211" s="42" t="n">
        <f aca="false">BQ211</f>
        <v>0</v>
      </c>
      <c r="BY211" s="42" t="n">
        <f aca="false">IF(BS211=1,10,0)+IF(BU211=1,5,IF(BU211=-1,0,3))+IF(BT211=1,5,0)+IF(AND(AE211&gt;AF211,AH211&gt;AH210),5,0)</f>
        <v>20</v>
      </c>
      <c r="BZ211" s="42" t="n">
        <f aca="false">IF(AND(E211&lt;=H211,E211&gt;=I211),10,IF(AND(E211&gt;=AJ211,E211&lt;I211),6,0))+IF(AND(V211&lt;0,BO211=1),8,0)+IF(AT211&lt;30,7,IF(AT211&lt;50,3,0))</f>
        <v>8</v>
      </c>
      <c r="CA211" s="42" t="n">
        <f aca="false">IF(AND(BV211=1,BW211=1),25,IF(BW211=1,22,IF(BV211=1,15,IF(BX211=1,12,0))))</f>
        <v>0</v>
      </c>
      <c r="CB211" s="42" t="n">
        <f aca="false">IF(W211&gt;0,6,0)+IF(F211&lt;BR211,4,0)</f>
        <v>6</v>
      </c>
      <c r="CC211" s="42" t="n">
        <f aca="false">IF(BC211&gt;=3,15,IF(BC211&gt;=p_RRmin,10,IF(BC211&gt;=1.5,4,0)))</f>
        <v>4</v>
      </c>
      <c r="CD211" s="42" t="n">
        <f aca="false">BY211+BZ211+CA211+CB211+CC211</f>
        <v>38</v>
      </c>
      <c r="CE211" s="42" t="n">
        <f aca="false">IF(AND(BS211&lt;&gt;1,BW211+BX211=0),1,0)</f>
        <v>0</v>
      </c>
      <c r="CF211" s="42" t="n">
        <f aca="false">IF(BU211=-1,1,0)</f>
        <v>0</v>
      </c>
      <c r="CG211" s="42" t="n">
        <f aca="false">IF(S211=-1,1,0)</f>
        <v>0</v>
      </c>
      <c r="CH211" s="42" t="n">
        <f aca="false">IF(BV211+BW211+BX211=0,1,0)</f>
        <v>1</v>
      </c>
      <c r="CI211" s="42" t="n">
        <f aca="false">IF(BC211&lt;p_RRmin,1,0)</f>
        <v>1</v>
      </c>
      <c r="CJ211" s="46" t="str">
        <f aca="false">IF(SUM(CE211:CI211)=0,IF(CD211&gt;=p_GradeA,"A",IF(CD211&gt;=p_GradeB,"B","C")),IF(AND(CI211=1,SUM(CE211:CH211)=0,CD211&gt;=p_GradeB),"B","C"))</f>
        <v>C</v>
      </c>
    </row>
    <row r="212" customFormat="false" ht="15" hidden="false" customHeight="false" outlineLevel="0" collapsed="false">
      <c r="A212" s="36" t="n">
        <v>45950</v>
      </c>
      <c r="B212" s="37" t="n">
        <v>27.39</v>
      </c>
      <c r="C212" s="37" t="n">
        <v>27.67</v>
      </c>
      <c r="D212" s="37" t="n">
        <v>26.79</v>
      </c>
      <c r="E212" s="37" t="n">
        <v>27.17</v>
      </c>
      <c r="F212" s="38" t="n">
        <v>3137400</v>
      </c>
      <c r="G212" s="39" t="n">
        <f aca="false">A212-WEEKDAY(A212,3)</f>
        <v>45950</v>
      </c>
      <c r="H212" s="40" t="n">
        <f aca="false">2/(p_EmaF+1)*E212+(1-2/(p_EmaF+1))*H211</f>
        <v>27.1115787262718</v>
      </c>
      <c r="I212" s="40" t="n">
        <f aca="false">2/(p_EmaS+1)*E212+(1-2/(p_EmaS+1))*I211</f>
        <v>26.4391332792477</v>
      </c>
      <c r="J212" s="41" t="n">
        <f aca="false">2/(p_MacdF+1)*E212+(1-2/(p_MacdF+1))*J211</f>
        <v>27.1618928189069</v>
      </c>
      <c r="K212" s="41" t="n">
        <f aca="false">2/(p_MacdS+1)*E212+(1-2/(p_MacdS+1))*K211</f>
        <v>26.4391332792477</v>
      </c>
      <c r="L212" s="41" t="n">
        <f aca="false">J212-K212</f>
        <v>0.722759539659226</v>
      </c>
      <c r="M212" s="41" t="n">
        <f aca="false">2/(p_MacdSig+1)*L212+(1-2/(p_MacdSig+1))*M211</f>
        <v>0.766031411169318</v>
      </c>
      <c r="N212" s="41" t="n">
        <f aca="false">L212-M212</f>
        <v>-0.0432718715100922</v>
      </c>
      <c r="O212" s="42" t="n">
        <f aca="false">IF(H212&gt;H211,1,0)</f>
        <v>1</v>
      </c>
      <c r="P212" s="42" t="n">
        <f aca="false">IF(H212&lt;H211,1,0)</f>
        <v>0</v>
      </c>
      <c r="Q212" s="42" t="n">
        <f aca="false">IF(N212&gt;N211,1,0)</f>
        <v>0</v>
      </c>
      <c r="R212" s="42" t="n">
        <f aca="false">IF(N212&lt;N211,1,0)</f>
        <v>1</v>
      </c>
      <c r="S212" s="42" t="n">
        <f aca="false">IF(AND(O212=1,Q212=1),1,IF(AND(P212=1,R212=1),-1,0))</f>
        <v>0</v>
      </c>
      <c r="T212" s="43" t="str">
        <f aca="false">IF(S212=1,"绿",IF(S212=-1,"红","蓝"))</f>
        <v>蓝</v>
      </c>
      <c r="U212" s="44" t="n">
        <f aca="false">F212*(E212-E211)</f>
        <v>-815723.999999994</v>
      </c>
      <c r="V212" s="44" t="n">
        <f aca="false">2/(p_FiS+1)*U212+(1-2/(p_FiS+1))*V211</f>
        <v>-798293.054162193</v>
      </c>
      <c r="W212" s="44" t="n">
        <f aca="false">2/(p_FiL+1)*U212+(1-2/(p_FiL+1))*W211</f>
        <v>106813.320991101</v>
      </c>
      <c r="X212" s="41" t="n">
        <f aca="false">MAX(C212-D212,ABS(C212-E211),ABS(D212-E211))</f>
        <v>0.880000000000003</v>
      </c>
      <c r="Y212" s="41" t="n">
        <f aca="true">AVERAGE(OFFSET(X212,1-MIN(p_AtrN,ROW()-4),0,MIN(p_AtrN,ROW()-4),1))</f>
        <v>0.716153846153847</v>
      </c>
      <c r="Z212" s="41" t="n">
        <f aca="false">IF(AND(C212-C211&gt;D211-D212,C212-C211&gt;0),C212-C211,0)</f>
        <v>0</v>
      </c>
      <c r="AA212" s="41" t="n">
        <f aca="false">IF(AND(D211-D212&gt;C212-C211,D211-D212&gt;0),D211-D212,0)</f>
        <v>0.580000000000002</v>
      </c>
      <c r="AB212" s="41" t="n">
        <f aca="false">2/(p_AdxN+1)*X212+(1-2/(p_AdxN+1))*AB211</f>
        <v>0.690665051155539</v>
      </c>
      <c r="AC212" s="41" t="n">
        <f aca="false">2/(p_AdxN+1)*Z212+(1-2/(p_AdxN+1))*AC211</f>
        <v>0.154823669117751</v>
      </c>
      <c r="AD212" s="41" t="n">
        <f aca="false">2/(p_AdxN+1)*AA212+(1-2/(p_AdxN+1))*AD211</f>
        <v>0.160284526060636</v>
      </c>
      <c r="AE212" s="45" t="n">
        <f aca="false">100*AC212/AB212</f>
        <v>22.4166068427406</v>
      </c>
      <c r="AF212" s="45" t="n">
        <f aca="false">100*AD212/AB212</f>
        <v>23.2072733074401</v>
      </c>
      <c r="AG212" s="45" t="n">
        <f aca="false">IFERROR(100*ABS(AE212-AF212)/(AE212+AF212),0)</f>
        <v>1.73301012999504</v>
      </c>
      <c r="AH212" s="45" t="n">
        <f aca="false">2/(p_AdxN+1)*AG212+(1-2/(p_AdxN+1))*AH211</f>
        <v>38.0812044406661</v>
      </c>
      <c r="AI212" s="40" t="n">
        <f aca="false">I212*(1+p_ChPct)</f>
        <v>28.0254812760026</v>
      </c>
      <c r="AJ212" s="40" t="n">
        <f aca="false">I212*(1-p_ChPct)</f>
        <v>24.8527852824928</v>
      </c>
      <c r="AK212" s="40" t="n">
        <f aca="false">I212+1*Y212</f>
        <v>27.1552871254015</v>
      </c>
      <c r="AL212" s="40" t="n">
        <f aca="false">I212+2*Y212</f>
        <v>27.8714409715554</v>
      </c>
      <c r="AM212" s="40" t="n">
        <f aca="false">I212+3*Y212</f>
        <v>28.5875948177092</v>
      </c>
      <c r="AN212" s="40" t="n">
        <f aca="false">I212-1*Y212</f>
        <v>25.7229794330939</v>
      </c>
      <c r="AO212" s="40" t="n">
        <f aca="false">I212-2*Y212</f>
        <v>25.00682558694</v>
      </c>
      <c r="AP212" s="40" t="n">
        <f aca="false">I212-3*Y212</f>
        <v>24.2906717407862</v>
      </c>
      <c r="AQ212" s="40" t="n">
        <f aca="true">MAX(OFFSET(C212,1-MIN(p_StochN,ROW()-4),0,MIN(p_StochN,ROW()-4),1))</f>
        <v>28.05</v>
      </c>
      <c r="AR212" s="40" t="n">
        <f aca="true">MIN(OFFSET(D212,1-MIN(p_StochN,ROW()-4),0,MIN(p_StochN,ROW()-4),1))</f>
        <v>26.79</v>
      </c>
      <c r="AS212" s="45" t="n">
        <f aca="false">IF(AQ212=AR212,50,100*(E212-AR212)/(AQ212-AR212))</f>
        <v>30.1587301587303</v>
      </c>
      <c r="AT212" s="45" t="n">
        <f aca="true">AVERAGE(OFFSET(AS212,1-MIN(p_StochSm,ROW()-4),0,MIN(p_StochSm,ROW()-4),1))</f>
        <v>52.6010389735244</v>
      </c>
      <c r="AU212" s="45" t="n">
        <f aca="true">AVERAGE(OFFSET(AT212,1-MIN(p_StochSm,ROW()-4),0,MIN(p_StochSm,ROW()-4),1))</f>
        <v>68.0245510066656</v>
      </c>
      <c r="AV212" s="41" t="n">
        <f aca="false">MAX(0,H212-D212)</f>
        <v>0.32157872627181</v>
      </c>
      <c r="AW212" s="41" t="n">
        <f aca="true">IF(COUNTIF(OFFSET(AV212,1-MIN(p_PenLb,ROW()-4),0,MIN(p_PenLb,ROW()-4),1),"&gt;0")&gt;0,SUM(OFFSET(AV212,1-MIN(p_PenLb,ROW()-4),0,MIN(p_PenLb,ROW()-4),1))/COUNTIF(OFFSET(AV212,1-MIN(p_PenLb,ROW()-4),0,MIN(p_PenLb,ROW()-4),1),"&gt;0"),0.5*Y212)</f>
        <v>0.447342032782014</v>
      </c>
      <c r="AX212" s="41" t="n">
        <f aca="false">2*H212-H211</f>
        <v>27.1213156052265</v>
      </c>
      <c r="AY212" s="40" t="n">
        <f aca="false">ROUND(MAX(AX212-AW212,0.01),2)</f>
        <v>26.67</v>
      </c>
      <c r="AZ212" s="40" t="n">
        <f aca="true">IF(MIN(p_StopLb,ROW()-4)&lt;2,D212,SMALL(OFFSET(D212,1-MIN(p_StopLb,ROW()-4),0,MIN(p_StopLb,ROW()-4),1),2))</f>
        <v>26.71</v>
      </c>
      <c r="BA212" s="40" t="n">
        <f aca="false">IF(MOD(ROUND(ROUNDDOWN(MIN(AZ212-0.01,AY212-p_StopAtr*Y212),2)*100,0),50)=0,ROUNDDOWN(MIN(AZ212-0.01,AY212-p_StopAtr*Y212),2)-0.01,ROUNDDOWN(MIN(AZ212-0.01,AY212-p_StopAtr*Y212),2))</f>
        <v>25.95</v>
      </c>
      <c r="BB212" s="40" t="n">
        <f aca="false">ROUND(AI212,2)</f>
        <v>28.03</v>
      </c>
      <c r="BC212" s="40" t="n">
        <f aca="false">IF(AY212-BA212&gt;0,(BB212-AY212)/(AY212-BA212),0)</f>
        <v>1.88888888888888</v>
      </c>
      <c r="BD212" s="42" t="n">
        <f aca="false">IF(N212&lt;0,1,0)</f>
        <v>1</v>
      </c>
      <c r="BE212" s="41" t="n">
        <f aca="false">IF(AND(BD212=1,BD211=0),N212,IF(BD212=1,MIN(BE211,N212),BE211))</f>
        <v>-0.0432718715100922</v>
      </c>
      <c r="BF212" s="40" t="n">
        <f aca="false">IF(AND(BD212=1,BD211=0),D212,IF(BD212=1,MIN(BF211,D212),BF211))</f>
        <v>26.79</v>
      </c>
      <c r="BG212" s="42" t="n">
        <f aca="false">IF(AND(BD212=1,BD211=0),ROW(),IF(BD212=1,IF(N212&lt;BE211,ROW(),BG211),BG211))</f>
        <v>212</v>
      </c>
      <c r="BH212" s="41" t="n">
        <f aca="false">IF(AND(BD212=1,BD211=0),BE211,BH211)</f>
        <v>-0.0622611748996084</v>
      </c>
      <c r="BI212" s="40" t="n">
        <f aca="false">IF(AND(BD212=1,BD211=0),BF211,BI211)</f>
        <v>23.33</v>
      </c>
      <c r="BJ212" s="42" t="n">
        <f aca="false">IF(AND(BD212=1,BD211=0),BG211,BJ211)</f>
        <v>190</v>
      </c>
      <c r="BK212" s="42" t="n">
        <f aca="false">IF(AND(ISNUMBER(BG212),ISNUMBER(BJ212)),BG212-BJ212,"")</f>
        <v>22</v>
      </c>
      <c r="BL212" s="42" t="n">
        <f aca="false">IF(AND(BD212=1,N212&gt;N211,ISNUMBER(BH212),ISNUMBER(BK212)),IF(AND(BE212&gt;BH212,BF212&lt;BI212,BK212&gt;=p_GapMin,BK212&lt;=p_GapMax),1,0),0)</f>
        <v>0</v>
      </c>
      <c r="BM212" s="42" t="n">
        <f aca="false">IF(AND(BL212=1,E212&gt;BI212),1,0)</f>
        <v>0</v>
      </c>
      <c r="BN212" s="42" t="n">
        <f aca="false">IF(BL212=1,IF(BE212&gt;=BH212*0.5,1,0),0)</f>
        <v>0</v>
      </c>
      <c r="BO212" s="42" t="n">
        <f aca="true">IF(V212&gt;MIN(OFFSET(V212,-MIN(p_FiLb-1,ROW()-5),0,MIN(p_FiLb-1,ROW()-5),1)),1,0)</f>
        <v>1</v>
      </c>
      <c r="BP212" s="44" t="n">
        <f aca="true">IF(COUNTIF(OFFSET(V212,1-MIN(100,ROW()-4),0,MIN(100,ROW()-4),1),"&lt;0")&gt;=5,AVERAGEIF(OFFSET(V212,1-MIN(100,ROW()-4),0,MIN(100,ROW()-4),1),"&lt;0"),"")</f>
        <v>-803773.030750405</v>
      </c>
      <c r="BQ212" s="42" t="n">
        <f aca="false">IF(ISNUMBER(BP212),IF(AND(V212&lt;5*BP212,V212&gt;V211,E212&lt;AJ212),1,0),0)</f>
        <v>0</v>
      </c>
      <c r="BR212" s="44" t="n">
        <f aca="true">AVERAGE(OFFSET(F212,1-MIN(5,ROW()-4),0,MIN(5,ROW()-4),1))</f>
        <v>3589660</v>
      </c>
      <c r="BS212" s="42" t="n">
        <f aca="false">IFERROR(IF(MATCH(G212,周线!$A$5:$A$84,0)&lt;=1,"",INDEX(周线!$R$5:$R$84,MATCH(G212,周线!$A$5:$A$84,0)-1)),"")</f>
        <v>1</v>
      </c>
      <c r="BT212" s="42" t="n">
        <f aca="false">IFERROR(IF(MATCH(G212,周线!$A$5:$A$84,0)&lt;=1,"",INDEX(周线!$S$5:$S$84,MATCH(G212,周线!$A$5:$A$84,0)-1)),"")</f>
        <v>1</v>
      </c>
      <c r="BU212" s="42" t="n">
        <f aca="false">IFERROR(IF(MATCH(G212,周线!$A$5:$A$84,0)&lt;=1,"",INDEX(周线!$U$5:$U$84,MATCH(G212,周线!$A$5:$A$84,0)-1)),"")</f>
        <v>1</v>
      </c>
      <c r="BV212" s="42" t="n">
        <f aca="false">IF(AND(BS212=1,S212&lt;&gt;-1,V212&lt;0,BO212=1,E212&lt;=H212,E212&gt;=AJ212),1,0)</f>
        <v>0</v>
      </c>
      <c r="BW212" s="42" t="n">
        <f aca="false">BL212</f>
        <v>0</v>
      </c>
      <c r="BX212" s="42" t="n">
        <f aca="false">BQ212</f>
        <v>0</v>
      </c>
      <c r="BY212" s="42" t="n">
        <f aca="false">IF(BS212=1,10,0)+IF(BU212=1,5,IF(BU212=-1,0,3))+IF(BT212=1,5,0)+IF(AND(AE212&gt;AF212,AH212&gt;AH211),5,0)</f>
        <v>20</v>
      </c>
      <c r="BZ212" s="42" t="n">
        <f aca="false">IF(AND(E212&lt;=H212,E212&gt;=I212),10,IF(AND(E212&gt;=AJ212,E212&lt;I212),6,0))+IF(AND(V212&lt;0,BO212=1),8,0)+IF(AT212&lt;30,7,IF(AT212&lt;50,3,0))</f>
        <v>8</v>
      </c>
      <c r="CA212" s="42" t="n">
        <f aca="false">IF(AND(BV212=1,BW212=1),25,IF(BW212=1,22,IF(BV212=1,15,IF(BX212=1,12,0))))</f>
        <v>0</v>
      </c>
      <c r="CB212" s="42" t="n">
        <f aca="false">IF(W212&gt;0,6,0)+IF(F212&lt;BR212,4,0)</f>
        <v>10</v>
      </c>
      <c r="CC212" s="42" t="n">
        <f aca="false">IF(BC212&gt;=3,15,IF(BC212&gt;=p_RRmin,10,IF(BC212&gt;=1.5,4,0)))</f>
        <v>4</v>
      </c>
      <c r="CD212" s="42" t="n">
        <f aca="false">BY212+BZ212+CA212+CB212+CC212</f>
        <v>42</v>
      </c>
      <c r="CE212" s="42" t="n">
        <f aca="false">IF(AND(BS212&lt;&gt;1,BW212+BX212=0),1,0)</f>
        <v>0</v>
      </c>
      <c r="CF212" s="42" t="n">
        <f aca="false">IF(BU212=-1,1,0)</f>
        <v>0</v>
      </c>
      <c r="CG212" s="42" t="n">
        <f aca="false">IF(S212=-1,1,0)</f>
        <v>0</v>
      </c>
      <c r="CH212" s="42" t="n">
        <f aca="false">IF(BV212+BW212+BX212=0,1,0)</f>
        <v>1</v>
      </c>
      <c r="CI212" s="42" t="n">
        <f aca="false">IF(BC212&lt;p_RRmin,1,0)</f>
        <v>1</v>
      </c>
      <c r="CJ212" s="46" t="str">
        <f aca="false">IF(SUM(CE212:CI212)=0,IF(CD212&gt;=p_GradeA,"A",IF(CD212&gt;=p_GradeB,"B","C")),IF(AND(CI212=1,SUM(CE212:CH212)=0,CD212&gt;=p_GradeB),"B","C"))</f>
        <v>C</v>
      </c>
    </row>
    <row r="213" customFormat="false" ht="15" hidden="false" customHeight="false" outlineLevel="0" collapsed="false">
      <c r="A213" s="36" t="n">
        <v>45951</v>
      </c>
      <c r="B213" s="37" t="n">
        <v>27.26</v>
      </c>
      <c r="C213" s="37" t="n">
        <v>27.74</v>
      </c>
      <c r="D213" s="37" t="n">
        <v>27.05</v>
      </c>
      <c r="E213" s="37" t="n">
        <v>27.57</v>
      </c>
      <c r="F213" s="38" t="n">
        <v>5044800</v>
      </c>
      <c r="G213" s="39" t="n">
        <f aca="false">A213-WEEKDAY(A213,3)</f>
        <v>45950</v>
      </c>
      <c r="H213" s="40" t="n">
        <f aca="false">2/(p_EmaF+1)*E213+(1-2/(p_EmaF+1))*H212</f>
        <v>27.1770674796616</v>
      </c>
      <c r="I213" s="40" t="n">
        <f aca="false">2/(p_EmaS+1)*E213+(1-2/(p_EmaS+1))*I212</f>
        <v>26.5229011844886</v>
      </c>
      <c r="J213" s="41" t="n">
        <f aca="false">2/(p_MacdF+1)*E213+(1-2/(p_MacdF+1))*J212</f>
        <v>27.2246785390751</v>
      </c>
      <c r="K213" s="41" t="n">
        <f aca="false">2/(p_MacdS+1)*E213+(1-2/(p_MacdS+1))*K212</f>
        <v>26.5229011844886</v>
      </c>
      <c r="L213" s="41" t="n">
        <f aca="false">J213-K213</f>
        <v>0.701777354586479</v>
      </c>
      <c r="M213" s="41" t="n">
        <f aca="false">2/(p_MacdSig+1)*L213+(1-2/(p_MacdSig+1))*M212</f>
        <v>0.75318059985275</v>
      </c>
      <c r="N213" s="41" t="n">
        <f aca="false">L213-M213</f>
        <v>-0.0514032452662709</v>
      </c>
      <c r="O213" s="42" t="n">
        <f aca="false">IF(H213&gt;H212,1,0)</f>
        <v>1</v>
      </c>
      <c r="P213" s="42" t="n">
        <f aca="false">IF(H213&lt;H212,1,0)</f>
        <v>0</v>
      </c>
      <c r="Q213" s="42" t="n">
        <f aca="false">IF(N213&gt;N212,1,0)</f>
        <v>0</v>
      </c>
      <c r="R213" s="42" t="n">
        <f aca="false">IF(N213&lt;N212,1,0)</f>
        <v>1</v>
      </c>
      <c r="S213" s="42" t="n">
        <f aca="false">IF(AND(O213=1,Q213=1),1,IF(AND(P213=1,R213=1),-1,0))</f>
        <v>0</v>
      </c>
      <c r="T213" s="43" t="str">
        <f aca="false">IF(S213=1,"绿",IF(S213=-1,"红","蓝"))</f>
        <v>蓝</v>
      </c>
      <c r="U213" s="44" t="n">
        <f aca="false">F213*(E213-E212)</f>
        <v>2017919.99999999</v>
      </c>
      <c r="V213" s="44" t="n">
        <f aca="false">2/(p_FiS+1)*U213+(1-2/(p_FiS+1))*V212</f>
        <v>1079182.31527926</v>
      </c>
      <c r="W213" s="44" t="n">
        <f aca="false">2/(p_FiL+1)*U213+(1-2/(p_FiL+1))*W212</f>
        <v>379828.560849514</v>
      </c>
      <c r="X213" s="41" t="n">
        <f aca="false">MAX(C213-D213,ABS(C213-E212),ABS(D213-E212))</f>
        <v>0.689999999999998</v>
      </c>
      <c r="Y213" s="41" t="n">
        <f aca="true">AVERAGE(OFFSET(X213,1-MIN(p_AtrN,ROW()-4),0,MIN(p_AtrN,ROW()-4),1))</f>
        <v>0.716923076923078</v>
      </c>
      <c r="Z213" s="41" t="n">
        <f aca="false">IF(AND(C213-C212&gt;D212-D213,C213-C212&gt;0),C213-C212,0)</f>
        <v>0.0699999999999967</v>
      </c>
      <c r="AA213" s="41" t="n">
        <f aca="false">IF(AND(D212-D213&gt;C213-C212,D212-D213&gt;0),D212-D213,0)</f>
        <v>0</v>
      </c>
      <c r="AB213" s="41" t="n">
        <f aca="false">2/(p_AdxN+1)*X213+(1-2/(p_AdxN+1))*AB212</f>
        <v>0.690570043847604</v>
      </c>
      <c r="AC213" s="41" t="n">
        <f aca="false">2/(p_AdxN+1)*Z213+(1-2/(p_AdxN+1))*AC212</f>
        <v>0.142706002100929</v>
      </c>
      <c r="AD213" s="41" t="n">
        <f aca="false">2/(p_AdxN+1)*AA213+(1-2/(p_AdxN+1))*AD212</f>
        <v>0.137386736623403</v>
      </c>
      <c r="AE213" s="45" t="n">
        <f aca="false">100*AC213/AB213</f>
        <v>20.6649569254152</v>
      </c>
      <c r="AF213" s="45" t="n">
        <f aca="false">100*AD213/AB213</f>
        <v>19.8946852455305</v>
      </c>
      <c r="AG213" s="45" t="n">
        <f aca="false">IFERROR(100*ABS(AE213-AF213)/(AE213+AF213),0)</f>
        <v>1.89910866727648</v>
      </c>
      <c r="AH213" s="45" t="n">
        <f aca="false">2/(p_AdxN+1)*AG213+(1-2/(p_AdxN+1))*AH212</f>
        <v>32.9123336158962</v>
      </c>
      <c r="AI213" s="40" t="n">
        <f aca="false">I213*(1+p_ChPct)</f>
        <v>28.1142752555579</v>
      </c>
      <c r="AJ213" s="40" t="n">
        <f aca="false">I213*(1-p_ChPct)</f>
        <v>24.9315271134193</v>
      </c>
      <c r="AK213" s="40" t="n">
        <f aca="false">I213+1*Y213</f>
        <v>27.2398242614117</v>
      </c>
      <c r="AL213" s="40" t="n">
        <f aca="false">I213+2*Y213</f>
        <v>27.9567473383348</v>
      </c>
      <c r="AM213" s="40" t="n">
        <f aca="false">I213+3*Y213</f>
        <v>28.6736704152578</v>
      </c>
      <c r="AN213" s="40" t="n">
        <f aca="false">I213-1*Y213</f>
        <v>25.8059781075655</v>
      </c>
      <c r="AO213" s="40" t="n">
        <f aca="false">I213-2*Y213</f>
        <v>25.0890550306425</v>
      </c>
      <c r="AP213" s="40" t="n">
        <f aca="false">I213-3*Y213</f>
        <v>24.3721319537194</v>
      </c>
      <c r="AQ213" s="40" t="n">
        <f aca="true">MAX(OFFSET(C213,1-MIN(p_StochN,ROW()-4),0,MIN(p_StochN,ROW()-4),1))</f>
        <v>28.05</v>
      </c>
      <c r="AR213" s="40" t="n">
        <f aca="true">MIN(OFFSET(D213,1-MIN(p_StochN,ROW()-4),0,MIN(p_StochN,ROW()-4),1))</f>
        <v>26.79</v>
      </c>
      <c r="AS213" s="45" t="n">
        <f aca="false">IF(AQ213=AR213,50,100*(E213-AR213)/(AQ213-AR213))</f>
        <v>61.9047619047619</v>
      </c>
      <c r="AT213" s="45" t="n">
        <f aca="true">AVERAGE(OFFSET(AS213,1-MIN(p_StochSm,ROW()-4),0,MIN(p_StochSm,ROW()-4),1))</f>
        <v>48.5982784490248</v>
      </c>
      <c r="AU213" s="45" t="n">
        <f aca="true">AVERAGE(OFFSET(AT213,1-MIN(p_StochSm,ROW()-4),0,MIN(p_StochSm,ROW()-4),1))</f>
        <v>57.5776511965134</v>
      </c>
      <c r="AV213" s="41" t="n">
        <f aca="false">MAX(0,H213-D213)</f>
        <v>0.127067479661552</v>
      </c>
      <c r="AW213" s="41" t="n">
        <f aca="true">IF(COUNTIF(OFFSET(AV213,1-MIN(p_PenLb,ROW()-4),0,MIN(p_PenLb,ROW()-4),1),"&gt;0")&gt;0,SUM(OFFSET(AV213,1-MIN(p_PenLb,ROW()-4),0,MIN(p_PenLb,ROW()-4),1))/COUNTIF(OFFSET(AV213,1-MIN(p_PenLb,ROW()-4),0,MIN(p_PenLb,ROW()-4),1),"&gt;0"),0.5*Y213)</f>
        <v>0.43893972088998</v>
      </c>
      <c r="AX213" s="41" t="n">
        <f aca="false">2*H213-H212</f>
        <v>27.2425562330513</v>
      </c>
      <c r="AY213" s="40" t="n">
        <f aca="false">ROUND(MAX(AX213-AW213,0.01),2)</f>
        <v>26.8</v>
      </c>
      <c r="AZ213" s="40" t="n">
        <f aca="true">IF(MIN(p_StopLb,ROW()-4)&lt;2,D213,SMALL(OFFSET(D213,1-MIN(p_StopLb,ROW()-4),0,MIN(p_StopLb,ROW()-4),1),2))</f>
        <v>26.71</v>
      </c>
      <c r="BA213" s="40" t="n">
        <f aca="false">IF(MOD(ROUND(ROUNDDOWN(MIN(AZ213-0.01,AY213-p_StopAtr*Y213),2)*100,0),50)=0,ROUNDDOWN(MIN(AZ213-0.01,AY213-p_StopAtr*Y213),2)-0.01,ROUNDDOWN(MIN(AZ213-0.01,AY213-p_StopAtr*Y213),2))</f>
        <v>26.08</v>
      </c>
      <c r="BB213" s="40" t="n">
        <f aca="false">ROUND(AI213,2)</f>
        <v>28.11</v>
      </c>
      <c r="BC213" s="40" t="n">
        <f aca="false">IF(AY213-BA213&gt;0,(BB213-AY213)/(AY213-BA213),0)</f>
        <v>1.81944444444444</v>
      </c>
      <c r="BD213" s="42" t="n">
        <f aca="false">IF(N213&lt;0,1,0)</f>
        <v>1</v>
      </c>
      <c r="BE213" s="41" t="n">
        <f aca="false">IF(AND(BD213=1,BD212=0),N213,IF(BD213=1,MIN(BE212,N213),BE212))</f>
        <v>-0.0514032452662709</v>
      </c>
      <c r="BF213" s="40" t="n">
        <f aca="false">IF(AND(BD213=1,BD212=0),D213,IF(BD213=1,MIN(BF212,D213),BF212))</f>
        <v>26.79</v>
      </c>
      <c r="BG213" s="42" t="n">
        <f aca="false">IF(AND(BD213=1,BD212=0),ROW(),IF(BD213=1,IF(N213&lt;BE212,ROW(),BG212),BG212))</f>
        <v>213</v>
      </c>
      <c r="BH213" s="41" t="n">
        <f aca="false">IF(AND(BD213=1,BD212=0),BE212,BH212)</f>
        <v>-0.0622611748996084</v>
      </c>
      <c r="BI213" s="40" t="n">
        <f aca="false">IF(AND(BD213=1,BD212=0),BF212,BI212)</f>
        <v>23.33</v>
      </c>
      <c r="BJ213" s="42" t="n">
        <f aca="false">IF(AND(BD213=1,BD212=0),BG212,BJ212)</f>
        <v>190</v>
      </c>
      <c r="BK213" s="42" t="n">
        <f aca="false">IF(AND(ISNUMBER(BG213),ISNUMBER(BJ213)),BG213-BJ213,"")</f>
        <v>23</v>
      </c>
      <c r="BL213" s="42" t="n">
        <f aca="false">IF(AND(BD213=1,N213&gt;N212,ISNUMBER(BH213),ISNUMBER(BK213)),IF(AND(BE213&gt;BH213,BF213&lt;BI213,BK213&gt;=p_GapMin,BK213&lt;=p_GapMax),1,0),0)</f>
        <v>0</v>
      </c>
      <c r="BM213" s="42" t="n">
        <f aca="false">IF(AND(BL213=1,E213&gt;BI213),1,0)</f>
        <v>0</v>
      </c>
      <c r="BN213" s="42" t="n">
        <f aca="false">IF(BL213=1,IF(BE213&gt;=BH213*0.5,1,0),0)</f>
        <v>0</v>
      </c>
      <c r="BO213" s="42" t="n">
        <f aca="true">IF(V213&gt;MIN(OFFSET(V213,-MIN(p_FiLb-1,ROW()-5),0,MIN(p_FiLb-1,ROW()-5),1)),1,0)</f>
        <v>1</v>
      </c>
      <c r="BP213" s="44" t="n">
        <f aca="true">IF(COUNTIF(OFFSET(V213,1-MIN(100,ROW()-4),0,MIN(100,ROW()-4),1),"&lt;0")&gt;=5,AVERAGEIF(OFFSET(V213,1-MIN(100,ROW()-4),0,MIN(100,ROW()-4),1),"&lt;0"),"")</f>
        <v>-820148.909587127</v>
      </c>
      <c r="BQ213" s="42" t="n">
        <f aca="false">IF(ISNUMBER(BP213),IF(AND(V213&lt;5*BP213,V213&gt;V212,E213&lt;AJ213),1,0),0)</f>
        <v>0</v>
      </c>
      <c r="BR213" s="44" t="n">
        <f aca="true">AVERAGE(OFFSET(F213,1-MIN(5,ROW()-4),0,MIN(5,ROW()-4),1))</f>
        <v>3751040</v>
      </c>
      <c r="BS213" s="42" t="n">
        <f aca="false">IFERROR(IF(MATCH(G213,周线!$A$5:$A$84,0)&lt;=1,"",INDEX(周线!$R$5:$R$84,MATCH(G213,周线!$A$5:$A$84,0)-1)),"")</f>
        <v>1</v>
      </c>
      <c r="BT213" s="42" t="n">
        <f aca="false">IFERROR(IF(MATCH(G213,周线!$A$5:$A$84,0)&lt;=1,"",INDEX(周线!$S$5:$S$84,MATCH(G213,周线!$A$5:$A$84,0)-1)),"")</f>
        <v>1</v>
      </c>
      <c r="BU213" s="42" t="n">
        <f aca="false">IFERROR(IF(MATCH(G213,周线!$A$5:$A$84,0)&lt;=1,"",INDEX(周线!$U$5:$U$84,MATCH(G213,周线!$A$5:$A$84,0)-1)),"")</f>
        <v>1</v>
      </c>
      <c r="BV213" s="42" t="n">
        <f aca="false">IF(AND(BS213=1,S213&lt;&gt;-1,V213&lt;0,BO213=1,E213&lt;=H213,E213&gt;=AJ213),1,0)</f>
        <v>0</v>
      </c>
      <c r="BW213" s="42" t="n">
        <f aca="false">BL213</f>
        <v>0</v>
      </c>
      <c r="BX213" s="42" t="n">
        <f aca="false">BQ213</f>
        <v>0</v>
      </c>
      <c r="BY213" s="42" t="n">
        <f aca="false">IF(BS213=1,10,0)+IF(BU213=1,5,IF(BU213=-1,0,3))+IF(BT213=1,5,0)+IF(AND(AE213&gt;AF213,AH213&gt;AH212),5,0)</f>
        <v>20</v>
      </c>
      <c r="BZ213" s="42" t="n">
        <f aca="false">IF(AND(E213&lt;=H213,E213&gt;=I213),10,IF(AND(E213&gt;=AJ213,E213&lt;I213),6,0))+IF(AND(V213&lt;0,BO213=1),8,0)+IF(AT213&lt;30,7,IF(AT213&lt;50,3,0))</f>
        <v>3</v>
      </c>
      <c r="CA213" s="42" t="n">
        <f aca="false">IF(AND(BV213=1,BW213=1),25,IF(BW213=1,22,IF(BV213=1,15,IF(BX213=1,12,0))))</f>
        <v>0</v>
      </c>
      <c r="CB213" s="42" t="n">
        <f aca="false">IF(W213&gt;0,6,0)+IF(F213&lt;BR213,4,0)</f>
        <v>6</v>
      </c>
      <c r="CC213" s="42" t="n">
        <f aca="false">IF(BC213&gt;=3,15,IF(BC213&gt;=p_RRmin,10,IF(BC213&gt;=1.5,4,0)))</f>
        <v>4</v>
      </c>
      <c r="CD213" s="42" t="n">
        <f aca="false">BY213+BZ213+CA213+CB213+CC213</f>
        <v>33</v>
      </c>
      <c r="CE213" s="42" t="n">
        <f aca="false">IF(AND(BS213&lt;&gt;1,BW213+BX213=0),1,0)</f>
        <v>0</v>
      </c>
      <c r="CF213" s="42" t="n">
        <f aca="false">IF(BU213=-1,1,0)</f>
        <v>0</v>
      </c>
      <c r="CG213" s="42" t="n">
        <f aca="false">IF(S213=-1,1,0)</f>
        <v>0</v>
      </c>
      <c r="CH213" s="42" t="n">
        <f aca="false">IF(BV213+BW213+BX213=0,1,0)</f>
        <v>1</v>
      </c>
      <c r="CI213" s="42" t="n">
        <f aca="false">IF(BC213&lt;p_RRmin,1,0)</f>
        <v>1</v>
      </c>
      <c r="CJ213" s="46" t="str">
        <f aca="false">IF(SUM(CE213:CI213)=0,IF(CD213&gt;=p_GradeA,"A",IF(CD213&gt;=p_GradeB,"B","C")),IF(AND(CI213=1,SUM(CE213:CH213)=0,CD213&gt;=p_GradeB),"B","C"))</f>
        <v>C</v>
      </c>
    </row>
    <row r="214" customFormat="false" ht="15" hidden="false" customHeight="false" outlineLevel="0" collapsed="false">
      <c r="A214" s="36" t="n">
        <v>45952</v>
      </c>
      <c r="B214" s="37" t="n">
        <v>27.59</v>
      </c>
      <c r="C214" s="37" t="n">
        <v>28.2</v>
      </c>
      <c r="D214" s="37" t="n">
        <v>27.43</v>
      </c>
      <c r="E214" s="37" t="n">
        <v>28.14</v>
      </c>
      <c r="F214" s="38" t="n">
        <v>4447200</v>
      </c>
      <c r="G214" s="39" t="n">
        <f aca="false">A214-WEEKDAY(A214,3)</f>
        <v>45950</v>
      </c>
      <c r="H214" s="40" t="n">
        <f aca="false">2/(p_EmaF+1)*E214+(1-2/(p_EmaF+1))*H213</f>
        <v>27.3146292682813</v>
      </c>
      <c r="I214" s="40" t="n">
        <f aca="false">2/(p_EmaS+1)*E214+(1-2/(p_EmaS+1))*I213</f>
        <v>26.6426862819339</v>
      </c>
      <c r="J214" s="41" t="n">
        <f aca="false">2/(p_MacdF+1)*E214+(1-2/(p_MacdF+1))*J213</f>
        <v>27.3654972253712</v>
      </c>
      <c r="K214" s="41" t="n">
        <f aca="false">2/(p_MacdS+1)*E214+(1-2/(p_MacdS+1))*K213</f>
        <v>26.6426862819339</v>
      </c>
      <c r="L214" s="41" t="n">
        <f aca="false">J214-K214</f>
        <v>0.722810943437331</v>
      </c>
      <c r="M214" s="41" t="n">
        <f aca="false">2/(p_MacdSig+1)*L214+(1-2/(p_MacdSig+1))*M213</f>
        <v>0.747106668569666</v>
      </c>
      <c r="N214" s="41" t="n">
        <f aca="false">L214-M214</f>
        <v>-0.0242957251323355</v>
      </c>
      <c r="O214" s="42" t="n">
        <f aca="false">IF(H214&gt;H213,1,0)</f>
        <v>1</v>
      </c>
      <c r="P214" s="42" t="n">
        <f aca="false">IF(H214&lt;H213,1,0)</f>
        <v>0</v>
      </c>
      <c r="Q214" s="42" t="n">
        <f aca="false">IF(N214&gt;N213,1,0)</f>
        <v>1</v>
      </c>
      <c r="R214" s="42" t="n">
        <f aca="false">IF(N214&lt;N213,1,0)</f>
        <v>0</v>
      </c>
      <c r="S214" s="42" t="n">
        <f aca="false">IF(AND(O214=1,Q214=1),1,IF(AND(P214=1,R214=1),-1,0))</f>
        <v>1</v>
      </c>
      <c r="T214" s="43" t="str">
        <f aca="false">IF(S214=1,"绿",IF(S214=-1,"红","蓝"))</f>
        <v>绿</v>
      </c>
      <c r="U214" s="44" t="n">
        <f aca="false">F214*(E214-E213)</f>
        <v>2534904</v>
      </c>
      <c r="V214" s="44" t="n">
        <f aca="false">2/(p_FiS+1)*U214+(1-2/(p_FiS+1))*V213</f>
        <v>2049663.43842642</v>
      </c>
      <c r="W214" s="44" t="n">
        <f aca="false">2/(p_FiL+1)*U214+(1-2/(p_FiL+1))*W213</f>
        <v>687696.480728155</v>
      </c>
      <c r="X214" s="41" t="n">
        <f aca="false">MAX(C214-D214,ABS(C214-E213),ABS(D214-E213))</f>
        <v>0.77</v>
      </c>
      <c r="Y214" s="41" t="n">
        <f aca="true">AVERAGE(OFFSET(X214,1-MIN(p_AtrN,ROW()-4),0,MIN(p_AtrN,ROW()-4),1))</f>
        <v>0.674615384615385</v>
      </c>
      <c r="Z214" s="41" t="n">
        <f aca="false">IF(AND(C214-C213&gt;D213-D214,C214-C213&gt;0),C214-C213,0)</f>
        <v>0.460000000000001</v>
      </c>
      <c r="AA214" s="41" t="n">
        <f aca="false">IF(AND(D213-D214&gt;C214-C213,D213-D214&gt;0),D213-D214,0)</f>
        <v>0</v>
      </c>
      <c r="AB214" s="41" t="n">
        <f aca="false">2/(p_AdxN+1)*X214+(1-2/(p_AdxN+1))*AB213</f>
        <v>0.701917180440804</v>
      </c>
      <c r="AC214" s="41" t="n">
        <f aca="false">2/(p_AdxN+1)*Z214+(1-2/(p_AdxN+1))*AC213</f>
        <v>0.18803371608651</v>
      </c>
      <c r="AD214" s="41" t="n">
        <f aca="false">2/(p_AdxN+1)*AA214+(1-2/(p_AdxN+1))*AD213</f>
        <v>0.117760059962917</v>
      </c>
      <c r="AE214" s="45" t="n">
        <f aca="false">100*AC214/AB214</f>
        <v>26.7885900681937</v>
      </c>
      <c r="AF214" s="45" t="n">
        <f aca="false">100*AD214/AB214</f>
        <v>16.7769165998991</v>
      </c>
      <c r="AG214" s="45" t="n">
        <f aca="false">IFERROR(100*ABS(AE214-AF214)/(AE214+AF214),0)</f>
        <v>22.9807346086191</v>
      </c>
      <c r="AH214" s="45" t="n">
        <f aca="false">2/(p_AdxN+1)*AG214+(1-2/(p_AdxN+1))*AH213</f>
        <v>31.4935337577137</v>
      </c>
      <c r="AI214" s="40" t="n">
        <f aca="false">I214*(1+p_ChPct)</f>
        <v>28.2412474588499</v>
      </c>
      <c r="AJ214" s="40" t="n">
        <f aca="false">I214*(1-p_ChPct)</f>
        <v>25.0441251050179</v>
      </c>
      <c r="AK214" s="40" t="n">
        <f aca="false">I214+1*Y214</f>
        <v>27.3173016665493</v>
      </c>
      <c r="AL214" s="40" t="n">
        <f aca="false">I214+2*Y214</f>
        <v>27.9919170511647</v>
      </c>
      <c r="AM214" s="40" t="n">
        <f aca="false">I214+3*Y214</f>
        <v>28.6665324357801</v>
      </c>
      <c r="AN214" s="40" t="n">
        <f aca="false">I214-1*Y214</f>
        <v>25.9680708973185</v>
      </c>
      <c r="AO214" s="40" t="n">
        <f aca="false">I214-2*Y214</f>
        <v>25.2934555127031</v>
      </c>
      <c r="AP214" s="40" t="n">
        <f aca="false">I214-3*Y214</f>
        <v>24.6188401280877</v>
      </c>
      <c r="AQ214" s="40" t="n">
        <f aca="true">MAX(OFFSET(C214,1-MIN(p_StochN,ROW()-4),0,MIN(p_StochN,ROW()-4),1))</f>
        <v>28.2</v>
      </c>
      <c r="AR214" s="40" t="n">
        <f aca="true">MIN(OFFSET(D214,1-MIN(p_StochN,ROW()-4),0,MIN(p_StochN,ROW()-4),1))</f>
        <v>26.79</v>
      </c>
      <c r="AS214" s="45" t="n">
        <f aca="false">IF(AQ214=AR214,50,100*(E214-AR214)/(AQ214-AR214))</f>
        <v>95.7446808510639</v>
      </c>
      <c r="AT214" s="45" t="n">
        <f aca="true">AVERAGE(OFFSET(AS214,1-MIN(p_StochSm,ROW()-4),0,MIN(p_StochSm,ROW()-4),1))</f>
        <v>62.6027243048521</v>
      </c>
      <c r="AU214" s="45" t="n">
        <f aca="true">AVERAGE(OFFSET(AT214,1-MIN(p_StochSm,ROW()-4),0,MIN(p_StochSm,ROW()-4),1))</f>
        <v>54.6006805758004</v>
      </c>
      <c r="AV214" s="41" t="n">
        <f aca="false">MAX(0,H214-D214)</f>
        <v>0</v>
      </c>
      <c r="AW214" s="41" t="n">
        <f aca="true">IF(COUNTIF(OFFSET(AV214,1-MIN(p_PenLb,ROW()-4),0,MIN(p_PenLb,ROW()-4),1),"&gt;0")&gt;0,SUM(OFFSET(AV214,1-MIN(p_PenLb,ROW()-4),0,MIN(p_PenLb,ROW()-4),1))/COUNTIF(OFFSET(AV214,1-MIN(p_PenLb,ROW()-4),0,MIN(p_PenLb,ROW()-4),1),"&gt;0"),0.5*Y214)</f>
        <v>0.446732008242245</v>
      </c>
      <c r="AX214" s="41" t="n">
        <f aca="false">2*H214-H213</f>
        <v>27.4521910569011</v>
      </c>
      <c r="AY214" s="40" t="n">
        <f aca="false">ROUND(MAX(AX214-AW214,0.01),2)</f>
        <v>27.01</v>
      </c>
      <c r="AZ214" s="40" t="n">
        <f aca="true">IF(MIN(p_StopLb,ROW()-4)&lt;2,D214,SMALL(OFFSET(D214,1-MIN(p_StopLb,ROW()-4),0,MIN(p_StopLb,ROW()-4),1),2))</f>
        <v>26.71</v>
      </c>
      <c r="BA214" s="40" t="n">
        <f aca="false">IF(MOD(ROUND(ROUNDDOWN(MIN(AZ214-0.01,AY214-p_StopAtr*Y214),2)*100,0),50)=0,ROUNDDOWN(MIN(AZ214-0.01,AY214-p_StopAtr*Y214),2)-0.01,ROUNDDOWN(MIN(AZ214-0.01,AY214-p_StopAtr*Y214),2))</f>
        <v>26.33</v>
      </c>
      <c r="BB214" s="40" t="n">
        <f aca="false">ROUND(AI214,2)</f>
        <v>28.24</v>
      </c>
      <c r="BC214" s="40" t="n">
        <f aca="false">IF(AY214-BA214&gt;0,(BB214-AY214)/(AY214-BA214),0)</f>
        <v>1.80882352941175</v>
      </c>
      <c r="BD214" s="42" t="n">
        <f aca="false">IF(N214&lt;0,1,0)</f>
        <v>1</v>
      </c>
      <c r="BE214" s="41" t="n">
        <f aca="false">IF(AND(BD214=1,BD213=0),N214,IF(BD214=1,MIN(BE213,N214),BE213))</f>
        <v>-0.0514032452662709</v>
      </c>
      <c r="BF214" s="40" t="n">
        <f aca="false">IF(AND(BD214=1,BD213=0),D214,IF(BD214=1,MIN(BF213,D214),BF213))</f>
        <v>26.79</v>
      </c>
      <c r="BG214" s="42" t="n">
        <f aca="false">IF(AND(BD214=1,BD213=0),ROW(),IF(BD214=1,IF(N214&lt;BE213,ROW(),BG213),BG213))</f>
        <v>213</v>
      </c>
      <c r="BH214" s="41" t="n">
        <f aca="false">IF(AND(BD214=1,BD213=0),BE213,BH213)</f>
        <v>-0.0622611748996084</v>
      </c>
      <c r="BI214" s="40" t="n">
        <f aca="false">IF(AND(BD214=1,BD213=0),BF213,BI213)</f>
        <v>23.33</v>
      </c>
      <c r="BJ214" s="42" t="n">
        <f aca="false">IF(AND(BD214=1,BD213=0),BG213,BJ213)</f>
        <v>190</v>
      </c>
      <c r="BK214" s="42" t="n">
        <f aca="false">IF(AND(ISNUMBER(BG214),ISNUMBER(BJ214)),BG214-BJ214,"")</f>
        <v>23</v>
      </c>
      <c r="BL214" s="42" t="n">
        <f aca="false">IF(AND(BD214=1,N214&gt;N213,ISNUMBER(BH214),ISNUMBER(BK214)),IF(AND(BE214&gt;BH214,BF214&lt;BI214,BK214&gt;=p_GapMin,BK214&lt;=p_GapMax),1,0),0)</f>
        <v>0</v>
      </c>
      <c r="BM214" s="42" t="n">
        <f aca="false">IF(AND(BL214=1,E214&gt;BI214),1,0)</f>
        <v>0</v>
      </c>
      <c r="BN214" s="42" t="n">
        <f aca="false">IF(BL214=1,IF(BE214&gt;=BH214*0.5,1,0),0)</f>
        <v>0</v>
      </c>
      <c r="BO214" s="42" t="n">
        <f aca="true">IF(V214&gt;MIN(OFFSET(V214,-MIN(p_FiLb-1,ROW()-5),0,MIN(p_FiLb-1,ROW()-5),1)),1,0)</f>
        <v>1</v>
      </c>
      <c r="BP214" s="44" t="n">
        <f aca="true">IF(COUNTIF(OFFSET(V214,1-MIN(100,ROW()-4),0,MIN(100,ROW()-4),1),"&lt;0")&gt;=5,AVERAGEIF(OFFSET(V214,1-MIN(100,ROW()-4),0,MIN(100,ROW()-4),1),"&lt;0"),"")</f>
        <v>-820148.909587127</v>
      </c>
      <c r="BQ214" s="42" t="n">
        <f aca="false">IF(ISNUMBER(BP214),IF(AND(V214&lt;5*BP214,V214&gt;V213,E214&lt;AJ214),1,0),0)</f>
        <v>0</v>
      </c>
      <c r="BR214" s="44" t="n">
        <f aca="true">AVERAGE(OFFSET(F214,1-MIN(5,ROW()-4),0,MIN(5,ROW()-4),1))</f>
        <v>4073420</v>
      </c>
      <c r="BS214" s="42" t="n">
        <f aca="false">IFERROR(IF(MATCH(G214,周线!$A$5:$A$84,0)&lt;=1,"",INDEX(周线!$R$5:$R$84,MATCH(G214,周线!$A$5:$A$84,0)-1)),"")</f>
        <v>1</v>
      </c>
      <c r="BT214" s="42" t="n">
        <f aca="false">IFERROR(IF(MATCH(G214,周线!$A$5:$A$84,0)&lt;=1,"",INDEX(周线!$S$5:$S$84,MATCH(G214,周线!$A$5:$A$84,0)-1)),"")</f>
        <v>1</v>
      </c>
      <c r="BU214" s="42" t="n">
        <f aca="false">IFERROR(IF(MATCH(G214,周线!$A$5:$A$84,0)&lt;=1,"",INDEX(周线!$U$5:$U$84,MATCH(G214,周线!$A$5:$A$84,0)-1)),"")</f>
        <v>1</v>
      </c>
      <c r="BV214" s="42" t="n">
        <f aca="false">IF(AND(BS214=1,S214&lt;&gt;-1,V214&lt;0,BO214=1,E214&lt;=H214,E214&gt;=AJ214),1,0)</f>
        <v>0</v>
      </c>
      <c r="BW214" s="42" t="n">
        <f aca="false">BL214</f>
        <v>0</v>
      </c>
      <c r="BX214" s="42" t="n">
        <f aca="false">BQ214</f>
        <v>0</v>
      </c>
      <c r="BY214" s="42" t="n">
        <f aca="false">IF(BS214=1,10,0)+IF(BU214=1,5,IF(BU214=-1,0,3))+IF(BT214=1,5,0)+IF(AND(AE214&gt;AF214,AH214&gt;AH213),5,0)</f>
        <v>20</v>
      </c>
      <c r="BZ214" s="42" t="n">
        <f aca="false">IF(AND(E214&lt;=H214,E214&gt;=I214),10,IF(AND(E214&gt;=AJ214,E214&lt;I214),6,0))+IF(AND(V214&lt;0,BO214=1),8,0)+IF(AT214&lt;30,7,IF(AT214&lt;50,3,0))</f>
        <v>0</v>
      </c>
      <c r="CA214" s="42" t="n">
        <f aca="false">IF(AND(BV214=1,BW214=1),25,IF(BW214=1,22,IF(BV214=1,15,IF(BX214=1,12,0))))</f>
        <v>0</v>
      </c>
      <c r="CB214" s="42" t="n">
        <f aca="false">IF(W214&gt;0,6,0)+IF(F214&lt;BR214,4,0)</f>
        <v>6</v>
      </c>
      <c r="CC214" s="42" t="n">
        <f aca="false">IF(BC214&gt;=3,15,IF(BC214&gt;=p_RRmin,10,IF(BC214&gt;=1.5,4,0)))</f>
        <v>4</v>
      </c>
      <c r="CD214" s="42" t="n">
        <f aca="false">BY214+BZ214+CA214+CB214+CC214</f>
        <v>30</v>
      </c>
      <c r="CE214" s="42" t="n">
        <f aca="false">IF(AND(BS214&lt;&gt;1,BW214+BX214=0),1,0)</f>
        <v>0</v>
      </c>
      <c r="CF214" s="42" t="n">
        <f aca="false">IF(BU214=-1,1,0)</f>
        <v>0</v>
      </c>
      <c r="CG214" s="42" t="n">
        <f aca="false">IF(S214=-1,1,0)</f>
        <v>0</v>
      </c>
      <c r="CH214" s="42" t="n">
        <f aca="false">IF(BV214+BW214+BX214=0,1,0)</f>
        <v>1</v>
      </c>
      <c r="CI214" s="42" t="n">
        <f aca="false">IF(BC214&lt;p_RRmin,1,0)</f>
        <v>1</v>
      </c>
      <c r="CJ214" s="46" t="str">
        <f aca="false">IF(SUM(CE214:CI214)=0,IF(CD214&gt;=p_GradeA,"A",IF(CD214&gt;=p_GradeB,"B","C")),IF(AND(CI214=1,SUM(CE214:CH214)=0,CD214&gt;=p_GradeB),"B","C"))</f>
        <v>C</v>
      </c>
    </row>
    <row r="215" customFormat="false" ht="15" hidden="false" customHeight="false" outlineLevel="0" collapsed="false">
      <c r="A215" s="36" t="n">
        <v>45953</v>
      </c>
      <c r="B215" s="37" t="n">
        <v>28.29</v>
      </c>
      <c r="C215" s="37" t="n">
        <v>28.75</v>
      </c>
      <c r="D215" s="37" t="n">
        <v>27.84</v>
      </c>
      <c r="E215" s="37" t="n">
        <v>28.22</v>
      </c>
      <c r="F215" s="38" t="n">
        <v>3450900</v>
      </c>
      <c r="G215" s="39" t="n">
        <f aca="false">A215-WEEKDAY(A215,3)</f>
        <v>45950</v>
      </c>
      <c r="H215" s="40" t="n">
        <f aca="false">2/(p_EmaF+1)*E215+(1-2/(p_EmaF+1))*H214</f>
        <v>27.4439679442411</v>
      </c>
      <c r="I215" s="40" t="n">
        <f aca="false">2/(p_EmaS+1)*E215+(1-2/(p_EmaS+1))*I214</f>
        <v>26.759524335124</v>
      </c>
      <c r="J215" s="41" t="n">
        <f aca="false">2/(p_MacdF+1)*E215+(1-2/(p_MacdF+1))*J214</f>
        <v>27.4969591906987</v>
      </c>
      <c r="K215" s="41" t="n">
        <f aca="false">2/(p_MacdS+1)*E215+(1-2/(p_MacdS+1))*K214</f>
        <v>26.759524335124</v>
      </c>
      <c r="L215" s="41" t="n">
        <f aca="false">J215-K215</f>
        <v>0.737434855574755</v>
      </c>
      <c r="M215" s="41" t="n">
        <f aca="false">2/(p_MacdSig+1)*L215+(1-2/(p_MacdSig+1))*M214</f>
        <v>0.745172305970684</v>
      </c>
      <c r="N215" s="41" t="n">
        <f aca="false">L215-M215</f>
        <v>-0.00773745039592944</v>
      </c>
      <c r="O215" s="42" t="n">
        <f aca="false">IF(H215&gt;H214,1,0)</f>
        <v>1</v>
      </c>
      <c r="P215" s="42" t="n">
        <f aca="false">IF(H215&lt;H214,1,0)</f>
        <v>0</v>
      </c>
      <c r="Q215" s="42" t="n">
        <f aca="false">IF(N215&gt;N214,1,0)</f>
        <v>1</v>
      </c>
      <c r="R215" s="42" t="n">
        <f aca="false">IF(N215&lt;N214,1,0)</f>
        <v>0</v>
      </c>
      <c r="S215" s="42" t="n">
        <f aca="false">IF(AND(O215=1,Q215=1),1,IF(AND(P215=1,R215=1),-1,0))</f>
        <v>1</v>
      </c>
      <c r="T215" s="43" t="str">
        <f aca="false">IF(S215=1,"绿",IF(S215=-1,"红","蓝"))</f>
        <v>绿</v>
      </c>
      <c r="U215" s="44" t="n">
        <f aca="false">F215*(E215-E214)</f>
        <v>276071.999999994</v>
      </c>
      <c r="V215" s="44" t="n">
        <f aca="false">2/(p_FiS+1)*U215+(1-2/(p_FiS+1))*V214</f>
        <v>867269.146142137</v>
      </c>
      <c r="W215" s="44" t="n">
        <f aca="false">2/(p_FiL+1)*U215+(1-2/(p_FiL+1))*W214</f>
        <v>628892.983481275</v>
      </c>
      <c r="X215" s="41" t="n">
        <f aca="false">MAX(C215-D215,ABS(C215-E214),ABS(D215-E214))</f>
        <v>0.91</v>
      </c>
      <c r="Y215" s="41" t="n">
        <f aca="true">AVERAGE(OFFSET(X215,1-MIN(p_AtrN,ROW()-4),0,MIN(p_AtrN,ROW()-4),1))</f>
        <v>0.726153846153847</v>
      </c>
      <c r="Z215" s="41" t="n">
        <f aca="false">IF(AND(C215-C214&gt;D214-D215,C215-C214&gt;0),C215-C214,0)</f>
        <v>0.550000000000001</v>
      </c>
      <c r="AA215" s="41" t="n">
        <f aca="false">IF(AND(D214-D215&gt;C215-C214,D214-D215&gt;0),D214-D215,0)</f>
        <v>0</v>
      </c>
      <c r="AB215" s="41" t="n">
        <f aca="false">2/(p_AdxN+1)*X215+(1-2/(p_AdxN+1))*AB214</f>
        <v>0.731643297520689</v>
      </c>
      <c r="AC215" s="41" t="n">
        <f aca="false">2/(p_AdxN+1)*Z215+(1-2/(p_AdxN+1))*AC214</f>
        <v>0.239743185217009</v>
      </c>
      <c r="AD215" s="41" t="n">
        <f aca="false">2/(p_AdxN+1)*AA215+(1-2/(p_AdxN+1))*AD214</f>
        <v>0.100937194253929</v>
      </c>
      <c r="AE215" s="45" t="n">
        <f aca="false">100*AC215/AB215</f>
        <v>32.7677689427927</v>
      </c>
      <c r="AF215" s="45" t="n">
        <f aca="false">100*AD215/AB215</f>
        <v>13.7959569363887</v>
      </c>
      <c r="AG215" s="45" t="n">
        <f aca="false">IFERROR(100*ABS(AE215-AF215)/(AE215+AF215),0)</f>
        <v>40.7437584690496</v>
      </c>
      <c r="AH215" s="45" t="n">
        <f aca="false">2/(p_AdxN+1)*AG215+(1-2/(p_AdxN+1))*AH214</f>
        <v>32.8149944307617</v>
      </c>
      <c r="AI215" s="40" t="n">
        <f aca="false">I215*(1+p_ChPct)</f>
        <v>28.3650957952314</v>
      </c>
      <c r="AJ215" s="40" t="n">
        <f aca="false">I215*(1-p_ChPct)</f>
        <v>25.1539528750165</v>
      </c>
      <c r="AK215" s="40" t="n">
        <f aca="false">I215+1*Y215</f>
        <v>27.4856781812778</v>
      </c>
      <c r="AL215" s="40" t="n">
        <f aca="false">I215+2*Y215</f>
        <v>28.2118320274317</v>
      </c>
      <c r="AM215" s="40" t="n">
        <f aca="false">I215+3*Y215</f>
        <v>28.9379858735855</v>
      </c>
      <c r="AN215" s="40" t="n">
        <f aca="false">I215-1*Y215</f>
        <v>26.0333704889701</v>
      </c>
      <c r="AO215" s="40" t="n">
        <f aca="false">I215-2*Y215</f>
        <v>25.3072166428163</v>
      </c>
      <c r="AP215" s="40" t="n">
        <f aca="false">I215-3*Y215</f>
        <v>24.5810627966624</v>
      </c>
      <c r="AQ215" s="40" t="n">
        <f aca="true">MAX(OFFSET(C215,1-MIN(p_StochN,ROW()-4),0,MIN(p_StochN,ROW()-4),1))</f>
        <v>28.75</v>
      </c>
      <c r="AR215" s="40" t="n">
        <f aca="true">MIN(OFFSET(D215,1-MIN(p_StochN,ROW()-4),0,MIN(p_StochN,ROW()-4),1))</f>
        <v>26.79</v>
      </c>
      <c r="AS215" s="45" t="n">
        <f aca="false">IF(AQ215=AR215,50,100*(E215-AR215)/(AQ215-AR215))</f>
        <v>72.9591836734693</v>
      </c>
      <c r="AT215" s="45" t="n">
        <f aca="true">AVERAGE(OFFSET(AS215,1-MIN(p_StochSm,ROW()-4),0,MIN(p_StochSm,ROW()-4),1))</f>
        <v>76.8695421430984</v>
      </c>
      <c r="AU215" s="45" t="n">
        <f aca="true">AVERAGE(OFFSET(AT215,1-MIN(p_StochSm,ROW()-4),0,MIN(p_StochSm,ROW()-4),1))</f>
        <v>62.6901816323251</v>
      </c>
      <c r="AV215" s="41" t="n">
        <f aca="false">MAX(0,H215-D215)</f>
        <v>0</v>
      </c>
      <c r="AW215" s="41" t="n">
        <f aca="true">IF(COUNTIF(OFFSET(AV215,1-MIN(p_PenLb,ROW()-4),0,MIN(p_PenLb,ROW()-4),1),"&gt;0")&gt;0,SUM(OFFSET(AV215,1-MIN(p_PenLb,ROW()-4),0,MIN(p_PenLb,ROW()-4),1))/COUNTIF(OFFSET(AV215,1-MIN(p_PenLb,ROW()-4),0,MIN(p_PenLb,ROW()-4),1),"&gt;0"),0.5*Y215)</f>
        <v>0.446732008242245</v>
      </c>
      <c r="AX215" s="41" t="n">
        <f aca="false">2*H215-H214</f>
        <v>27.573306620201</v>
      </c>
      <c r="AY215" s="40" t="n">
        <f aca="false">ROUND(MAX(AX215-AW215,0.01),2)</f>
        <v>27.13</v>
      </c>
      <c r="AZ215" s="40" t="n">
        <f aca="true">IF(MIN(p_StopLb,ROW()-4)&lt;2,D215,SMALL(OFFSET(D215,1-MIN(p_StopLb,ROW()-4),0,MIN(p_StopLb,ROW()-4),1),2))</f>
        <v>26.71</v>
      </c>
      <c r="BA215" s="40" t="n">
        <f aca="false">IF(MOD(ROUND(ROUNDDOWN(MIN(AZ215-0.01,AY215-p_StopAtr*Y215),2)*100,0),50)=0,ROUNDDOWN(MIN(AZ215-0.01,AY215-p_StopAtr*Y215),2)-0.01,ROUNDDOWN(MIN(AZ215-0.01,AY215-p_StopAtr*Y215),2))</f>
        <v>26.4</v>
      </c>
      <c r="BB215" s="40" t="n">
        <f aca="false">ROUND(AI215,2)</f>
        <v>28.37</v>
      </c>
      <c r="BC215" s="40" t="n">
        <f aca="false">IF(AY215-BA215&gt;0,(BB215-AY215)/(AY215-BA215),0)</f>
        <v>1.6986301369863</v>
      </c>
      <c r="BD215" s="42" t="n">
        <f aca="false">IF(N215&lt;0,1,0)</f>
        <v>1</v>
      </c>
      <c r="BE215" s="41" t="n">
        <f aca="false">IF(AND(BD215=1,BD214=0),N215,IF(BD215=1,MIN(BE214,N215),BE214))</f>
        <v>-0.0514032452662709</v>
      </c>
      <c r="BF215" s="40" t="n">
        <f aca="false">IF(AND(BD215=1,BD214=0),D215,IF(BD215=1,MIN(BF214,D215),BF214))</f>
        <v>26.79</v>
      </c>
      <c r="BG215" s="42" t="n">
        <f aca="false">IF(AND(BD215=1,BD214=0),ROW(),IF(BD215=1,IF(N215&lt;BE214,ROW(),BG214),BG214))</f>
        <v>213</v>
      </c>
      <c r="BH215" s="41" t="n">
        <f aca="false">IF(AND(BD215=1,BD214=0),BE214,BH214)</f>
        <v>-0.0622611748996084</v>
      </c>
      <c r="BI215" s="40" t="n">
        <f aca="false">IF(AND(BD215=1,BD214=0),BF214,BI214)</f>
        <v>23.33</v>
      </c>
      <c r="BJ215" s="42" t="n">
        <f aca="false">IF(AND(BD215=1,BD214=0),BG214,BJ214)</f>
        <v>190</v>
      </c>
      <c r="BK215" s="42" t="n">
        <f aca="false">IF(AND(ISNUMBER(BG215),ISNUMBER(BJ215)),BG215-BJ215,"")</f>
        <v>23</v>
      </c>
      <c r="BL215" s="42" t="n">
        <f aca="false">IF(AND(BD215=1,N215&gt;N214,ISNUMBER(BH215),ISNUMBER(BK215)),IF(AND(BE215&gt;BH215,BF215&lt;BI215,BK215&gt;=p_GapMin,BK215&lt;=p_GapMax),1,0),0)</f>
        <v>0</v>
      </c>
      <c r="BM215" s="42" t="n">
        <f aca="false">IF(AND(BL215=1,E215&gt;BI215),1,0)</f>
        <v>0</v>
      </c>
      <c r="BN215" s="42" t="n">
        <f aca="false">IF(BL215=1,IF(BE215&gt;=BH215*0.5,1,0),0)</f>
        <v>0</v>
      </c>
      <c r="BO215" s="42" t="n">
        <f aca="true">IF(V215&gt;MIN(OFFSET(V215,-MIN(p_FiLb-1,ROW()-5),0,MIN(p_FiLb-1,ROW()-5),1)),1,0)</f>
        <v>1</v>
      </c>
      <c r="BP215" s="44" t="n">
        <f aca="true">IF(COUNTIF(OFFSET(V215,1-MIN(100,ROW()-4),0,MIN(100,ROW()-4),1),"&lt;0")&gt;=5,AVERAGEIF(OFFSET(V215,1-MIN(100,ROW()-4),0,MIN(100,ROW()-4),1),"&lt;0"),"")</f>
        <v>-820148.909587127</v>
      </c>
      <c r="BQ215" s="42" t="n">
        <f aca="false">IF(ISNUMBER(BP215),IF(AND(V215&lt;5*BP215,V215&gt;V214,E215&lt;AJ215),1,0),0)</f>
        <v>0</v>
      </c>
      <c r="BR215" s="44" t="n">
        <f aca="true">AVERAGE(OFFSET(F215,1-MIN(5,ROW()-4),0,MIN(5,ROW()-4),1))</f>
        <v>4051260</v>
      </c>
      <c r="BS215" s="42" t="n">
        <f aca="false">IFERROR(IF(MATCH(G215,周线!$A$5:$A$84,0)&lt;=1,"",INDEX(周线!$R$5:$R$84,MATCH(G215,周线!$A$5:$A$84,0)-1)),"")</f>
        <v>1</v>
      </c>
      <c r="BT215" s="42" t="n">
        <f aca="false">IFERROR(IF(MATCH(G215,周线!$A$5:$A$84,0)&lt;=1,"",INDEX(周线!$S$5:$S$84,MATCH(G215,周线!$A$5:$A$84,0)-1)),"")</f>
        <v>1</v>
      </c>
      <c r="BU215" s="42" t="n">
        <f aca="false">IFERROR(IF(MATCH(G215,周线!$A$5:$A$84,0)&lt;=1,"",INDEX(周线!$U$5:$U$84,MATCH(G215,周线!$A$5:$A$84,0)-1)),"")</f>
        <v>1</v>
      </c>
      <c r="BV215" s="42" t="n">
        <f aca="false">IF(AND(BS215=1,S215&lt;&gt;-1,V215&lt;0,BO215=1,E215&lt;=H215,E215&gt;=AJ215),1,0)</f>
        <v>0</v>
      </c>
      <c r="BW215" s="42" t="n">
        <f aca="false">BL215</f>
        <v>0</v>
      </c>
      <c r="BX215" s="42" t="n">
        <f aca="false">BQ215</f>
        <v>0</v>
      </c>
      <c r="BY215" s="42" t="n">
        <f aca="false">IF(BS215=1,10,0)+IF(BU215=1,5,IF(BU215=-1,0,3))+IF(BT215=1,5,0)+IF(AND(AE215&gt;AF215,AH215&gt;AH214),5,0)</f>
        <v>25</v>
      </c>
      <c r="BZ215" s="42" t="n">
        <f aca="false">IF(AND(E215&lt;=H215,E215&gt;=I215),10,IF(AND(E215&gt;=AJ215,E215&lt;I215),6,0))+IF(AND(V215&lt;0,BO215=1),8,0)+IF(AT215&lt;30,7,IF(AT215&lt;50,3,0))</f>
        <v>0</v>
      </c>
      <c r="CA215" s="42" t="n">
        <f aca="false">IF(AND(BV215=1,BW215=1),25,IF(BW215=1,22,IF(BV215=1,15,IF(BX215=1,12,0))))</f>
        <v>0</v>
      </c>
      <c r="CB215" s="42" t="n">
        <f aca="false">IF(W215&gt;0,6,0)+IF(F215&lt;BR215,4,0)</f>
        <v>10</v>
      </c>
      <c r="CC215" s="42" t="n">
        <f aca="false">IF(BC215&gt;=3,15,IF(BC215&gt;=p_RRmin,10,IF(BC215&gt;=1.5,4,0)))</f>
        <v>4</v>
      </c>
      <c r="CD215" s="42" t="n">
        <f aca="false">BY215+BZ215+CA215+CB215+CC215</f>
        <v>39</v>
      </c>
      <c r="CE215" s="42" t="n">
        <f aca="false">IF(AND(BS215&lt;&gt;1,BW215+BX215=0),1,0)</f>
        <v>0</v>
      </c>
      <c r="CF215" s="42" t="n">
        <f aca="false">IF(BU215=-1,1,0)</f>
        <v>0</v>
      </c>
      <c r="CG215" s="42" t="n">
        <f aca="false">IF(S215=-1,1,0)</f>
        <v>0</v>
      </c>
      <c r="CH215" s="42" t="n">
        <f aca="false">IF(BV215+BW215+BX215=0,1,0)</f>
        <v>1</v>
      </c>
      <c r="CI215" s="42" t="n">
        <f aca="false">IF(BC215&lt;p_RRmin,1,0)</f>
        <v>1</v>
      </c>
      <c r="CJ215" s="46" t="str">
        <f aca="false">IF(SUM(CE215:CI215)=0,IF(CD215&gt;=p_GradeA,"A",IF(CD215&gt;=p_GradeB,"B","C")),IF(AND(CI215=1,SUM(CE215:CH215)=0,CD215&gt;=p_GradeB),"B","C"))</f>
        <v>C</v>
      </c>
    </row>
    <row r="216" customFormat="false" ht="15" hidden="false" customHeight="false" outlineLevel="0" collapsed="false">
      <c r="A216" s="36" t="n">
        <v>45954</v>
      </c>
      <c r="B216" s="37" t="n">
        <v>28.17</v>
      </c>
      <c r="C216" s="37" t="n">
        <v>28.92</v>
      </c>
      <c r="D216" s="37" t="n">
        <v>27.86</v>
      </c>
      <c r="E216" s="37" t="n">
        <v>28.7</v>
      </c>
      <c r="F216" s="38" t="n">
        <v>3149200</v>
      </c>
      <c r="G216" s="39" t="n">
        <f aca="false">A216-WEEKDAY(A216,3)</f>
        <v>45950</v>
      </c>
      <c r="H216" s="40" t="n">
        <f aca="false">2/(p_EmaF+1)*E216+(1-2/(p_EmaF+1))*H215</f>
        <v>27.6234010950638</v>
      </c>
      <c r="I216" s="40" t="n">
        <f aca="false">2/(p_EmaS+1)*E216+(1-2/(p_EmaS+1))*I215</f>
        <v>26.9032632732629</v>
      </c>
      <c r="J216" s="41" t="n">
        <f aca="false">2/(p_MacdF+1)*E216+(1-2/(p_MacdF+1))*J215</f>
        <v>27.6820423921297</v>
      </c>
      <c r="K216" s="41" t="n">
        <f aca="false">2/(p_MacdS+1)*E216+(1-2/(p_MacdS+1))*K215</f>
        <v>26.9032632732629</v>
      </c>
      <c r="L216" s="41" t="n">
        <f aca="false">J216-K216</f>
        <v>0.778779118866751</v>
      </c>
      <c r="M216" s="41" t="n">
        <f aca="false">2/(p_MacdSig+1)*L216+(1-2/(p_MacdSig+1))*M215</f>
        <v>0.751893668549898</v>
      </c>
      <c r="N216" s="41" t="n">
        <f aca="false">L216-M216</f>
        <v>0.0268854503168537</v>
      </c>
      <c r="O216" s="42" t="n">
        <f aca="false">IF(H216&gt;H215,1,0)</f>
        <v>1</v>
      </c>
      <c r="P216" s="42" t="n">
        <f aca="false">IF(H216&lt;H215,1,0)</f>
        <v>0</v>
      </c>
      <c r="Q216" s="42" t="n">
        <f aca="false">IF(N216&gt;N215,1,0)</f>
        <v>1</v>
      </c>
      <c r="R216" s="42" t="n">
        <f aca="false">IF(N216&lt;N215,1,0)</f>
        <v>0</v>
      </c>
      <c r="S216" s="42" t="n">
        <f aca="false">IF(AND(O216=1,Q216=1),1,IF(AND(P216=1,R216=1),-1,0))</f>
        <v>1</v>
      </c>
      <c r="T216" s="43" t="str">
        <f aca="false">IF(S216=1,"绿",IF(S216=-1,"红","蓝"))</f>
        <v>绿</v>
      </c>
      <c r="U216" s="44" t="n">
        <f aca="false">F216*(E216-E215)</f>
        <v>1511616</v>
      </c>
      <c r="V216" s="44" t="n">
        <f aca="false">2/(p_FiS+1)*U216+(1-2/(p_FiS+1))*V215</f>
        <v>1296833.71538071</v>
      </c>
      <c r="W216" s="44" t="n">
        <f aca="false">2/(p_FiL+1)*U216+(1-2/(p_FiL+1))*W215</f>
        <v>754996.271555379</v>
      </c>
      <c r="X216" s="41" t="n">
        <f aca="false">MAX(C216-D216,ABS(C216-E215),ABS(D216-E215))</f>
        <v>1.06</v>
      </c>
      <c r="Y216" s="41" t="n">
        <f aca="true">AVERAGE(OFFSET(X216,1-MIN(p_AtrN,ROW()-4),0,MIN(p_AtrN,ROW()-4),1))</f>
        <v>0.724615384615385</v>
      </c>
      <c r="Z216" s="41" t="n">
        <f aca="false">IF(AND(C216-C215&gt;D215-D216,C216-C215&gt;0),C216-C215,0)</f>
        <v>0.170000000000002</v>
      </c>
      <c r="AA216" s="41" t="n">
        <f aca="false">IF(AND(D215-D216&gt;C216-C215,D215-D216&gt;0),D215-D216,0)</f>
        <v>0</v>
      </c>
      <c r="AB216" s="41" t="n">
        <f aca="false">2/(p_AdxN+1)*X216+(1-2/(p_AdxN+1))*AB215</f>
        <v>0.778551397874876</v>
      </c>
      <c r="AC216" s="41" t="n">
        <f aca="false">2/(p_AdxN+1)*Z216+(1-2/(p_AdxN+1))*AC215</f>
        <v>0.229779873043151</v>
      </c>
      <c r="AD216" s="41" t="n">
        <f aca="false">2/(p_AdxN+1)*AA216+(1-2/(p_AdxN+1))*AD215</f>
        <v>0.0865175950747959</v>
      </c>
      <c r="AE216" s="45" t="n">
        <f aca="false">100*AC216/AB216</f>
        <v>29.5137705320875</v>
      </c>
      <c r="AF216" s="45" t="n">
        <f aca="false">100*AD216/AB216</f>
        <v>11.1126375613676</v>
      </c>
      <c r="AG216" s="45" t="n">
        <f aca="false">IFERROR(100*ABS(AE216-AF216)/(AE216+AF216),0)</f>
        <v>45.2935266351651</v>
      </c>
      <c r="AH216" s="45" t="n">
        <f aca="false">2/(p_AdxN+1)*AG216+(1-2/(p_AdxN+1))*AH215</f>
        <v>34.5976418885336</v>
      </c>
      <c r="AI216" s="40" t="n">
        <f aca="false">I216*(1+p_ChPct)</f>
        <v>28.5174590696587</v>
      </c>
      <c r="AJ216" s="40" t="n">
        <f aca="false">I216*(1-p_ChPct)</f>
        <v>25.2890674768672</v>
      </c>
      <c r="AK216" s="40" t="n">
        <f aca="false">I216+1*Y216</f>
        <v>27.6278786578783</v>
      </c>
      <c r="AL216" s="40" t="n">
        <f aca="false">I216+2*Y216</f>
        <v>28.3524940424937</v>
      </c>
      <c r="AM216" s="40" t="n">
        <f aca="false">I216+3*Y216</f>
        <v>29.0771094271091</v>
      </c>
      <c r="AN216" s="40" t="n">
        <f aca="false">I216-1*Y216</f>
        <v>26.1786478886476</v>
      </c>
      <c r="AO216" s="40" t="n">
        <f aca="false">I216-2*Y216</f>
        <v>25.4540325040322</v>
      </c>
      <c r="AP216" s="40" t="n">
        <f aca="false">I216-3*Y216</f>
        <v>24.7294171194168</v>
      </c>
      <c r="AQ216" s="40" t="n">
        <f aca="true">MAX(OFFSET(C216,1-MIN(p_StochN,ROW()-4),0,MIN(p_StochN,ROW()-4),1))</f>
        <v>28.92</v>
      </c>
      <c r="AR216" s="40" t="n">
        <f aca="true">MIN(OFFSET(D216,1-MIN(p_StochN,ROW()-4),0,MIN(p_StochN,ROW()-4),1))</f>
        <v>26.79</v>
      </c>
      <c r="AS216" s="45" t="n">
        <f aca="false">IF(AQ216=AR216,50,100*(E216-AR216)/(AQ216-AR216))</f>
        <v>89.6713615023473</v>
      </c>
      <c r="AT216" s="45" t="n">
        <f aca="true">AVERAGE(OFFSET(AS216,1-MIN(p_StochSm,ROW()-4),0,MIN(p_StochSm,ROW()-4),1))</f>
        <v>86.1250753422935</v>
      </c>
      <c r="AU216" s="45" t="n">
        <f aca="true">AVERAGE(OFFSET(AT216,1-MIN(p_StochSm,ROW()-4),0,MIN(p_StochSm,ROW()-4),1))</f>
        <v>75.1991139300813</v>
      </c>
      <c r="AV216" s="41" t="n">
        <f aca="false">MAX(0,H216-D216)</f>
        <v>0</v>
      </c>
      <c r="AW216" s="41" t="n">
        <f aca="true">IF(COUNTIF(OFFSET(AV216,1-MIN(p_PenLb,ROW()-4),0,MIN(p_PenLb,ROW()-4),1),"&gt;0")&gt;0,SUM(OFFSET(AV216,1-MIN(p_PenLb,ROW()-4),0,MIN(p_PenLb,ROW()-4),1))/COUNTIF(OFFSET(AV216,1-MIN(p_PenLb,ROW()-4),0,MIN(p_PenLb,ROW()-4),1),"&gt;0"),0.5*Y216)</f>
        <v>0.524328630772531</v>
      </c>
      <c r="AX216" s="41" t="n">
        <f aca="false">2*H216-H215</f>
        <v>27.8028342458865</v>
      </c>
      <c r="AY216" s="40" t="n">
        <f aca="false">ROUND(MAX(AX216-AW216,0.01),2)</f>
        <v>27.28</v>
      </c>
      <c r="AZ216" s="40" t="n">
        <f aca="true">IF(MIN(p_StopLb,ROW()-4)&lt;2,D216,SMALL(OFFSET(D216,1-MIN(p_StopLb,ROW()-4),0,MIN(p_StopLb,ROW()-4),1),2))</f>
        <v>26.79</v>
      </c>
      <c r="BA216" s="40" t="n">
        <f aca="false">IF(MOD(ROUND(ROUNDDOWN(MIN(AZ216-0.01,AY216-p_StopAtr*Y216),2)*100,0),50)=0,ROUNDDOWN(MIN(AZ216-0.01,AY216-p_StopAtr*Y216),2)-0.01,ROUNDDOWN(MIN(AZ216-0.01,AY216-p_StopAtr*Y216),2))</f>
        <v>26.55</v>
      </c>
      <c r="BB216" s="40" t="n">
        <f aca="false">ROUND(AI216,2)</f>
        <v>28.52</v>
      </c>
      <c r="BC216" s="40" t="n">
        <f aca="false">IF(AY216-BA216&gt;0,(BB216-AY216)/(AY216-BA216),0)</f>
        <v>1.6986301369863</v>
      </c>
      <c r="BD216" s="42" t="n">
        <f aca="false">IF(N216&lt;0,1,0)</f>
        <v>0</v>
      </c>
      <c r="BE216" s="41" t="n">
        <f aca="false">IF(AND(BD216=1,BD215=0),N216,IF(BD216=1,MIN(BE215,N216),BE215))</f>
        <v>-0.0514032452662709</v>
      </c>
      <c r="BF216" s="40" t="n">
        <f aca="false">IF(AND(BD216=1,BD215=0),D216,IF(BD216=1,MIN(BF215,D216),BF215))</f>
        <v>26.79</v>
      </c>
      <c r="BG216" s="42" t="n">
        <f aca="false">IF(AND(BD216=1,BD215=0),ROW(),IF(BD216=1,IF(N216&lt;BE215,ROW(),BG215),BG215))</f>
        <v>213</v>
      </c>
      <c r="BH216" s="41" t="n">
        <f aca="false">IF(AND(BD216=1,BD215=0),BE215,BH215)</f>
        <v>-0.0622611748996084</v>
      </c>
      <c r="BI216" s="40" t="n">
        <f aca="false">IF(AND(BD216=1,BD215=0),BF215,BI215)</f>
        <v>23.33</v>
      </c>
      <c r="BJ216" s="42" t="n">
        <f aca="false">IF(AND(BD216=1,BD215=0),BG215,BJ215)</f>
        <v>190</v>
      </c>
      <c r="BK216" s="42" t="n">
        <f aca="false">IF(AND(ISNUMBER(BG216),ISNUMBER(BJ216)),BG216-BJ216,"")</f>
        <v>23</v>
      </c>
      <c r="BL216" s="42" t="n">
        <f aca="false">IF(AND(BD216=1,N216&gt;N215,ISNUMBER(BH216),ISNUMBER(BK216)),IF(AND(BE216&gt;BH216,BF216&lt;BI216,BK216&gt;=p_GapMin,BK216&lt;=p_GapMax),1,0),0)</f>
        <v>0</v>
      </c>
      <c r="BM216" s="42" t="n">
        <f aca="false">IF(AND(BL216=1,E216&gt;BI216),1,0)</f>
        <v>0</v>
      </c>
      <c r="BN216" s="42" t="n">
        <f aca="false">IF(BL216=1,IF(BE216&gt;=BH216*0.5,1,0),0)</f>
        <v>0</v>
      </c>
      <c r="BO216" s="42" t="n">
        <f aca="true">IF(V216&gt;MIN(OFFSET(V216,-MIN(p_FiLb-1,ROW()-5),0,MIN(p_FiLb-1,ROW()-5),1)),1,0)</f>
        <v>1</v>
      </c>
      <c r="BP216" s="44" t="n">
        <f aca="true">IF(COUNTIF(OFFSET(V216,1-MIN(100,ROW()-4),0,MIN(100,ROW()-4),1),"&lt;0")&gt;=5,AVERAGEIF(OFFSET(V216,1-MIN(100,ROW()-4),0,MIN(100,ROW()-4),1),"&lt;0"),"")</f>
        <v>-839395.91151295</v>
      </c>
      <c r="BQ216" s="42" t="n">
        <f aca="false">IF(ISNUMBER(BP216),IF(AND(V216&lt;5*BP216,V216&gt;V215,E216&lt;AJ216),1,0),0)</f>
        <v>0</v>
      </c>
      <c r="BR216" s="44" t="n">
        <f aca="true">AVERAGE(OFFSET(F216,1-MIN(5,ROW()-4),0,MIN(5,ROW()-4),1))</f>
        <v>3845900</v>
      </c>
      <c r="BS216" s="42" t="n">
        <f aca="false">IFERROR(IF(MATCH(G216,周线!$A$5:$A$84,0)&lt;=1,"",INDEX(周线!$R$5:$R$84,MATCH(G216,周线!$A$5:$A$84,0)-1)),"")</f>
        <v>1</v>
      </c>
      <c r="BT216" s="42" t="n">
        <f aca="false">IFERROR(IF(MATCH(G216,周线!$A$5:$A$84,0)&lt;=1,"",INDEX(周线!$S$5:$S$84,MATCH(G216,周线!$A$5:$A$84,0)-1)),"")</f>
        <v>1</v>
      </c>
      <c r="BU216" s="42" t="n">
        <f aca="false">IFERROR(IF(MATCH(G216,周线!$A$5:$A$84,0)&lt;=1,"",INDEX(周线!$U$5:$U$84,MATCH(G216,周线!$A$5:$A$84,0)-1)),"")</f>
        <v>1</v>
      </c>
      <c r="BV216" s="42" t="n">
        <f aca="false">IF(AND(BS216=1,S216&lt;&gt;-1,V216&lt;0,BO216=1,E216&lt;=H216,E216&gt;=AJ216),1,0)</f>
        <v>0</v>
      </c>
      <c r="BW216" s="42" t="n">
        <f aca="false">BL216</f>
        <v>0</v>
      </c>
      <c r="BX216" s="42" t="n">
        <f aca="false">BQ216</f>
        <v>0</v>
      </c>
      <c r="BY216" s="42" t="n">
        <f aca="false">IF(BS216=1,10,0)+IF(BU216=1,5,IF(BU216=-1,0,3))+IF(BT216=1,5,0)+IF(AND(AE216&gt;AF216,AH216&gt;AH215),5,0)</f>
        <v>25</v>
      </c>
      <c r="BZ216" s="42" t="n">
        <f aca="false">IF(AND(E216&lt;=H216,E216&gt;=I216),10,IF(AND(E216&gt;=AJ216,E216&lt;I216),6,0))+IF(AND(V216&lt;0,BO216=1),8,0)+IF(AT216&lt;30,7,IF(AT216&lt;50,3,0))</f>
        <v>0</v>
      </c>
      <c r="CA216" s="42" t="n">
        <f aca="false">IF(AND(BV216=1,BW216=1),25,IF(BW216=1,22,IF(BV216=1,15,IF(BX216=1,12,0))))</f>
        <v>0</v>
      </c>
      <c r="CB216" s="42" t="n">
        <f aca="false">IF(W216&gt;0,6,0)+IF(F216&lt;BR216,4,0)</f>
        <v>10</v>
      </c>
      <c r="CC216" s="42" t="n">
        <f aca="false">IF(BC216&gt;=3,15,IF(BC216&gt;=p_RRmin,10,IF(BC216&gt;=1.5,4,0)))</f>
        <v>4</v>
      </c>
      <c r="CD216" s="42" t="n">
        <f aca="false">BY216+BZ216+CA216+CB216+CC216</f>
        <v>39</v>
      </c>
      <c r="CE216" s="42" t="n">
        <f aca="false">IF(AND(BS216&lt;&gt;1,BW216+BX216=0),1,0)</f>
        <v>0</v>
      </c>
      <c r="CF216" s="42" t="n">
        <f aca="false">IF(BU216=-1,1,0)</f>
        <v>0</v>
      </c>
      <c r="CG216" s="42" t="n">
        <f aca="false">IF(S216=-1,1,0)</f>
        <v>0</v>
      </c>
      <c r="CH216" s="42" t="n">
        <f aca="false">IF(BV216+BW216+BX216=0,1,0)</f>
        <v>1</v>
      </c>
      <c r="CI216" s="42" t="n">
        <f aca="false">IF(BC216&lt;p_RRmin,1,0)</f>
        <v>1</v>
      </c>
      <c r="CJ216" s="46" t="str">
        <f aca="false">IF(SUM(CE216:CI216)=0,IF(CD216&gt;=p_GradeA,"A",IF(CD216&gt;=p_GradeB,"B","C")),IF(AND(CI216=1,SUM(CE216:CH216)=0,CD216&gt;=p_GradeB),"B","C"))</f>
        <v>C</v>
      </c>
    </row>
    <row r="217" customFormat="false" ht="15" hidden="false" customHeight="false" outlineLevel="0" collapsed="false">
      <c r="A217" s="36" t="n">
        <v>45957</v>
      </c>
      <c r="B217" s="37" t="n">
        <v>28.74</v>
      </c>
      <c r="C217" s="37" t="n">
        <v>29.26</v>
      </c>
      <c r="D217" s="37" t="n">
        <v>28.6</v>
      </c>
      <c r="E217" s="37" t="n">
        <v>29.15</v>
      </c>
      <c r="F217" s="38" t="n">
        <v>3995100</v>
      </c>
      <c r="G217" s="39" t="n">
        <f aca="false">A217-WEEKDAY(A217,3)</f>
        <v>45957</v>
      </c>
      <c r="H217" s="40" t="n">
        <f aca="false">2/(p_EmaF+1)*E217+(1-2/(p_EmaF+1))*H216</f>
        <v>27.8414866529119</v>
      </c>
      <c r="I217" s="40" t="n">
        <f aca="false">2/(p_EmaS+1)*E217+(1-2/(p_EmaS+1))*I216</f>
        <v>27.0696882159842</v>
      </c>
      <c r="J217" s="41" t="n">
        <f aca="false">2/(p_MacdF+1)*E217+(1-2/(p_MacdF+1))*J216</f>
        <v>27.9078820241097</v>
      </c>
      <c r="K217" s="41" t="n">
        <f aca="false">2/(p_MacdS+1)*E217+(1-2/(p_MacdS+1))*K216</f>
        <v>27.0696882159842</v>
      </c>
      <c r="L217" s="41" t="n">
        <f aca="false">J217-K217</f>
        <v>0.838193808125535</v>
      </c>
      <c r="M217" s="41" t="n">
        <f aca="false">2/(p_MacdSig+1)*L217+(1-2/(p_MacdSig+1))*M216</f>
        <v>0.769153696465025</v>
      </c>
      <c r="N217" s="41" t="n">
        <f aca="false">L217-M217</f>
        <v>0.0690401116605099</v>
      </c>
      <c r="O217" s="42" t="n">
        <f aca="false">IF(H217&gt;H216,1,0)</f>
        <v>1</v>
      </c>
      <c r="P217" s="42" t="n">
        <f aca="false">IF(H217&lt;H216,1,0)</f>
        <v>0</v>
      </c>
      <c r="Q217" s="42" t="n">
        <f aca="false">IF(N217&gt;N216,1,0)</f>
        <v>1</v>
      </c>
      <c r="R217" s="42" t="n">
        <f aca="false">IF(N217&lt;N216,1,0)</f>
        <v>0</v>
      </c>
      <c r="S217" s="42" t="n">
        <f aca="false">IF(AND(O217=1,Q217=1),1,IF(AND(P217=1,R217=1),-1,0))</f>
        <v>1</v>
      </c>
      <c r="T217" s="43" t="str">
        <f aca="false">IF(S217=1,"绿",IF(S217=-1,"红","蓝"))</f>
        <v>绿</v>
      </c>
      <c r="U217" s="44" t="n">
        <f aca="false">F217*(E217-E216)</f>
        <v>1797795</v>
      </c>
      <c r="V217" s="44" t="n">
        <f aca="false">2/(p_FiS+1)*U217+(1-2/(p_FiS+1))*V216</f>
        <v>1630807.9051269</v>
      </c>
      <c r="W217" s="44" t="n">
        <f aca="false">2/(p_FiL+1)*U217+(1-2/(p_FiL+1))*W216</f>
        <v>903967.518476039</v>
      </c>
      <c r="X217" s="41" t="n">
        <f aca="false">MAX(C217-D217,ABS(C217-E216),ABS(D217-E216))</f>
        <v>0.66</v>
      </c>
      <c r="Y217" s="41" t="n">
        <f aca="true">AVERAGE(OFFSET(X217,1-MIN(p_AtrN,ROW()-4),0,MIN(p_AtrN,ROW()-4),1))</f>
        <v>0.716153846153847</v>
      </c>
      <c r="Z217" s="41" t="n">
        <f aca="false">IF(AND(C217-C216&gt;D216-D217,C217-C216&gt;0),C217-C216,0)</f>
        <v>0.34</v>
      </c>
      <c r="AA217" s="41" t="n">
        <f aca="false">IF(AND(D216-D217&gt;C217-C216,D216-D217&gt;0),D216-D217,0)</f>
        <v>0</v>
      </c>
      <c r="AB217" s="41" t="n">
        <f aca="false">2/(p_AdxN+1)*X217+(1-2/(p_AdxN+1))*AB216</f>
        <v>0.761615483892751</v>
      </c>
      <c r="AC217" s="41" t="n">
        <f aca="false">2/(p_AdxN+1)*Z217+(1-2/(p_AdxN+1))*AC216</f>
        <v>0.245525605465558</v>
      </c>
      <c r="AD217" s="41" t="n">
        <f aca="false">2/(p_AdxN+1)*AA217+(1-2/(p_AdxN+1))*AD216</f>
        <v>0.0741579386355393</v>
      </c>
      <c r="AE217" s="45" t="n">
        <f aca="false">100*AC217/AB217</f>
        <v>32.2374755579591</v>
      </c>
      <c r="AF217" s="45" t="n">
        <f aca="false">100*AD217/AB217</f>
        <v>9.73692633670012</v>
      </c>
      <c r="AG217" s="45" t="n">
        <f aca="false">IFERROR(100*ABS(AE217-AF217)/(AE217+AF217),0)</f>
        <v>53.6054075951513</v>
      </c>
      <c r="AH217" s="45" t="n">
        <f aca="false">2/(p_AdxN+1)*AG217+(1-2/(p_AdxN+1))*AH216</f>
        <v>37.313036989479</v>
      </c>
      <c r="AI217" s="40" t="n">
        <f aca="false">I217*(1+p_ChPct)</f>
        <v>28.6938695089433</v>
      </c>
      <c r="AJ217" s="40" t="n">
        <f aca="false">I217*(1-p_ChPct)</f>
        <v>25.4455069230252</v>
      </c>
      <c r="AK217" s="40" t="n">
        <f aca="false">I217+1*Y217</f>
        <v>27.7858420621381</v>
      </c>
      <c r="AL217" s="40" t="n">
        <f aca="false">I217+2*Y217</f>
        <v>28.5019959082919</v>
      </c>
      <c r="AM217" s="40" t="n">
        <f aca="false">I217+3*Y217</f>
        <v>29.2181497544457</v>
      </c>
      <c r="AN217" s="40" t="n">
        <f aca="false">I217-1*Y217</f>
        <v>26.3535343698304</v>
      </c>
      <c r="AO217" s="40" t="n">
        <f aca="false">I217-2*Y217</f>
        <v>25.6373805236765</v>
      </c>
      <c r="AP217" s="40" t="n">
        <f aca="false">I217-3*Y217</f>
        <v>24.9212266775227</v>
      </c>
      <c r="AQ217" s="40" t="n">
        <f aca="true">MAX(OFFSET(C217,1-MIN(p_StochN,ROW()-4),0,MIN(p_StochN,ROW()-4),1))</f>
        <v>29.26</v>
      </c>
      <c r="AR217" s="40" t="n">
        <f aca="true">MIN(OFFSET(D217,1-MIN(p_StochN,ROW()-4),0,MIN(p_StochN,ROW()-4),1))</f>
        <v>27.05</v>
      </c>
      <c r="AS217" s="45" t="n">
        <f aca="false">IF(AQ217=AR217,50,100*(E217-AR217)/(AQ217-AR217))</f>
        <v>95.022624434389</v>
      </c>
      <c r="AT217" s="45" t="n">
        <f aca="true">AVERAGE(OFFSET(AS217,1-MIN(p_StochSm,ROW()-4),0,MIN(p_StochSm,ROW()-4),1))</f>
        <v>85.8843898700686</v>
      </c>
      <c r="AU217" s="45" t="n">
        <f aca="true">AVERAGE(OFFSET(AT217,1-MIN(p_StochSm,ROW()-4),0,MIN(p_StochSm,ROW()-4),1))</f>
        <v>82.9596691184868</v>
      </c>
      <c r="AV217" s="41" t="n">
        <f aca="false">MAX(0,H217-D217)</f>
        <v>0</v>
      </c>
      <c r="AW217" s="41" t="n">
        <f aca="true">IF(COUNTIF(OFFSET(AV217,1-MIN(p_PenLb,ROW()-4),0,MIN(p_PenLb,ROW()-4),1),"&gt;0")&gt;0,SUM(OFFSET(AV217,1-MIN(p_PenLb,ROW()-4),0,MIN(p_PenLb,ROW()-4),1))/COUNTIF(OFFSET(AV217,1-MIN(p_PenLb,ROW()-4),0,MIN(p_PenLb,ROW()-4),1),"&gt;0"),0.5*Y217)</f>
        <v>0.524328630772531</v>
      </c>
      <c r="AX217" s="41" t="n">
        <f aca="false">2*H217-H216</f>
        <v>28.0595722107599</v>
      </c>
      <c r="AY217" s="40" t="n">
        <f aca="false">ROUND(MAX(AX217-AW217,0.01),2)</f>
        <v>27.54</v>
      </c>
      <c r="AZ217" s="40" t="n">
        <f aca="true">IF(MIN(p_StopLb,ROW()-4)&lt;2,D217,SMALL(OFFSET(D217,1-MIN(p_StopLb,ROW()-4),0,MIN(p_StopLb,ROW()-4),1),2))</f>
        <v>26.97</v>
      </c>
      <c r="BA217" s="40" t="n">
        <f aca="false">IF(MOD(ROUND(ROUNDDOWN(MIN(AZ217-0.01,AY217-p_StopAtr*Y217),2)*100,0),50)=0,ROUNDDOWN(MIN(AZ217-0.01,AY217-p_StopAtr*Y217),2)-0.01,ROUNDDOWN(MIN(AZ217-0.01,AY217-p_StopAtr*Y217),2))</f>
        <v>26.82</v>
      </c>
      <c r="BB217" s="40" t="n">
        <f aca="false">ROUND(AI217,2)</f>
        <v>28.69</v>
      </c>
      <c r="BC217" s="40" t="n">
        <f aca="false">IF(AY217-BA217&gt;0,(BB217-AY217)/(AY217-BA217),0)</f>
        <v>1.59722222222223</v>
      </c>
      <c r="BD217" s="42" t="n">
        <f aca="false">IF(N217&lt;0,1,0)</f>
        <v>0</v>
      </c>
      <c r="BE217" s="41" t="n">
        <f aca="false">IF(AND(BD217=1,BD216=0),N217,IF(BD217=1,MIN(BE216,N217),BE216))</f>
        <v>-0.0514032452662709</v>
      </c>
      <c r="BF217" s="40" t="n">
        <f aca="false">IF(AND(BD217=1,BD216=0),D217,IF(BD217=1,MIN(BF216,D217),BF216))</f>
        <v>26.79</v>
      </c>
      <c r="BG217" s="42" t="n">
        <f aca="false">IF(AND(BD217=1,BD216=0),ROW(),IF(BD217=1,IF(N217&lt;BE216,ROW(),BG216),BG216))</f>
        <v>213</v>
      </c>
      <c r="BH217" s="41" t="n">
        <f aca="false">IF(AND(BD217=1,BD216=0),BE216,BH216)</f>
        <v>-0.0622611748996084</v>
      </c>
      <c r="BI217" s="40" t="n">
        <f aca="false">IF(AND(BD217=1,BD216=0),BF216,BI216)</f>
        <v>23.33</v>
      </c>
      <c r="BJ217" s="42" t="n">
        <f aca="false">IF(AND(BD217=1,BD216=0),BG216,BJ216)</f>
        <v>190</v>
      </c>
      <c r="BK217" s="42" t="n">
        <f aca="false">IF(AND(ISNUMBER(BG217),ISNUMBER(BJ217)),BG217-BJ217,"")</f>
        <v>23</v>
      </c>
      <c r="BL217" s="42" t="n">
        <f aca="false">IF(AND(BD217=1,N217&gt;N216,ISNUMBER(BH217),ISNUMBER(BK217)),IF(AND(BE217&gt;BH217,BF217&lt;BI217,BK217&gt;=p_GapMin,BK217&lt;=p_GapMax),1,0),0)</f>
        <v>0</v>
      </c>
      <c r="BM217" s="42" t="n">
        <f aca="false">IF(AND(BL217=1,E217&gt;BI217),1,0)</f>
        <v>0</v>
      </c>
      <c r="BN217" s="42" t="n">
        <f aca="false">IF(BL217=1,IF(BE217&gt;=BH217*0.5,1,0),0)</f>
        <v>0</v>
      </c>
      <c r="BO217" s="42" t="n">
        <f aca="true">IF(V217&gt;MIN(OFFSET(V217,-MIN(p_FiLb-1,ROW()-5),0,MIN(p_FiLb-1,ROW()-5),1)),1,0)</f>
        <v>1</v>
      </c>
      <c r="BP217" s="44" t="n">
        <f aca="true">IF(COUNTIF(OFFSET(V217,1-MIN(100,ROW()-4),0,MIN(100,ROW()-4),1),"&lt;0")&gt;=5,AVERAGEIF(OFFSET(V217,1-MIN(100,ROW()-4),0,MIN(100,ROW()-4),1),"&lt;0"),"")</f>
        <v>-856047.040181535</v>
      </c>
      <c r="BQ217" s="42" t="n">
        <f aca="false">IF(ISNUMBER(BP217),IF(AND(V217&lt;5*BP217,V217&gt;V216,E217&lt;AJ217),1,0),0)</f>
        <v>0</v>
      </c>
      <c r="BR217" s="44" t="n">
        <f aca="true">AVERAGE(OFFSET(F217,1-MIN(5,ROW()-4),0,MIN(5,ROW()-4),1))</f>
        <v>4017440</v>
      </c>
      <c r="BS217" s="42" t="n">
        <f aca="false">IFERROR(IF(MATCH(G217,周线!$A$5:$A$84,0)&lt;=1,"",INDEX(周线!$R$5:$R$84,MATCH(G217,周线!$A$5:$A$84,0)-1)),"")</f>
        <v>1</v>
      </c>
      <c r="BT217" s="42" t="n">
        <f aca="false">IFERROR(IF(MATCH(G217,周线!$A$5:$A$84,0)&lt;=1,"",INDEX(周线!$S$5:$S$84,MATCH(G217,周线!$A$5:$A$84,0)-1)),"")</f>
        <v>1</v>
      </c>
      <c r="BU217" s="42" t="n">
        <f aca="false">IFERROR(IF(MATCH(G217,周线!$A$5:$A$84,0)&lt;=1,"",INDEX(周线!$U$5:$U$84,MATCH(G217,周线!$A$5:$A$84,0)-1)),"")</f>
        <v>1</v>
      </c>
      <c r="BV217" s="42" t="n">
        <f aca="false">IF(AND(BS217=1,S217&lt;&gt;-1,V217&lt;0,BO217=1,E217&lt;=H217,E217&gt;=AJ217),1,0)</f>
        <v>0</v>
      </c>
      <c r="BW217" s="42" t="n">
        <f aca="false">BL217</f>
        <v>0</v>
      </c>
      <c r="BX217" s="42" t="n">
        <f aca="false">BQ217</f>
        <v>0</v>
      </c>
      <c r="BY217" s="42" t="n">
        <f aca="false">IF(BS217=1,10,0)+IF(BU217=1,5,IF(BU217=-1,0,3))+IF(BT217=1,5,0)+IF(AND(AE217&gt;AF217,AH217&gt;AH216),5,0)</f>
        <v>25</v>
      </c>
      <c r="BZ217" s="42" t="n">
        <f aca="false">IF(AND(E217&lt;=H217,E217&gt;=I217),10,IF(AND(E217&gt;=AJ217,E217&lt;I217),6,0))+IF(AND(V217&lt;0,BO217=1),8,0)+IF(AT217&lt;30,7,IF(AT217&lt;50,3,0))</f>
        <v>0</v>
      </c>
      <c r="CA217" s="42" t="n">
        <f aca="false">IF(AND(BV217=1,BW217=1),25,IF(BW217=1,22,IF(BV217=1,15,IF(BX217=1,12,0))))</f>
        <v>0</v>
      </c>
      <c r="CB217" s="42" t="n">
        <f aca="false">IF(W217&gt;0,6,0)+IF(F217&lt;BR217,4,0)</f>
        <v>10</v>
      </c>
      <c r="CC217" s="42" t="n">
        <f aca="false">IF(BC217&gt;=3,15,IF(BC217&gt;=p_RRmin,10,IF(BC217&gt;=1.5,4,0)))</f>
        <v>4</v>
      </c>
      <c r="CD217" s="42" t="n">
        <f aca="false">BY217+BZ217+CA217+CB217+CC217</f>
        <v>39</v>
      </c>
      <c r="CE217" s="42" t="n">
        <f aca="false">IF(AND(BS217&lt;&gt;1,BW217+BX217=0),1,0)</f>
        <v>0</v>
      </c>
      <c r="CF217" s="42" t="n">
        <f aca="false">IF(BU217=-1,1,0)</f>
        <v>0</v>
      </c>
      <c r="CG217" s="42" t="n">
        <f aca="false">IF(S217=-1,1,0)</f>
        <v>0</v>
      </c>
      <c r="CH217" s="42" t="n">
        <f aca="false">IF(BV217+BW217+BX217=0,1,0)</f>
        <v>1</v>
      </c>
      <c r="CI217" s="42" t="n">
        <f aca="false">IF(BC217&lt;p_RRmin,1,0)</f>
        <v>1</v>
      </c>
      <c r="CJ217" s="46" t="str">
        <f aca="false">IF(SUM(CE217:CI217)=0,IF(CD217&gt;=p_GradeA,"A",IF(CD217&gt;=p_GradeB,"B","C")),IF(AND(CI217=1,SUM(CE217:CH217)=0,CD217&gt;=p_GradeB),"B","C"))</f>
        <v>C</v>
      </c>
    </row>
    <row r="218" customFormat="false" ht="15" hidden="false" customHeight="false" outlineLevel="0" collapsed="false">
      <c r="A218" s="36" t="n">
        <v>45958</v>
      </c>
      <c r="B218" s="37" t="n">
        <v>28.99</v>
      </c>
      <c r="C218" s="37" t="n">
        <v>29.18</v>
      </c>
      <c r="D218" s="37" t="n">
        <v>28.24</v>
      </c>
      <c r="E218" s="37" t="n">
        <v>28.37</v>
      </c>
      <c r="F218" s="38" t="n">
        <v>3539600</v>
      </c>
      <c r="G218" s="39" t="n">
        <f aca="false">A218-WEEKDAY(A218,3)</f>
        <v>45957</v>
      </c>
      <c r="H218" s="40" t="n">
        <f aca="false">2/(p_EmaF+1)*E218+(1-2/(p_EmaF+1))*H217</f>
        <v>27.9169885596387</v>
      </c>
      <c r="I218" s="40" t="n">
        <f aca="false">2/(p_EmaS+1)*E218+(1-2/(p_EmaS+1))*I217</f>
        <v>27.1660076073928</v>
      </c>
      <c r="J218" s="41" t="n">
        <f aca="false">2/(p_MacdF+1)*E218+(1-2/(p_MacdF+1))*J217</f>
        <v>27.9789770973236</v>
      </c>
      <c r="K218" s="41" t="n">
        <f aca="false">2/(p_MacdS+1)*E218+(1-2/(p_MacdS+1))*K217</f>
        <v>27.1660076073928</v>
      </c>
      <c r="L218" s="41" t="n">
        <f aca="false">J218-K218</f>
        <v>0.812969489930843</v>
      </c>
      <c r="M218" s="41" t="n">
        <f aca="false">2/(p_MacdSig+1)*L218+(1-2/(p_MacdSig+1))*M217</f>
        <v>0.777916855158189</v>
      </c>
      <c r="N218" s="41" t="n">
        <f aca="false">L218-M218</f>
        <v>0.0350526347726546</v>
      </c>
      <c r="O218" s="42" t="n">
        <f aca="false">IF(H218&gt;H217,1,0)</f>
        <v>1</v>
      </c>
      <c r="P218" s="42" t="n">
        <f aca="false">IF(H218&lt;H217,1,0)</f>
        <v>0</v>
      </c>
      <c r="Q218" s="42" t="n">
        <f aca="false">IF(N218&gt;N217,1,0)</f>
        <v>0</v>
      </c>
      <c r="R218" s="42" t="n">
        <f aca="false">IF(N218&lt;N217,1,0)</f>
        <v>1</v>
      </c>
      <c r="S218" s="42" t="n">
        <f aca="false">IF(AND(O218=1,Q218=1),1,IF(AND(P218=1,R218=1),-1,0))</f>
        <v>0</v>
      </c>
      <c r="T218" s="43" t="str">
        <f aca="false">IF(S218=1,"绿",IF(S218=-1,"红","蓝"))</f>
        <v>蓝</v>
      </c>
      <c r="U218" s="44" t="n">
        <f aca="false">F218*(E218-E217)</f>
        <v>-2760887.99999999</v>
      </c>
      <c r="V218" s="44" t="n">
        <f aca="false">2/(p_FiS+1)*U218+(1-2/(p_FiS+1))*V217</f>
        <v>-1296989.36495769</v>
      </c>
      <c r="W218" s="44" t="n">
        <f aca="false">2/(p_FiL+1)*U218+(1-2/(p_FiL+1))*W217</f>
        <v>380416.73012232</v>
      </c>
      <c r="X218" s="41" t="n">
        <f aca="false">MAX(C218-D218,ABS(C218-E217),ABS(D218-E217))</f>
        <v>0.940000000000001</v>
      </c>
      <c r="Y218" s="41" t="n">
        <f aca="true">AVERAGE(OFFSET(X218,1-MIN(p_AtrN,ROW()-4),0,MIN(p_AtrN,ROW()-4),1))</f>
        <v>0.723076923076924</v>
      </c>
      <c r="Z218" s="41" t="n">
        <f aca="false">IF(AND(C218-C217&gt;D217-D218,C218-C217&gt;0),C218-C217,0)</f>
        <v>0</v>
      </c>
      <c r="AA218" s="41" t="n">
        <f aca="false">IF(AND(D217-D218&gt;C218-C217,D217-D218&gt;0),D217-D218,0)</f>
        <v>0.360000000000003</v>
      </c>
      <c r="AB218" s="41" t="n">
        <f aca="false">2/(p_AdxN+1)*X218+(1-2/(p_AdxN+1))*AB217</f>
        <v>0.787098986193787</v>
      </c>
      <c r="AC218" s="41" t="n">
        <f aca="false">2/(p_AdxN+1)*Z218+(1-2/(p_AdxN+1))*AC217</f>
        <v>0.210450518970478</v>
      </c>
      <c r="AD218" s="41" t="n">
        <f aca="false">2/(p_AdxN+1)*AA218+(1-2/(p_AdxN+1))*AD217</f>
        <v>0.114992518830463</v>
      </c>
      <c r="AE218" s="45" t="n">
        <f aca="false">100*AC218/AB218</f>
        <v>26.7374907936502</v>
      </c>
      <c r="AF218" s="45" t="n">
        <f aca="false">100*AD218/AB218</f>
        <v>14.6096642032964</v>
      </c>
      <c r="AG218" s="45" t="n">
        <f aca="false">IFERROR(100*ABS(AE218-AF218)/(AE218+AF218),0)</f>
        <v>29.3317075654889</v>
      </c>
      <c r="AH218" s="45" t="n">
        <f aca="false">2/(p_AdxN+1)*AG218+(1-2/(p_AdxN+1))*AH217</f>
        <v>36.1728470717661</v>
      </c>
      <c r="AI218" s="40" t="n">
        <f aca="false">I218*(1+p_ChPct)</f>
        <v>28.7959680638364</v>
      </c>
      <c r="AJ218" s="40" t="n">
        <f aca="false">I218*(1-p_ChPct)</f>
        <v>25.5360471509492</v>
      </c>
      <c r="AK218" s="40" t="n">
        <f aca="false">I218+1*Y218</f>
        <v>27.8890845304697</v>
      </c>
      <c r="AL218" s="40" t="n">
        <f aca="false">I218+2*Y218</f>
        <v>28.6121614535466</v>
      </c>
      <c r="AM218" s="40" t="n">
        <f aca="false">I218+3*Y218</f>
        <v>29.3352383766236</v>
      </c>
      <c r="AN218" s="40" t="n">
        <f aca="false">I218-1*Y218</f>
        <v>26.4429306843159</v>
      </c>
      <c r="AO218" s="40" t="n">
        <f aca="false">I218-2*Y218</f>
        <v>25.7198537612389</v>
      </c>
      <c r="AP218" s="40" t="n">
        <f aca="false">I218-3*Y218</f>
        <v>24.996776838162</v>
      </c>
      <c r="AQ218" s="40" t="n">
        <f aca="true">MAX(OFFSET(C218,1-MIN(p_StochN,ROW()-4),0,MIN(p_StochN,ROW()-4),1))</f>
        <v>29.26</v>
      </c>
      <c r="AR218" s="40" t="n">
        <f aca="true">MIN(OFFSET(D218,1-MIN(p_StochN,ROW()-4),0,MIN(p_StochN,ROW()-4),1))</f>
        <v>27.43</v>
      </c>
      <c r="AS218" s="45" t="n">
        <f aca="false">IF(AQ218=AR218,50,100*(E218-AR218)/(AQ218-AR218))</f>
        <v>51.3661202185793</v>
      </c>
      <c r="AT218" s="45" t="n">
        <f aca="true">AVERAGE(OFFSET(AS218,1-MIN(p_StochSm,ROW()-4),0,MIN(p_StochSm,ROW()-4),1))</f>
        <v>78.6867020517719</v>
      </c>
      <c r="AU218" s="45" t="n">
        <f aca="true">AVERAGE(OFFSET(AT218,1-MIN(p_StochSm,ROW()-4),0,MIN(p_StochSm,ROW()-4),1))</f>
        <v>83.5653890880446</v>
      </c>
      <c r="AV218" s="41" t="n">
        <f aca="false">MAX(0,H218-D218)</f>
        <v>0</v>
      </c>
      <c r="AW218" s="41" t="n">
        <f aca="true">IF(COUNTIF(OFFSET(AV218,1-MIN(p_PenLb,ROW()-4),0,MIN(p_PenLb,ROW()-4),1),"&gt;0")&gt;0,SUM(OFFSET(AV218,1-MIN(p_PenLb,ROW()-4),0,MIN(p_PenLb,ROW()-4),1))/COUNTIF(OFFSET(AV218,1-MIN(p_PenLb,ROW()-4),0,MIN(p_PenLb,ROW()-4),1),"&gt;0"),0.5*Y218)</f>
        <v>0.524328630772531</v>
      </c>
      <c r="AX218" s="41" t="n">
        <f aca="false">2*H218-H217</f>
        <v>27.9924904663656</v>
      </c>
      <c r="AY218" s="40" t="n">
        <f aca="false">ROUND(MAX(AX218-AW218,0.01),2)</f>
        <v>27.47</v>
      </c>
      <c r="AZ218" s="40" t="n">
        <f aca="true">IF(MIN(p_StopLb,ROW()-4)&lt;2,D218,SMALL(OFFSET(D218,1-MIN(p_StopLb,ROW()-4),0,MIN(p_StopLb,ROW()-4),1),2))</f>
        <v>27.05</v>
      </c>
      <c r="BA218" s="40" t="n">
        <f aca="false">IF(MOD(ROUND(ROUNDDOWN(MIN(AZ218-0.01,AY218-p_StopAtr*Y218),2)*100,0),50)=0,ROUNDDOWN(MIN(AZ218-0.01,AY218-p_StopAtr*Y218),2)-0.01,ROUNDDOWN(MIN(AZ218-0.01,AY218-p_StopAtr*Y218),2))</f>
        <v>26.74</v>
      </c>
      <c r="BB218" s="40" t="n">
        <f aca="false">ROUND(AI218,2)</f>
        <v>28.8</v>
      </c>
      <c r="BC218" s="40" t="n">
        <f aca="false">IF(AY218-BA218&gt;0,(BB218-AY218)/(AY218-BA218),0)</f>
        <v>1.82191780821918</v>
      </c>
      <c r="BD218" s="42" t="n">
        <f aca="false">IF(N218&lt;0,1,0)</f>
        <v>0</v>
      </c>
      <c r="BE218" s="41" t="n">
        <f aca="false">IF(AND(BD218=1,BD217=0),N218,IF(BD218=1,MIN(BE217,N218),BE217))</f>
        <v>-0.0514032452662709</v>
      </c>
      <c r="BF218" s="40" t="n">
        <f aca="false">IF(AND(BD218=1,BD217=0),D218,IF(BD218=1,MIN(BF217,D218),BF217))</f>
        <v>26.79</v>
      </c>
      <c r="BG218" s="42" t="n">
        <f aca="false">IF(AND(BD218=1,BD217=0),ROW(),IF(BD218=1,IF(N218&lt;BE217,ROW(),BG217),BG217))</f>
        <v>213</v>
      </c>
      <c r="BH218" s="41" t="n">
        <f aca="false">IF(AND(BD218=1,BD217=0),BE217,BH217)</f>
        <v>-0.0622611748996084</v>
      </c>
      <c r="BI218" s="40" t="n">
        <f aca="false">IF(AND(BD218=1,BD217=0),BF217,BI217)</f>
        <v>23.33</v>
      </c>
      <c r="BJ218" s="42" t="n">
        <f aca="false">IF(AND(BD218=1,BD217=0),BG217,BJ217)</f>
        <v>190</v>
      </c>
      <c r="BK218" s="42" t="n">
        <f aca="false">IF(AND(ISNUMBER(BG218),ISNUMBER(BJ218)),BG218-BJ218,"")</f>
        <v>23</v>
      </c>
      <c r="BL218" s="42" t="n">
        <f aca="false">IF(AND(BD218=1,N218&gt;N217,ISNUMBER(BH218),ISNUMBER(BK218)),IF(AND(BE218&gt;BH218,BF218&lt;BI218,BK218&gt;=p_GapMin,BK218&lt;=p_GapMax),1,0),0)</f>
        <v>0</v>
      </c>
      <c r="BM218" s="42" t="n">
        <f aca="false">IF(AND(BL218=1,E218&gt;BI218),1,0)</f>
        <v>0</v>
      </c>
      <c r="BN218" s="42" t="n">
        <f aca="false">IF(BL218=1,IF(BE218&gt;=BH218*0.5,1,0),0)</f>
        <v>0</v>
      </c>
      <c r="BO218" s="42" t="n">
        <f aca="true">IF(V218&gt;MIN(OFFSET(V218,-MIN(p_FiLb-1,ROW()-5),0,MIN(p_FiLb-1,ROW()-5),1)),1,0)</f>
        <v>1</v>
      </c>
      <c r="BP218" s="44" t="n">
        <f aca="true">IF(COUNTIF(OFFSET(V218,1-MIN(100,ROW()-4),0,MIN(100,ROW()-4),1),"&lt;0")&gt;=5,AVERAGEIF(OFFSET(V218,1-MIN(100,ROW()-4),0,MIN(100,ROW()-4),1),"&lt;0"),"")</f>
        <v>-867964.400310621</v>
      </c>
      <c r="BQ218" s="42" t="n">
        <f aca="false">IF(ISNUMBER(BP218),IF(AND(V218&lt;5*BP218,V218&gt;V217,E218&lt;AJ218),1,0),0)</f>
        <v>0</v>
      </c>
      <c r="BR218" s="44" t="n">
        <f aca="true">AVERAGE(OFFSET(F218,1-MIN(5,ROW()-4),0,MIN(5,ROW()-4),1))</f>
        <v>3716400</v>
      </c>
      <c r="BS218" s="42" t="n">
        <f aca="false">IFERROR(IF(MATCH(G218,周线!$A$5:$A$84,0)&lt;=1,"",INDEX(周线!$R$5:$R$84,MATCH(G218,周线!$A$5:$A$84,0)-1)),"")</f>
        <v>1</v>
      </c>
      <c r="BT218" s="42" t="n">
        <f aca="false">IFERROR(IF(MATCH(G218,周线!$A$5:$A$84,0)&lt;=1,"",INDEX(周线!$S$5:$S$84,MATCH(G218,周线!$A$5:$A$84,0)-1)),"")</f>
        <v>1</v>
      </c>
      <c r="BU218" s="42" t="n">
        <f aca="false">IFERROR(IF(MATCH(G218,周线!$A$5:$A$84,0)&lt;=1,"",INDEX(周线!$U$5:$U$84,MATCH(G218,周线!$A$5:$A$84,0)-1)),"")</f>
        <v>1</v>
      </c>
      <c r="BV218" s="42" t="n">
        <f aca="false">IF(AND(BS218=1,S218&lt;&gt;-1,V218&lt;0,BO218=1,E218&lt;=H218,E218&gt;=AJ218),1,0)</f>
        <v>0</v>
      </c>
      <c r="BW218" s="42" t="n">
        <f aca="false">BL218</f>
        <v>0</v>
      </c>
      <c r="BX218" s="42" t="n">
        <f aca="false">BQ218</f>
        <v>0</v>
      </c>
      <c r="BY218" s="42" t="n">
        <f aca="false">IF(BS218=1,10,0)+IF(BU218=1,5,IF(BU218=-1,0,3))+IF(BT218=1,5,0)+IF(AND(AE218&gt;AF218,AH218&gt;AH217),5,0)</f>
        <v>20</v>
      </c>
      <c r="BZ218" s="42" t="n">
        <f aca="false">IF(AND(E218&lt;=H218,E218&gt;=I218),10,IF(AND(E218&gt;=AJ218,E218&lt;I218),6,0))+IF(AND(V218&lt;0,BO218=1),8,0)+IF(AT218&lt;30,7,IF(AT218&lt;50,3,0))</f>
        <v>8</v>
      </c>
      <c r="CA218" s="42" t="n">
        <f aca="false">IF(AND(BV218=1,BW218=1),25,IF(BW218=1,22,IF(BV218=1,15,IF(BX218=1,12,0))))</f>
        <v>0</v>
      </c>
      <c r="CB218" s="42" t="n">
        <f aca="false">IF(W218&gt;0,6,0)+IF(F218&lt;BR218,4,0)</f>
        <v>10</v>
      </c>
      <c r="CC218" s="42" t="n">
        <f aca="false">IF(BC218&gt;=3,15,IF(BC218&gt;=p_RRmin,10,IF(BC218&gt;=1.5,4,0)))</f>
        <v>4</v>
      </c>
      <c r="CD218" s="42" t="n">
        <f aca="false">BY218+BZ218+CA218+CB218+CC218</f>
        <v>42</v>
      </c>
      <c r="CE218" s="42" t="n">
        <f aca="false">IF(AND(BS218&lt;&gt;1,BW218+BX218=0),1,0)</f>
        <v>0</v>
      </c>
      <c r="CF218" s="42" t="n">
        <f aca="false">IF(BU218=-1,1,0)</f>
        <v>0</v>
      </c>
      <c r="CG218" s="42" t="n">
        <f aca="false">IF(S218=-1,1,0)</f>
        <v>0</v>
      </c>
      <c r="CH218" s="42" t="n">
        <f aca="false">IF(BV218+BW218+BX218=0,1,0)</f>
        <v>1</v>
      </c>
      <c r="CI218" s="42" t="n">
        <f aca="false">IF(BC218&lt;p_RRmin,1,0)</f>
        <v>1</v>
      </c>
      <c r="CJ218" s="46" t="str">
        <f aca="false">IF(SUM(CE218:CI218)=0,IF(CD218&gt;=p_GradeA,"A",IF(CD218&gt;=p_GradeB,"B","C")),IF(AND(CI218=1,SUM(CE218:CH218)=0,CD218&gt;=p_GradeB),"B","C"))</f>
        <v>C</v>
      </c>
    </row>
    <row r="219" customFormat="false" ht="15" hidden="false" customHeight="false" outlineLevel="0" collapsed="false">
      <c r="A219" s="36" t="n">
        <v>45959</v>
      </c>
      <c r="B219" s="37" t="n">
        <v>28.29</v>
      </c>
      <c r="C219" s="37" t="n">
        <v>29.06</v>
      </c>
      <c r="D219" s="37" t="n">
        <v>28.07</v>
      </c>
      <c r="E219" s="37" t="n">
        <v>28.9</v>
      </c>
      <c r="F219" s="38" t="n">
        <v>4934400</v>
      </c>
      <c r="G219" s="39" t="n">
        <f aca="false">A219-WEEKDAY(A219,3)</f>
        <v>45957</v>
      </c>
      <c r="H219" s="40" t="n">
        <f aca="false">2/(p_EmaF+1)*E219+(1-2/(p_EmaF+1))*H218</f>
        <v>28.0574187654046</v>
      </c>
      <c r="I219" s="40" t="n">
        <f aca="false">2/(p_EmaS+1)*E219+(1-2/(p_EmaS+1))*I218</f>
        <v>27.2944514883267</v>
      </c>
      <c r="J219" s="41" t="n">
        <f aca="false">2/(p_MacdF+1)*E219+(1-2/(p_MacdF+1))*J218</f>
        <v>28.1206729285046</v>
      </c>
      <c r="K219" s="41" t="n">
        <f aca="false">2/(p_MacdS+1)*E219+(1-2/(p_MacdS+1))*K218</f>
        <v>27.2944514883267</v>
      </c>
      <c r="L219" s="41" t="n">
        <f aca="false">J219-K219</f>
        <v>0.82622144017796</v>
      </c>
      <c r="M219" s="41" t="n">
        <f aca="false">2/(p_MacdSig+1)*L219+(1-2/(p_MacdSig+1))*M218</f>
        <v>0.787577772162143</v>
      </c>
      <c r="N219" s="41" t="n">
        <f aca="false">L219-M219</f>
        <v>0.0386436680158171</v>
      </c>
      <c r="O219" s="42" t="n">
        <f aca="false">IF(H219&gt;H218,1,0)</f>
        <v>1</v>
      </c>
      <c r="P219" s="42" t="n">
        <f aca="false">IF(H219&lt;H218,1,0)</f>
        <v>0</v>
      </c>
      <c r="Q219" s="42" t="n">
        <f aca="false">IF(N219&gt;N218,1,0)</f>
        <v>1</v>
      </c>
      <c r="R219" s="42" t="n">
        <f aca="false">IF(N219&lt;N218,1,0)</f>
        <v>0</v>
      </c>
      <c r="S219" s="42" t="n">
        <f aca="false">IF(AND(O219=1,Q219=1),1,IF(AND(P219=1,R219=1),-1,0))</f>
        <v>1</v>
      </c>
      <c r="T219" s="43" t="str">
        <f aca="false">IF(S219=1,"绿",IF(S219=-1,"红","蓝"))</f>
        <v>绿</v>
      </c>
      <c r="U219" s="44" t="n">
        <f aca="false">F219*(E219-E218)</f>
        <v>2615231.99999999</v>
      </c>
      <c r="V219" s="44" t="n">
        <f aca="false">2/(p_FiS+1)*U219+(1-2/(p_FiS+1))*V218</f>
        <v>1311158.21168076</v>
      </c>
      <c r="W219" s="44" t="n">
        <f aca="false">2/(p_FiL+1)*U219+(1-2/(p_FiL+1))*W218</f>
        <v>699676.054390558</v>
      </c>
      <c r="X219" s="41" t="n">
        <f aca="false">MAX(C219-D219,ABS(C219-E218),ABS(D219-E218))</f>
        <v>0.989999999999998</v>
      </c>
      <c r="Y219" s="41" t="n">
        <f aca="true">AVERAGE(OFFSET(X219,1-MIN(p_AtrN,ROW()-4),0,MIN(p_AtrN,ROW()-4),1))</f>
        <v>0.773846153846155</v>
      </c>
      <c r="Z219" s="41" t="n">
        <f aca="false">IF(AND(C219-C218&gt;D218-D219,C219-C218&gt;0),C219-C218,0)</f>
        <v>0</v>
      </c>
      <c r="AA219" s="41" t="n">
        <f aca="false">IF(AND(D218-D219&gt;C219-C218,D218-D219&gt;0),D218-D219,0)</f>
        <v>0.169999999999998</v>
      </c>
      <c r="AB219" s="41" t="n">
        <f aca="false">2/(p_AdxN+1)*X219+(1-2/(p_AdxN+1))*AB218</f>
        <v>0.81608484530896</v>
      </c>
      <c r="AC219" s="41" t="n">
        <f aca="false">2/(p_AdxN+1)*Z219+(1-2/(p_AdxN+1))*AC218</f>
        <v>0.180386159117553</v>
      </c>
      <c r="AD219" s="41" t="n">
        <f aca="false">2/(p_AdxN+1)*AA219+(1-2/(p_AdxN+1))*AD218</f>
        <v>0.122850730426111</v>
      </c>
      <c r="AE219" s="45" t="n">
        <f aca="false">100*AC219/AB219</f>
        <v>22.103848656724</v>
      </c>
      <c r="AF219" s="45" t="n">
        <f aca="false">100*AD219/AB219</f>
        <v>15.0536713348231</v>
      </c>
      <c r="AG219" s="45" t="n">
        <f aca="false">IFERROR(100*ABS(AE219-AF219)/(AE219+AF219),0)</f>
        <v>18.973756384992</v>
      </c>
      <c r="AH219" s="45" t="n">
        <f aca="false">2/(p_AdxN+1)*AG219+(1-2/(p_AdxN+1))*AH218</f>
        <v>33.7158341165127</v>
      </c>
      <c r="AI219" s="40" t="n">
        <f aca="false">I219*(1+p_ChPct)</f>
        <v>28.9321185776263</v>
      </c>
      <c r="AJ219" s="40" t="n">
        <f aca="false">I219*(1-p_ChPct)</f>
        <v>25.6567843990271</v>
      </c>
      <c r="AK219" s="40" t="n">
        <f aca="false">I219+1*Y219</f>
        <v>28.0682976421728</v>
      </c>
      <c r="AL219" s="40" t="n">
        <f aca="false">I219+2*Y219</f>
        <v>28.842143796019</v>
      </c>
      <c r="AM219" s="40" t="n">
        <f aca="false">I219+3*Y219</f>
        <v>29.6159899498651</v>
      </c>
      <c r="AN219" s="40" t="n">
        <f aca="false">I219-1*Y219</f>
        <v>26.5206053344805</v>
      </c>
      <c r="AO219" s="40" t="n">
        <f aca="false">I219-2*Y219</f>
        <v>25.7467591806343</v>
      </c>
      <c r="AP219" s="40" t="n">
        <f aca="false">I219-3*Y219</f>
        <v>24.9729130267882</v>
      </c>
      <c r="AQ219" s="40" t="n">
        <f aca="true">MAX(OFFSET(C219,1-MIN(p_StochN,ROW()-4),0,MIN(p_StochN,ROW()-4),1))</f>
        <v>29.26</v>
      </c>
      <c r="AR219" s="40" t="n">
        <f aca="true">MIN(OFFSET(D219,1-MIN(p_StochN,ROW()-4),0,MIN(p_StochN,ROW()-4),1))</f>
        <v>27.84</v>
      </c>
      <c r="AS219" s="45" t="n">
        <f aca="false">IF(AQ219=AR219,50,100*(E219-AR219)/(AQ219-AR219))</f>
        <v>74.6478873239435</v>
      </c>
      <c r="AT219" s="45" t="n">
        <f aca="true">AVERAGE(OFFSET(AS219,1-MIN(p_StochSm,ROW()-4),0,MIN(p_StochSm,ROW()-4),1))</f>
        <v>73.6788773256373</v>
      </c>
      <c r="AU219" s="45" t="n">
        <f aca="true">AVERAGE(OFFSET(AT219,1-MIN(p_StochSm,ROW()-4),0,MIN(p_StochSm,ROW()-4),1))</f>
        <v>79.4166564158259</v>
      </c>
      <c r="AV219" s="41" t="n">
        <f aca="false">MAX(0,H219-D219)</f>
        <v>0</v>
      </c>
      <c r="AW219" s="41" t="n">
        <f aca="true">IF(COUNTIF(OFFSET(AV219,1-MIN(p_PenLb,ROW()-4),0,MIN(p_PenLb,ROW()-4),1),"&gt;0")&gt;0,SUM(OFFSET(AV219,1-MIN(p_PenLb,ROW()-4),0,MIN(p_PenLb,ROW()-4),1))/COUNTIF(OFFSET(AV219,1-MIN(p_PenLb,ROW()-4),0,MIN(p_PenLb,ROW()-4),1),"&gt;0"),0.5*Y219)</f>
        <v>0.45724769703154</v>
      </c>
      <c r="AX219" s="41" t="n">
        <f aca="false">2*H219-H218</f>
        <v>28.1978489711705</v>
      </c>
      <c r="AY219" s="40" t="n">
        <f aca="false">ROUND(MAX(AX219-AW219,0.01),2)</f>
        <v>27.74</v>
      </c>
      <c r="AZ219" s="40" t="n">
        <f aca="true">IF(MIN(p_StopLb,ROW()-4)&lt;2,D219,SMALL(OFFSET(D219,1-MIN(p_StopLb,ROW()-4),0,MIN(p_StopLb,ROW()-4),1),2))</f>
        <v>27.05</v>
      </c>
      <c r="BA219" s="40" t="n">
        <f aca="false">IF(MOD(ROUND(ROUNDDOWN(MIN(AZ219-0.01,AY219-p_StopAtr*Y219),2)*100,0),50)=0,ROUNDDOWN(MIN(AZ219-0.01,AY219-p_StopAtr*Y219),2)-0.01,ROUNDDOWN(MIN(AZ219-0.01,AY219-p_StopAtr*Y219),2))</f>
        <v>26.96</v>
      </c>
      <c r="BB219" s="40" t="n">
        <f aca="false">ROUND(AI219,2)</f>
        <v>28.93</v>
      </c>
      <c r="BC219" s="40" t="n">
        <f aca="false">IF(AY219-BA219&gt;0,(BB219-AY219)/(AY219-BA219),0)</f>
        <v>1.52564102564103</v>
      </c>
      <c r="BD219" s="42" t="n">
        <f aca="false">IF(N219&lt;0,1,0)</f>
        <v>0</v>
      </c>
      <c r="BE219" s="41" t="n">
        <f aca="false">IF(AND(BD219=1,BD218=0),N219,IF(BD219=1,MIN(BE218,N219),BE218))</f>
        <v>-0.0514032452662709</v>
      </c>
      <c r="BF219" s="40" t="n">
        <f aca="false">IF(AND(BD219=1,BD218=0),D219,IF(BD219=1,MIN(BF218,D219),BF218))</f>
        <v>26.79</v>
      </c>
      <c r="BG219" s="42" t="n">
        <f aca="false">IF(AND(BD219=1,BD218=0),ROW(),IF(BD219=1,IF(N219&lt;BE218,ROW(),BG218),BG218))</f>
        <v>213</v>
      </c>
      <c r="BH219" s="41" t="n">
        <f aca="false">IF(AND(BD219=1,BD218=0),BE218,BH218)</f>
        <v>-0.0622611748996084</v>
      </c>
      <c r="BI219" s="40" t="n">
        <f aca="false">IF(AND(BD219=1,BD218=0),BF218,BI218)</f>
        <v>23.33</v>
      </c>
      <c r="BJ219" s="42" t="n">
        <f aca="false">IF(AND(BD219=1,BD218=0),BG218,BJ218)</f>
        <v>190</v>
      </c>
      <c r="BK219" s="42" t="n">
        <f aca="false">IF(AND(ISNUMBER(BG219),ISNUMBER(BJ219)),BG219-BJ219,"")</f>
        <v>23</v>
      </c>
      <c r="BL219" s="42" t="n">
        <f aca="false">IF(AND(BD219=1,N219&gt;N218,ISNUMBER(BH219),ISNUMBER(BK219)),IF(AND(BE219&gt;BH219,BF219&lt;BI219,BK219&gt;=p_GapMin,BK219&lt;=p_GapMax),1,0),0)</f>
        <v>0</v>
      </c>
      <c r="BM219" s="42" t="n">
        <f aca="false">IF(AND(BL219=1,E219&gt;BI219),1,0)</f>
        <v>0</v>
      </c>
      <c r="BN219" s="42" t="n">
        <f aca="false">IF(BL219=1,IF(BE219&gt;=BH219*0.5,1,0),0)</f>
        <v>0</v>
      </c>
      <c r="BO219" s="42" t="n">
        <f aca="true">IF(V219&gt;MIN(OFFSET(V219,-MIN(p_FiLb-1,ROW()-5),0,MIN(p_FiLb-1,ROW()-5),1)),1,0)</f>
        <v>1</v>
      </c>
      <c r="BP219" s="44" t="n">
        <f aca="true">IF(COUNTIF(OFFSET(V219,1-MIN(100,ROW()-4),0,MIN(100,ROW()-4),1),"&lt;0")&gt;=5,AVERAGEIF(OFFSET(V219,1-MIN(100,ROW()-4),0,MIN(100,ROW()-4),1),"&lt;0"),"")</f>
        <v>-883219.105012323</v>
      </c>
      <c r="BQ219" s="42" t="n">
        <f aca="false">IF(ISNUMBER(BP219),IF(AND(V219&lt;5*BP219,V219&gt;V218,E219&lt;AJ219),1,0),0)</f>
        <v>0</v>
      </c>
      <c r="BR219" s="44" t="n">
        <f aca="true">AVERAGE(OFFSET(F219,1-MIN(5,ROW()-4),0,MIN(5,ROW()-4),1))</f>
        <v>3813840</v>
      </c>
      <c r="BS219" s="42" t="n">
        <f aca="false">IFERROR(IF(MATCH(G219,周线!$A$5:$A$84,0)&lt;=1,"",INDEX(周线!$R$5:$R$84,MATCH(G219,周线!$A$5:$A$84,0)-1)),"")</f>
        <v>1</v>
      </c>
      <c r="BT219" s="42" t="n">
        <f aca="false">IFERROR(IF(MATCH(G219,周线!$A$5:$A$84,0)&lt;=1,"",INDEX(周线!$S$5:$S$84,MATCH(G219,周线!$A$5:$A$84,0)-1)),"")</f>
        <v>1</v>
      </c>
      <c r="BU219" s="42" t="n">
        <f aca="false">IFERROR(IF(MATCH(G219,周线!$A$5:$A$84,0)&lt;=1,"",INDEX(周线!$U$5:$U$84,MATCH(G219,周线!$A$5:$A$84,0)-1)),"")</f>
        <v>1</v>
      </c>
      <c r="BV219" s="42" t="n">
        <f aca="false">IF(AND(BS219=1,S219&lt;&gt;-1,V219&lt;0,BO219=1,E219&lt;=H219,E219&gt;=AJ219),1,0)</f>
        <v>0</v>
      </c>
      <c r="BW219" s="42" t="n">
        <f aca="false">BL219</f>
        <v>0</v>
      </c>
      <c r="BX219" s="42" t="n">
        <f aca="false">BQ219</f>
        <v>0</v>
      </c>
      <c r="BY219" s="42" t="n">
        <f aca="false">IF(BS219=1,10,0)+IF(BU219=1,5,IF(BU219=-1,0,3))+IF(BT219=1,5,0)+IF(AND(AE219&gt;AF219,AH219&gt;AH218),5,0)</f>
        <v>20</v>
      </c>
      <c r="BZ219" s="42" t="n">
        <f aca="false">IF(AND(E219&lt;=H219,E219&gt;=I219),10,IF(AND(E219&gt;=AJ219,E219&lt;I219),6,0))+IF(AND(V219&lt;0,BO219=1),8,0)+IF(AT219&lt;30,7,IF(AT219&lt;50,3,0))</f>
        <v>0</v>
      </c>
      <c r="CA219" s="42" t="n">
        <f aca="false">IF(AND(BV219=1,BW219=1),25,IF(BW219=1,22,IF(BV219=1,15,IF(BX219=1,12,0))))</f>
        <v>0</v>
      </c>
      <c r="CB219" s="42" t="n">
        <f aca="false">IF(W219&gt;0,6,0)+IF(F219&lt;BR219,4,0)</f>
        <v>6</v>
      </c>
      <c r="CC219" s="42" t="n">
        <f aca="false">IF(BC219&gt;=3,15,IF(BC219&gt;=p_RRmin,10,IF(BC219&gt;=1.5,4,0)))</f>
        <v>4</v>
      </c>
      <c r="CD219" s="42" t="n">
        <f aca="false">BY219+BZ219+CA219+CB219+CC219</f>
        <v>30</v>
      </c>
      <c r="CE219" s="42" t="n">
        <f aca="false">IF(AND(BS219&lt;&gt;1,BW219+BX219=0),1,0)</f>
        <v>0</v>
      </c>
      <c r="CF219" s="42" t="n">
        <f aca="false">IF(BU219=-1,1,0)</f>
        <v>0</v>
      </c>
      <c r="CG219" s="42" t="n">
        <f aca="false">IF(S219=-1,1,0)</f>
        <v>0</v>
      </c>
      <c r="CH219" s="42" t="n">
        <f aca="false">IF(BV219+BW219+BX219=0,1,0)</f>
        <v>1</v>
      </c>
      <c r="CI219" s="42" t="n">
        <f aca="false">IF(BC219&lt;p_RRmin,1,0)</f>
        <v>1</v>
      </c>
      <c r="CJ219" s="46" t="str">
        <f aca="false">IF(SUM(CE219:CI219)=0,IF(CD219&gt;=p_GradeA,"A",IF(CD219&gt;=p_GradeB,"B","C")),IF(AND(CI219=1,SUM(CE219:CH219)=0,CD219&gt;=p_GradeB),"B","C"))</f>
        <v>C</v>
      </c>
    </row>
    <row r="220" customFormat="false" ht="15" hidden="false" customHeight="false" outlineLevel="0" collapsed="false">
      <c r="A220" s="36" t="n">
        <v>45960</v>
      </c>
      <c r="B220" s="37" t="n">
        <v>28.77</v>
      </c>
      <c r="C220" s="37" t="n">
        <v>28.94</v>
      </c>
      <c r="D220" s="37" t="n">
        <v>28.52</v>
      </c>
      <c r="E220" s="37" t="n">
        <v>28.62</v>
      </c>
      <c r="F220" s="38" t="n">
        <v>4556100</v>
      </c>
      <c r="G220" s="39" t="n">
        <f aca="false">A220-WEEKDAY(A220,3)</f>
        <v>45957</v>
      </c>
      <c r="H220" s="40" t="n">
        <f aca="false">2/(p_EmaF+1)*E220+(1-2/(p_EmaF+1))*H219</f>
        <v>28.137787513204</v>
      </c>
      <c r="I220" s="40" t="n">
        <f aca="false">2/(p_EmaS+1)*E220+(1-2/(p_EmaS+1))*I219</f>
        <v>27.3926402669691</v>
      </c>
      <c r="J220" s="41" t="n">
        <f aca="false">2/(p_MacdF+1)*E220+(1-2/(p_MacdF+1))*J219</f>
        <v>28.1974924779654</v>
      </c>
      <c r="K220" s="41" t="n">
        <f aca="false">2/(p_MacdS+1)*E220+(1-2/(p_MacdS+1))*K219</f>
        <v>27.3926402669691</v>
      </c>
      <c r="L220" s="41" t="n">
        <f aca="false">J220-K220</f>
        <v>0.804852210996319</v>
      </c>
      <c r="M220" s="41" t="n">
        <f aca="false">2/(p_MacdSig+1)*L220+(1-2/(p_MacdSig+1))*M219</f>
        <v>0.791032659928978</v>
      </c>
      <c r="N220" s="41" t="n">
        <f aca="false">L220-M220</f>
        <v>0.013819551067341</v>
      </c>
      <c r="O220" s="42" t="n">
        <f aca="false">IF(H220&gt;H219,1,0)</f>
        <v>1</v>
      </c>
      <c r="P220" s="42" t="n">
        <f aca="false">IF(H220&lt;H219,1,0)</f>
        <v>0</v>
      </c>
      <c r="Q220" s="42" t="n">
        <f aca="false">IF(N220&gt;N219,1,0)</f>
        <v>0</v>
      </c>
      <c r="R220" s="42" t="n">
        <f aca="false">IF(N220&lt;N219,1,0)</f>
        <v>1</v>
      </c>
      <c r="S220" s="42" t="n">
        <f aca="false">IF(AND(O220=1,Q220=1),1,IF(AND(P220=1,R220=1),-1,0))</f>
        <v>0</v>
      </c>
      <c r="T220" s="43" t="str">
        <f aca="false">IF(S220=1,"绿",IF(S220=-1,"红","蓝"))</f>
        <v>蓝</v>
      </c>
      <c r="U220" s="44" t="n">
        <f aca="false">F220*(E220-E219)</f>
        <v>-1275707.99999999</v>
      </c>
      <c r="V220" s="44" t="n">
        <f aca="false">2/(p_FiS+1)*U220+(1-2/(p_FiS+1))*V219</f>
        <v>-413419.262773072</v>
      </c>
      <c r="W220" s="44" t="n">
        <f aca="false">2/(p_FiL+1)*U220+(1-2/(p_FiL+1))*W219</f>
        <v>417478.332334766</v>
      </c>
      <c r="X220" s="41" t="n">
        <f aca="false">MAX(C220-D220,ABS(C220-E219),ABS(D220-E219))</f>
        <v>0.420000000000002</v>
      </c>
      <c r="Y220" s="41" t="n">
        <f aca="true">AVERAGE(OFFSET(X220,1-MIN(p_AtrN,ROW()-4),0,MIN(p_AtrN,ROW()-4),1))</f>
        <v>0.764615384615386</v>
      </c>
      <c r="Z220" s="41" t="n">
        <f aca="false">IF(AND(C220-C219&gt;D219-D220,C220-C219&gt;0),C220-C219,0)</f>
        <v>0</v>
      </c>
      <c r="AA220" s="41" t="n">
        <f aca="false">IF(AND(D219-D220&gt;C220-C219,D219-D220&gt;0),D219-D220,0)</f>
        <v>0</v>
      </c>
      <c r="AB220" s="41" t="n">
        <f aca="false">2/(p_AdxN+1)*X220+(1-2/(p_AdxN+1))*AB219</f>
        <v>0.759501295979109</v>
      </c>
      <c r="AC220" s="41" t="n">
        <f aca="false">2/(p_AdxN+1)*Z220+(1-2/(p_AdxN+1))*AC219</f>
        <v>0.154616707815045</v>
      </c>
      <c r="AD220" s="41" t="n">
        <f aca="false">2/(p_AdxN+1)*AA220+(1-2/(p_AdxN+1))*AD219</f>
        <v>0.105300626079523</v>
      </c>
      <c r="AE220" s="45" t="n">
        <f aca="false">100*AC220/AB220</f>
        <v>20.3576621440417</v>
      </c>
      <c r="AF220" s="45" t="n">
        <f aca="false">100*AD220/AB220</f>
        <v>13.8644432388723</v>
      </c>
      <c r="AG220" s="45" t="n">
        <f aca="false">IFERROR(100*ABS(AE220-AF220)/(AE220+AF220),0)</f>
        <v>18.973756384992</v>
      </c>
      <c r="AH220" s="45" t="n">
        <f aca="false">2/(p_AdxN+1)*AG220+(1-2/(p_AdxN+1))*AH219</f>
        <v>31.6098230120097</v>
      </c>
      <c r="AI220" s="40" t="n">
        <f aca="false">I220*(1+p_ChPct)</f>
        <v>29.0361986829873</v>
      </c>
      <c r="AJ220" s="40" t="n">
        <f aca="false">I220*(1-p_ChPct)</f>
        <v>25.749081850951</v>
      </c>
      <c r="AK220" s="40" t="n">
        <f aca="false">I220+1*Y220</f>
        <v>28.1572556515845</v>
      </c>
      <c r="AL220" s="40" t="n">
        <f aca="false">I220+2*Y220</f>
        <v>28.9218710361999</v>
      </c>
      <c r="AM220" s="40" t="n">
        <f aca="false">I220+3*Y220</f>
        <v>29.6864864208153</v>
      </c>
      <c r="AN220" s="40" t="n">
        <f aca="false">I220-1*Y220</f>
        <v>26.6280248823537</v>
      </c>
      <c r="AO220" s="40" t="n">
        <f aca="false">I220-2*Y220</f>
        <v>25.8634094977384</v>
      </c>
      <c r="AP220" s="40" t="n">
        <f aca="false">I220-3*Y220</f>
        <v>25.098794113123</v>
      </c>
      <c r="AQ220" s="40" t="n">
        <f aca="true">MAX(OFFSET(C220,1-MIN(p_StochN,ROW()-4),0,MIN(p_StochN,ROW()-4),1))</f>
        <v>29.26</v>
      </c>
      <c r="AR220" s="40" t="n">
        <f aca="true">MIN(OFFSET(D220,1-MIN(p_StochN,ROW()-4),0,MIN(p_StochN,ROW()-4),1))</f>
        <v>27.86</v>
      </c>
      <c r="AS220" s="45" t="n">
        <f aca="false">IF(AQ220=AR220,50,100*(E220-AR220)/(AQ220-AR220))</f>
        <v>54.2857142857143</v>
      </c>
      <c r="AT220" s="45" t="n">
        <f aca="true">AVERAGE(OFFSET(AS220,1-MIN(p_StochSm,ROW()-4),0,MIN(p_StochSm,ROW()-4),1))</f>
        <v>60.099907276079</v>
      </c>
      <c r="AU220" s="45" t="n">
        <f aca="true">AVERAGE(OFFSET(AT220,1-MIN(p_StochSm,ROW()-4),0,MIN(p_StochSm,ROW()-4),1))</f>
        <v>70.821828884496</v>
      </c>
      <c r="AV220" s="41" t="n">
        <f aca="false">MAX(0,H220-D220)</f>
        <v>0</v>
      </c>
      <c r="AW220" s="41" t="n">
        <f aca="true">IF(COUNTIF(OFFSET(AV220,1-MIN(p_PenLb,ROW()-4),0,MIN(p_PenLb,ROW()-4),1),"&gt;0")&gt;0,SUM(OFFSET(AV220,1-MIN(p_PenLb,ROW()-4),0,MIN(p_PenLb,ROW()-4),1))/COUNTIF(OFFSET(AV220,1-MIN(p_PenLb,ROW()-4),0,MIN(p_PenLb,ROW()-4),1),"&gt;0"),0.5*Y220)</f>
        <v>0.286524824879243</v>
      </c>
      <c r="AX220" s="41" t="n">
        <f aca="false">2*H220-H219</f>
        <v>28.2181562610033</v>
      </c>
      <c r="AY220" s="40" t="n">
        <f aca="false">ROUND(MAX(AX220-AW220,0.01),2)</f>
        <v>27.93</v>
      </c>
      <c r="AZ220" s="40" t="n">
        <f aca="true">IF(MIN(p_StopLb,ROW()-4)&lt;2,D220,SMALL(OFFSET(D220,1-MIN(p_StopLb,ROW()-4),0,MIN(p_StopLb,ROW()-4),1),2))</f>
        <v>27.05</v>
      </c>
      <c r="BA220" s="40" t="n">
        <f aca="false">IF(MOD(ROUND(ROUNDDOWN(MIN(AZ220-0.01,AY220-p_StopAtr*Y220),2)*100,0),50)=0,ROUNDDOWN(MIN(AZ220-0.01,AY220-p_StopAtr*Y220),2)-0.01,ROUNDDOWN(MIN(AZ220-0.01,AY220-p_StopAtr*Y220),2))</f>
        <v>27.04</v>
      </c>
      <c r="BB220" s="40" t="n">
        <f aca="false">ROUND(AI220,2)</f>
        <v>29.04</v>
      </c>
      <c r="BC220" s="40" t="n">
        <f aca="false">IF(AY220-BA220&gt;0,(BB220-AY220)/(AY220-BA220),0)</f>
        <v>1.24719101123595</v>
      </c>
      <c r="BD220" s="42" t="n">
        <f aca="false">IF(N220&lt;0,1,0)</f>
        <v>0</v>
      </c>
      <c r="BE220" s="41" t="n">
        <f aca="false">IF(AND(BD220=1,BD219=0),N220,IF(BD220=1,MIN(BE219,N220),BE219))</f>
        <v>-0.0514032452662709</v>
      </c>
      <c r="BF220" s="40" t="n">
        <f aca="false">IF(AND(BD220=1,BD219=0),D220,IF(BD220=1,MIN(BF219,D220),BF219))</f>
        <v>26.79</v>
      </c>
      <c r="BG220" s="42" t="n">
        <f aca="false">IF(AND(BD220=1,BD219=0),ROW(),IF(BD220=1,IF(N220&lt;BE219,ROW(),BG219),BG219))</f>
        <v>213</v>
      </c>
      <c r="BH220" s="41" t="n">
        <f aca="false">IF(AND(BD220=1,BD219=0),BE219,BH219)</f>
        <v>-0.0622611748996084</v>
      </c>
      <c r="BI220" s="40" t="n">
        <f aca="false">IF(AND(BD220=1,BD219=0),BF219,BI219)</f>
        <v>23.33</v>
      </c>
      <c r="BJ220" s="42" t="n">
        <f aca="false">IF(AND(BD220=1,BD219=0),BG219,BJ219)</f>
        <v>190</v>
      </c>
      <c r="BK220" s="42" t="n">
        <f aca="false">IF(AND(ISNUMBER(BG220),ISNUMBER(BJ220)),BG220-BJ220,"")</f>
        <v>23</v>
      </c>
      <c r="BL220" s="42" t="n">
        <f aca="false">IF(AND(BD220=1,N220&gt;N219,ISNUMBER(BH220),ISNUMBER(BK220)),IF(AND(BE220&gt;BH220,BF220&lt;BI220,BK220&gt;=p_GapMin,BK220&lt;=p_GapMax),1,0),0)</f>
        <v>0</v>
      </c>
      <c r="BM220" s="42" t="n">
        <f aca="false">IF(AND(BL220=1,E220&gt;BI220),1,0)</f>
        <v>0</v>
      </c>
      <c r="BN220" s="42" t="n">
        <f aca="false">IF(BL220=1,IF(BE220&gt;=BH220*0.5,1,0),0)</f>
        <v>0</v>
      </c>
      <c r="BO220" s="42" t="n">
        <f aca="true">IF(V220&gt;MIN(OFFSET(V220,-MIN(p_FiLb-1,ROW()-5),0,MIN(p_FiLb-1,ROW()-5),1)),1,0)</f>
        <v>1</v>
      </c>
      <c r="BP220" s="44" t="n">
        <f aca="true">IF(COUNTIF(OFFSET(V220,1-MIN(100,ROW()-4),0,MIN(100,ROW()-4),1),"&lt;0")&gt;=5,AVERAGEIF(OFFSET(V220,1-MIN(100,ROW()-4),0,MIN(100,ROW()-4),1),"&lt;0"),"")</f>
        <v>-806573.223135193</v>
      </c>
      <c r="BQ220" s="42" t="n">
        <f aca="false">IF(ISNUMBER(BP220),IF(AND(V220&lt;5*BP220,V220&gt;V219,E220&lt;AJ220),1,0),0)</f>
        <v>0</v>
      </c>
      <c r="BR220" s="44" t="n">
        <f aca="true">AVERAGE(OFFSET(F220,1-MIN(5,ROW()-4),0,MIN(5,ROW()-4),1))</f>
        <v>4034880</v>
      </c>
      <c r="BS220" s="42" t="n">
        <f aca="false">IFERROR(IF(MATCH(G220,周线!$A$5:$A$84,0)&lt;=1,"",INDEX(周线!$R$5:$R$84,MATCH(G220,周线!$A$5:$A$84,0)-1)),"")</f>
        <v>1</v>
      </c>
      <c r="BT220" s="42" t="n">
        <f aca="false">IFERROR(IF(MATCH(G220,周线!$A$5:$A$84,0)&lt;=1,"",INDEX(周线!$S$5:$S$84,MATCH(G220,周线!$A$5:$A$84,0)-1)),"")</f>
        <v>1</v>
      </c>
      <c r="BU220" s="42" t="n">
        <f aca="false">IFERROR(IF(MATCH(G220,周线!$A$5:$A$84,0)&lt;=1,"",INDEX(周线!$U$5:$U$84,MATCH(G220,周线!$A$5:$A$84,0)-1)),"")</f>
        <v>1</v>
      </c>
      <c r="BV220" s="42" t="n">
        <f aca="false">IF(AND(BS220=1,S220&lt;&gt;-1,V220&lt;0,BO220=1,E220&lt;=H220,E220&gt;=AJ220),1,0)</f>
        <v>0</v>
      </c>
      <c r="BW220" s="42" t="n">
        <f aca="false">BL220</f>
        <v>0</v>
      </c>
      <c r="BX220" s="42" t="n">
        <f aca="false">BQ220</f>
        <v>0</v>
      </c>
      <c r="BY220" s="42" t="n">
        <f aca="false">IF(BS220=1,10,0)+IF(BU220=1,5,IF(BU220=-1,0,3))+IF(BT220=1,5,0)+IF(AND(AE220&gt;AF220,AH220&gt;AH219),5,0)</f>
        <v>20</v>
      </c>
      <c r="BZ220" s="42" t="n">
        <f aca="false">IF(AND(E220&lt;=H220,E220&gt;=I220),10,IF(AND(E220&gt;=AJ220,E220&lt;I220),6,0))+IF(AND(V220&lt;0,BO220=1),8,0)+IF(AT220&lt;30,7,IF(AT220&lt;50,3,0))</f>
        <v>8</v>
      </c>
      <c r="CA220" s="42" t="n">
        <f aca="false">IF(AND(BV220=1,BW220=1),25,IF(BW220=1,22,IF(BV220=1,15,IF(BX220=1,12,0))))</f>
        <v>0</v>
      </c>
      <c r="CB220" s="42" t="n">
        <f aca="false">IF(W220&gt;0,6,0)+IF(F220&lt;BR220,4,0)</f>
        <v>6</v>
      </c>
      <c r="CC220" s="42" t="n">
        <f aca="false">IF(BC220&gt;=3,15,IF(BC220&gt;=p_RRmin,10,IF(BC220&gt;=1.5,4,0)))</f>
        <v>0</v>
      </c>
      <c r="CD220" s="42" t="n">
        <f aca="false">BY220+BZ220+CA220+CB220+CC220</f>
        <v>34</v>
      </c>
      <c r="CE220" s="42" t="n">
        <f aca="false">IF(AND(BS220&lt;&gt;1,BW220+BX220=0),1,0)</f>
        <v>0</v>
      </c>
      <c r="CF220" s="42" t="n">
        <f aca="false">IF(BU220=-1,1,0)</f>
        <v>0</v>
      </c>
      <c r="CG220" s="42" t="n">
        <f aca="false">IF(S220=-1,1,0)</f>
        <v>0</v>
      </c>
      <c r="CH220" s="42" t="n">
        <f aca="false">IF(BV220+BW220+BX220=0,1,0)</f>
        <v>1</v>
      </c>
      <c r="CI220" s="42" t="n">
        <f aca="false">IF(BC220&lt;p_RRmin,1,0)</f>
        <v>1</v>
      </c>
      <c r="CJ220" s="46" t="str">
        <f aca="false">IF(SUM(CE220:CI220)=0,IF(CD220&gt;=p_GradeA,"A",IF(CD220&gt;=p_GradeB,"B","C")),IF(AND(CI220=1,SUM(CE220:CH220)=0,CD220&gt;=p_GradeB),"B","C"))</f>
        <v>C</v>
      </c>
    </row>
    <row r="221" customFormat="false" ht="15" hidden="false" customHeight="false" outlineLevel="0" collapsed="false">
      <c r="A221" s="36" t="n">
        <v>45961</v>
      </c>
      <c r="B221" s="37" t="n">
        <v>28.58</v>
      </c>
      <c r="C221" s="37" t="n">
        <v>29.05</v>
      </c>
      <c r="D221" s="37" t="n">
        <v>28.44</v>
      </c>
      <c r="E221" s="37" t="n">
        <v>28.95</v>
      </c>
      <c r="F221" s="38" t="n">
        <v>4392800</v>
      </c>
      <c r="G221" s="39" t="n">
        <f aca="false">A221-WEEKDAY(A221,3)</f>
        <v>45957</v>
      </c>
      <c r="H221" s="40" t="n">
        <f aca="false">2/(p_EmaF+1)*E221+(1-2/(p_EmaF+1))*H220</f>
        <v>28.2538178684605</v>
      </c>
      <c r="I221" s="40" t="n">
        <f aca="false">2/(p_EmaS+1)*E221+(1-2/(p_EmaS+1))*I220</f>
        <v>27.5080002471936</v>
      </c>
      <c r="J221" s="41" t="n">
        <f aca="false">2/(p_MacdF+1)*E221+(1-2/(p_MacdF+1))*J220</f>
        <v>28.3132628659708</v>
      </c>
      <c r="K221" s="41" t="n">
        <f aca="false">2/(p_MacdS+1)*E221+(1-2/(p_MacdS+1))*K220</f>
        <v>27.5080002471936</v>
      </c>
      <c r="L221" s="41" t="n">
        <f aca="false">J221-K221</f>
        <v>0.805262618777125</v>
      </c>
      <c r="M221" s="41" t="n">
        <f aca="false">2/(p_MacdSig+1)*L221+(1-2/(p_MacdSig+1))*M220</f>
        <v>0.793878651698608</v>
      </c>
      <c r="N221" s="41" t="n">
        <f aca="false">L221-M221</f>
        <v>0.0113839670785169</v>
      </c>
      <c r="O221" s="42" t="n">
        <f aca="false">IF(H221&gt;H220,1,0)</f>
        <v>1</v>
      </c>
      <c r="P221" s="42" t="n">
        <f aca="false">IF(H221&lt;H220,1,0)</f>
        <v>0</v>
      </c>
      <c r="Q221" s="42" t="n">
        <f aca="false">IF(N221&gt;N220,1,0)</f>
        <v>0</v>
      </c>
      <c r="R221" s="42" t="n">
        <f aca="false">IF(N221&lt;N220,1,0)</f>
        <v>1</v>
      </c>
      <c r="S221" s="42" t="n">
        <f aca="false">IF(AND(O221=1,Q221=1),1,IF(AND(P221=1,R221=1),-1,0))</f>
        <v>0</v>
      </c>
      <c r="T221" s="43" t="str">
        <f aca="false">IF(S221=1,"绿",IF(S221=-1,"红","蓝"))</f>
        <v>蓝</v>
      </c>
      <c r="U221" s="44" t="n">
        <f aca="false">F221*(E221-E220)</f>
        <v>1449623.99999999</v>
      </c>
      <c r="V221" s="44" t="n">
        <f aca="false">2/(p_FiS+1)*U221+(1-2/(p_FiS+1))*V220</f>
        <v>828609.579075638</v>
      </c>
      <c r="W221" s="44" t="n">
        <f aca="false">2/(p_FiL+1)*U221+(1-2/(p_FiL+1))*W220</f>
        <v>564927.713429798</v>
      </c>
      <c r="X221" s="41" t="n">
        <f aca="false">MAX(C221-D221,ABS(C221-E220),ABS(D221-E220))</f>
        <v>0.609999999999999</v>
      </c>
      <c r="Y221" s="41" t="n">
        <f aca="true">AVERAGE(OFFSET(X221,1-MIN(p_AtrN,ROW()-4),0,MIN(p_AtrN,ROW()-4),1))</f>
        <v>0.735384615384616</v>
      </c>
      <c r="Z221" s="41" t="n">
        <f aca="false">IF(AND(C221-C220&gt;D220-D221,C221-C220&gt;0),C221-C220,0)</f>
        <v>0.109999999999999</v>
      </c>
      <c r="AA221" s="41" t="n">
        <f aca="false">IF(AND(D220-D221&gt;C221-C220,D220-D221&gt;0),D220-D221,0)</f>
        <v>0</v>
      </c>
      <c r="AB221" s="41" t="n">
        <f aca="false">2/(p_AdxN+1)*X221+(1-2/(p_AdxN+1))*AB220</f>
        <v>0.738143967982094</v>
      </c>
      <c r="AC221" s="41" t="n">
        <f aca="false">2/(p_AdxN+1)*Z221+(1-2/(p_AdxN+1))*AC220</f>
        <v>0.148242892412896</v>
      </c>
      <c r="AD221" s="41" t="n">
        <f aca="false">2/(p_AdxN+1)*AA221+(1-2/(p_AdxN+1))*AD220</f>
        <v>0.0902576794967344</v>
      </c>
      <c r="AE221" s="45" t="n">
        <f aca="false">100*AC221/AB221</f>
        <v>20.083194992185</v>
      </c>
      <c r="AF221" s="45" t="n">
        <f aca="false">100*AD221/AB221</f>
        <v>12.2276525192608</v>
      </c>
      <c r="AG221" s="45" t="n">
        <f aca="false">IFERROR(100*ABS(AE221-AF221)/(AE221+AF221),0)</f>
        <v>24.3123999459978</v>
      </c>
      <c r="AH221" s="45" t="n">
        <f aca="false">2/(p_AdxN+1)*AG221+(1-2/(p_AdxN+1))*AH220</f>
        <v>30.5673340025795</v>
      </c>
      <c r="AI221" s="40" t="n">
        <f aca="false">I221*(1+p_ChPct)</f>
        <v>29.1584802620253</v>
      </c>
      <c r="AJ221" s="40" t="n">
        <f aca="false">I221*(1-p_ChPct)</f>
        <v>25.857520232362</v>
      </c>
      <c r="AK221" s="40" t="n">
        <f aca="false">I221+1*Y221</f>
        <v>28.2433848625783</v>
      </c>
      <c r="AL221" s="40" t="n">
        <f aca="false">I221+2*Y221</f>
        <v>28.9787694779629</v>
      </c>
      <c r="AM221" s="40" t="n">
        <f aca="false">I221+3*Y221</f>
        <v>29.7141540933475</v>
      </c>
      <c r="AN221" s="40" t="n">
        <f aca="false">I221-1*Y221</f>
        <v>26.772615631809</v>
      </c>
      <c r="AO221" s="40" t="n">
        <f aca="false">I221-2*Y221</f>
        <v>26.0372310164244</v>
      </c>
      <c r="AP221" s="40" t="n">
        <f aca="false">I221-3*Y221</f>
        <v>25.3018464010398</v>
      </c>
      <c r="AQ221" s="40" t="n">
        <f aca="true">MAX(OFFSET(C221,1-MIN(p_StochN,ROW()-4),0,MIN(p_StochN,ROW()-4),1))</f>
        <v>29.26</v>
      </c>
      <c r="AR221" s="40" t="n">
        <f aca="true">MIN(OFFSET(D221,1-MIN(p_StochN,ROW()-4),0,MIN(p_StochN,ROW()-4),1))</f>
        <v>28.07</v>
      </c>
      <c r="AS221" s="45" t="n">
        <f aca="false">IF(AQ221=AR221,50,100*(E221-AR221)/(AQ221-AR221))</f>
        <v>73.9495798319326</v>
      </c>
      <c r="AT221" s="45" t="n">
        <f aca="true">AVERAGE(OFFSET(AS221,1-MIN(p_StochSm,ROW()-4),0,MIN(p_StochSm,ROW()-4),1))</f>
        <v>67.6277271471968</v>
      </c>
      <c r="AU221" s="45" t="n">
        <f aca="true">AVERAGE(OFFSET(AT221,1-MIN(p_StochSm,ROW()-4),0,MIN(p_StochSm,ROW()-4),1))</f>
        <v>67.1355039163044</v>
      </c>
      <c r="AV221" s="41" t="n">
        <f aca="false">MAX(0,H221-D221)</f>
        <v>0</v>
      </c>
      <c r="AW221" s="41" t="n">
        <f aca="true">IF(COUNTIF(OFFSET(AV221,1-MIN(p_PenLb,ROW()-4),0,MIN(p_PenLb,ROW()-4),1),"&gt;0")&gt;0,SUM(OFFSET(AV221,1-MIN(p_PenLb,ROW()-4),0,MIN(p_PenLb,ROW()-4),1))/COUNTIF(OFFSET(AV221,1-MIN(p_PenLb,ROW()-4),0,MIN(p_PenLb,ROW()-4),1),"&gt;0"),0.5*Y221)</f>
        <v>0.224323102966681</v>
      </c>
      <c r="AX221" s="41" t="n">
        <f aca="false">2*H221-H220</f>
        <v>28.3698482237171</v>
      </c>
      <c r="AY221" s="40" t="n">
        <f aca="false">ROUND(MAX(AX221-AW221,0.01),2)</f>
        <v>28.15</v>
      </c>
      <c r="AZ221" s="40" t="n">
        <f aca="true">IF(MIN(p_StopLb,ROW()-4)&lt;2,D221,SMALL(OFFSET(D221,1-MIN(p_StopLb,ROW()-4),0,MIN(p_StopLb,ROW()-4),1),2))</f>
        <v>27.05</v>
      </c>
      <c r="BA221" s="40" t="n">
        <f aca="false">IF(MOD(ROUND(ROUNDDOWN(MIN(AZ221-0.01,AY221-p_StopAtr*Y221),2)*100,0),50)=0,ROUNDDOWN(MIN(AZ221-0.01,AY221-p_StopAtr*Y221),2)-0.01,ROUNDDOWN(MIN(AZ221-0.01,AY221-p_StopAtr*Y221),2))</f>
        <v>27.04</v>
      </c>
      <c r="BB221" s="40" t="n">
        <f aca="false">ROUND(AI221,2)</f>
        <v>29.16</v>
      </c>
      <c r="BC221" s="40" t="n">
        <f aca="false">IF(AY221-BA221&gt;0,(BB221-AY221)/(AY221-BA221),0)</f>
        <v>0.909909909909912</v>
      </c>
      <c r="BD221" s="42" t="n">
        <f aca="false">IF(N221&lt;0,1,0)</f>
        <v>0</v>
      </c>
      <c r="BE221" s="41" t="n">
        <f aca="false">IF(AND(BD221=1,BD220=0),N221,IF(BD221=1,MIN(BE220,N221),BE220))</f>
        <v>-0.0514032452662709</v>
      </c>
      <c r="BF221" s="40" t="n">
        <f aca="false">IF(AND(BD221=1,BD220=0),D221,IF(BD221=1,MIN(BF220,D221),BF220))</f>
        <v>26.79</v>
      </c>
      <c r="BG221" s="42" t="n">
        <f aca="false">IF(AND(BD221=1,BD220=0),ROW(),IF(BD221=1,IF(N221&lt;BE220,ROW(),BG220),BG220))</f>
        <v>213</v>
      </c>
      <c r="BH221" s="41" t="n">
        <f aca="false">IF(AND(BD221=1,BD220=0),BE220,BH220)</f>
        <v>-0.0622611748996084</v>
      </c>
      <c r="BI221" s="40" t="n">
        <f aca="false">IF(AND(BD221=1,BD220=0),BF220,BI220)</f>
        <v>23.33</v>
      </c>
      <c r="BJ221" s="42" t="n">
        <f aca="false">IF(AND(BD221=1,BD220=0),BG220,BJ220)</f>
        <v>190</v>
      </c>
      <c r="BK221" s="42" t="n">
        <f aca="false">IF(AND(ISNUMBER(BG221),ISNUMBER(BJ221)),BG221-BJ221,"")</f>
        <v>23</v>
      </c>
      <c r="BL221" s="42" t="n">
        <f aca="false">IF(AND(BD221=1,N221&gt;N220,ISNUMBER(BH221),ISNUMBER(BK221)),IF(AND(BE221&gt;BH221,BF221&lt;BI221,BK221&gt;=p_GapMin,BK221&lt;=p_GapMax),1,0),0)</f>
        <v>0</v>
      </c>
      <c r="BM221" s="42" t="n">
        <f aca="false">IF(AND(BL221=1,E221&gt;BI221),1,0)</f>
        <v>0</v>
      </c>
      <c r="BN221" s="42" t="n">
        <f aca="false">IF(BL221=1,IF(BE221&gt;=BH221*0.5,1,0),0)</f>
        <v>0</v>
      </c>
      <c r="BO221" s="42" t="n">
        <f aca="true">IF(V221&gt;MIN(OFFSET(V221,-MIN(p_FiLb-1,ROW()-5),0,MIN(p_FiLb-1,ROW()-5),1)),1,0)</f>
        <v>1</v>
      </c>
      <c r="BP221" s="44" t="n">
        <f aca="true">IF(COUNTIF(OFFSET(V221,1-MIN(100,ROW()-4),0,MIN(100,ROW()-4),1),"&lt;0")&gt;=5,AVERAGEIF(OFFSET(V221,1-MIN(100,ROW()-4),0,MIN(100,ROW()-4),1),"&lt;0"),"")</f>
        <v>-780481.419888105</v>
      </c>
      <c r="BQ221" s="42" t="n">
        <f aca="false">IF(ISNUMBER(BP221),IF(AND(V221&lt;5*BP221,V221&gt;V220,E221&lt;AJ221),1,0),0)</f>
        <v>0</v>
      </c>
      <c r="BR221" s="44" t="n">
        <f aca="true">AVERAGE(OFFSET(F221,1-MIN(5,ROW()-4),0,MIN(5,ROW()-4),1))</f>
        <v>4283600</v>
      </c>
      <c r="BS221" s="42" t="n">
        <f aca="false">IFERROR(IF(MATCH(G221,周线!$A$5:$A$84,0)&lt;=1,"",INDEX(周线!$R$5:$R$84,MATCH(G221,周线!$A$5:$A$84,0)-1)),"")</f>
        <v>1</v>
      </c>
      <c r="BT221" s="42" t="n">
        <f aca="false">IFERROR(IF(MATCH(G221,周线!$A$5:$A$84,0)&lt;=1,"",INDEX(周线!$S$5:$S$84,MATCH(G221,周线!$A$5:$A$84,0)-1)),"")</f>
        <v>1</v>
      </c>
      <c r="BU221" s="42" t="n">
        <f aca="false">IFERROR(IF(MATCH(G221,周线!$A$5:$A$84,0)&lt;=1,"",INDEX(周线!$U$5:$U$84,MATCH(G221,周线!$A$5:$A$84,0)-1)),"")</f>
        <v>1</v>
      </c>
      <c r="BV221" s="42" t="n">
        <f aca="false">IF(AND(BS221=1,S221&lt;&gt;-1,V221&lt;0,BO221=1,E221&lt;=H221,E221&gt;=AJ221),1,0)</f>
        <v>0</v>
      </c>
      <c r="BW221" s="42" t="n">
        <f aca="false">BL221</f>
        <v>0</v>
      </c>
      <c r="BX221" s="42" t="n">
        <f aca="false">BQ221</f>
        <v>0</v>
      </c>
      <c r="BY221" s="42" t="n">
        <f aca="false">IF(BS221=1,10,0)+IF(BU221=1,5,IF(BU221=-1,0,3))+IF(BT221=1,5,0)+IF(AND(AE221&gt;AF221,AH221&gt;AH220),5,0)</f>
        <v>20</v>
      </c>
      <c r="BZ221" s="42" t="n">
        <f aca="false">IF(AND(E221&lt;=H221,E221&gt;=I221),10,IF(AND(E221&gt;=AJ221,E221&lt;I221),6,0))+IF(AND(V221&lt;0,BO221=1),8,0)+IF(AT221&lt;30,7,IF(AT221&lt;50,3,0))</f>
        <v>0</v>
      </c>
      <c r="CA221" s="42" t="n">
        <f aca="false">IF(AND(BV221=1,BW221=1),25,IF(BW221=1,22,IF(BV221=1,15,IF(BX221=1,12,0))))</f>
        <v>0</v>
      </c>
      <c r="CB221" s="42" t="n">
        <f aca="false">IF(W221&gt;0,6,0)+IF(F221&lt;BR221,4,0)</f>
        <v>6</v>
      </c>
      <c r="CC221" s="42" t="n">
        <f aca="false">IF(BC221&gt;=3,15,IF(BC221&gt;=p_RRmin,10,IF(BC221&gt;=1.5,4,0)))</f>
        <v>0</v>
      </c>
      <c r="CD221" s="42" t="n">
        <f aca="false">BY221+BZ221+CA221+CB221+CC221</f>
        <v>26</v>
      </c>
      <c r="CE221" s="42" t="n">
        <f aca="false">IF(AND(BS221&lt;&gt;1,BW221+BX221=0),1,0)</f>
        <v>0</v>
      </c>
      <c r="CF221" s="42" t="n">
        <f aca="false">IF(BU221=-1,1,0)</f>
        <v>0</v>
      </c>
      <c r="CG221" s="42" t="n">
        <f aca="false">IF(S221=-1,1,0)</f>
        <v>0</v>
      </c>
      <c r="CH221" s="42" t="n">
        <f aca="false">IF(BV221+BW221+BX221=0,1,0)</f>
        <v>1</v>
      </c>
      <c r="CI221" s="42" t="n">
        <f aca="false">IF(BC221&lt;p_RRmin,1,0)</f>
        <v>1</v>
      </c>
      <c r="CJ221" s="46" t="str">
        <f aca="false">IF(SUM(CE221:CI221)=0,IF(CD221&gt;=p_GradeA,"A",IF(CD221&gt;=p_GradeB,"B","C")),IF(AND(CI221=1,SUM(CE221:CH221)=0,CD221&gt;=p_GradeB),"B","C"))</f>
        <v>C</v>
      </c>
    </row>
    <row r="222" customFormat="false" ht="15" hidden="false" customHeight="false" outlineLevel="0" collapsed="false">
      <c r="A222" s="36" t="n">
        <v>45964</v>
      </c>
      <c r="B222" s="37" t="n">
        <v>29</v>
      </c>
      <c r="C222" s="37" t="n">
        <v>29.67</v>
      </c>
      <c r="D222" s="37" t="n">
        <v>28.84</v>
      </c>
      <c r="E222" s="37" t="n">
        <v>29.32</v>
      </c>
      <c r="F222" s="38" t="n">
        <v>5087400</v>
      </c>
      <c r="G222" s="39" t="n">
        <f aca="false">A222-WEEKDAY(A222,3)</f>
        <v>45964</v>
      </c>
      <c r="H222" s="40" t="n">
        <f aca="false">2/(p_EmaF+1)*E222+(1-2/(p_EmaF+1))*H221</f>
        <v>28.4061296015376</v>
      </c>
      <c r="I222" s="40" t="n">
        <f aca="false">2/(p_EmaS+1)*E222+(1-2/(p_EmaS+1))*I221</f>
        <v>27.6422224511052</v>
      </c>
      <c r="J222" s="41" t="n">
        <f aca="false">2/(p_MacdF+1)*E222+(1-2/(p_MacdF+1))*J221</f>
        <v>28.4681455019753</v>
      </c>
      <c r="K222" s="41" t="n">
        <f aca="false">2/(p_MacdS+1)*E222+(1-2/(p_MacdS+1))*K221</f>
        <v>27.6422224511052</v>
      </c>
      <c r="L222" s="41" t="n">
        <f aca="false">J222-K222</f>
        <v>0.825923050870038</v>
      </c>
      <c r="M222" s="41" t="n">
        <f aca="false">2/(p_MacdSig+1)*L222+(1-2/(p_MacdSig+1))*M221</f>
        <v>0.800287531532894</v>
      </c>
      <c r="N222" s="41" t="n">
        <f aca="false">L222-M222</f>
        <v>0.0256355193371445</v>
      </c>
      <c r="O222" s="42" t="n">
        <f aca="false">IF(H222&gt;H221,1,0)</f>
        <v>1</v>
      </c>
      <c r="P222" s="42" t="n">
        <f aca="false">IF(H222&lt;H221,1,0)</f>
        <v>0</v>
      </c>
      <c r="Q222" s="42" t="n">
        <f aca="false">IF(N222&gt;N221,1,0)</f>
        <v>1</v>
      </c>
      <c r="R222" s="42" t="n">
        <f aca="false">IF(N222&lt;N221,1,0)</f>
        <v>0</v>
      </c>
      <c r="S222" s="42" t="n">
        <f aca="false">IF(AND(O222=1,Q222=1),1,IF(AND(P222=1,R222=1),-1,0))</f>
        <v>1</v>
      </c>
      <c r="T222" s="43" t="str">
        <f aca="false">IF(S222=1,"绿",IF(S222=-1,"红","蓝"))</f>
        <v>绿</v>
      </c>
      <c r="U222" s="44" t="n">
        <f aca="false">F222*(E222-E221)</f>
        <v>1882338.00000001</v>
      </c>
      <c r="V222" s="44" t="n">
        <f aca="false">2/(p_FiS+1)*U222+(1-2/(p_FiS+1))*V221</f>
        <v>1531095.19302522</v>
      </c>
      <c r="W222" s="44" t="n">
        <f aca="false">2/(p_FiL+1)*U222+(1-2/(p_FiL+1))*W221</f>
        <v>753129.182939828</v>
      </c>
      <c r="X222" s="41" t="n">
        <f aca="false">MAX(C222-D222,ABS(C222-E221),ABS(D222-E221))</f>
        <v>0.830000000000002</v>
      </c>
      <c r="Y222" s="41" t="n">
        <f aca="true">AVERAGE(OFFSET(X222,1-MIN(p_AtrN,ROW()-4),0,MIN(p_AtrN,ROW()-4),1))</f>
        <v>0.736923076923078</v>
      </c>
      <c r="Z222" s="41" t="n">
        <f aca="false">IF(AND(C222-C221&gt;D221-D222,C222-C221&gt;0),C222-C221,0)</f>
        <v>0.620000000000001</v>
      </c>
      <c r="AA222" s="41" t="n">
        <f aca="false">IF(AND(D221-D222&gt;C222-C221,D221-D222&gt;0),D221-D222,0)</f>
        <v>0</v>
      </c>
      <c r="AB222" s="41" t="n">
        <f aca="false">2/(p_AdxN+1)*X222+(1-2/(p_AdxN+1))*AB221</f>
        <v>0.751266258270366</v>
      </c>
      <c r="AC222" s="41" t="n">
        <f aca="false">2/(p_AdxN+1)*Z222+(1-2/(p_AdxN+1))*AC221</f>
        <v>0.215636764925339</v>
      </c>
      <c r="AD222" s="41" t="n">
        <f aca="false">2/(p_AdxN+1)*AA222+(1-2/(p_AdxN+1))*AD221</f>
        <v>0.0773637252829152</v>
      </c>
      <c r="AE222" s="45" t="n">
        <f aca="false">100*AC222/AB222</f>
        <v>28.703107926316</v>
      </c>
      <c r="AF222" s="45" t="n">
        <f aca="false">100*AD222/AB222</f>
        <v>10.2977771770329</v>
      </c>
      <c r="AG222" s="45" t="n">
        <f aca="false">IFERROR(100*ABS(AE222-AF222)/(AE222+AF222),0)</f>
        <v>47.1920847450271</v>
      </c>
      <c r="AH222" s="45" t="n">
        <f aca="false">2/(p_AdxN+1)*AG222+(1-2/(p_AdxN+1))*AH221</f>
        <v>32.9422983943577</v>
      </c>
      <c r="AI222" s="40" t="n">
        <f aca="false">I222*(1+p_ChPct)</f>
        <v>29.3007557981715</v>
      </c>
      <c r="AJ222" s="40" t="n">
        <f aca="false">I222*(1-p_ChPct)</f>
        <v>25.9836891040389</v>
      </c>
      <c r="AK222" s="40" t="n">
        <f aca="false">I222+1*Y222</f>
        <v>28.3791455280283</v>
      </c>
      <c r="AL222" s="40" t="n">
        <f aca="false">I222+2*Y222</f>
        <v>29.1160686049514</v>
      </c>
      <c r="AM222" s="40" t="n">
        <f aca="false">I222+3*Y222</f>
        <v>29.8529916818745</v>
      </c>
      <c r="AN222" s="40" t="n">
        <f aca="false">I222-1*Y222</f>
        <v>26.9052993741821</v>
      </c>
      <c r="AO222" s="40" t="n">
        <f aca="false">I222-2*Y222</f>
        <v>26.1683762972591</v>
      </c>
      <c r="AP222" s="40" t="n">
        <f aca="false">I222-3*Y222</f>
        <v>25.431453220336</v>
      </c>
      <c r="AQ222" s="40" t="n">
        <f aca="true">MAX(OFFSET(C222,1-MIN(p_StochN,ROW()-4),0,MIN(p_StochN,ROW()-4),1))</f>
        <v>29.67</v>
      </c>
      <c r="AR222" s="40" t="n">
        <f aca="true">MIN(OFFSET(D222,1-MIN(p_StochN,ROW()-4),0,MIN(p_StochN,ROW()-4),1))</f>
        <v>28.07</v>
      </c>
      <c r="AS222" s="45" t="n">
        <f aca="false">IF(AQ222=AR222,50,100*(E222-AR222)/(AQ222-AR222))</f>
        <v>78.1249999999999</v>
      </c>
      <c r="AT222" s="45" t="n">
        <f aca="true">AVERAGE(OFFSET(AS222,1-MIN(p_StochSm,ROW()-4),0,MIN(p_StochSm,ROW()-4),1))</f>
        <v>68.7867647058823</v>
      </c>
      <c r="AU222" s="45" t="n">
        <f aca="true">AVERAGE(OFFSET(AT222,1-MIN(p_StochSm,ROW()-4),0,MIN(p_StochSm,ROW()-4),1))</f>
        <v>65.5047997097194</v>
      </c>
      <c r="AV222" s="41" t="n">
        <f aca="false">MAX(0,H222-D222)</f>
        <v>0</v>
      </c>
      <c r="AW222" s="41" t="n">
        <f aca="true">IF(COUNTIF(OFFSET(AV222,1-MIN(p_PenLb,ROW()-4),0,MIN(p_PenLb,ROW()-4),1),"&gt;0")&gt;0,SUM(OFFSET(AV222,1-MIN(p_PenLb,ROW()-4),0,MIN(p_PenLb,ROW()-4),1))/COUNTIF(OFFSET(AV222,1-MIN(p_PenLb,ROW()-4),0,MIN(p_PenLb,ROW()-4),1),"&gt;0"),0.5*Y222)</f>
        <v>0.224323102966681</v>
      </c>
      <c r="AX222" s="41" t="n">
        <f aca="false">2*H222-H221</f>
        <v>28.5584413346147</v>
      </c>
      <c r="AY222" s="40" t="n">
        <f aca="false">ROUND(MAX(AX222-AW222,0.01),2)</f>
        <v>28.33</v>
      </c>
      <c r="AZ222" s="40" t="n">
        <f aca="true">IF(MIN(p_StopLb,ROW()-4)&lt;2,D222,SMALL(OFFSET(D222,1-MIN(p_StopLb,ROW()-4),0,MIN(p_StopLb,ROW()-4),1),2))</f>
        <v>27.43</v>
      </c>
      <c r="BA222" s="40" t="n">
        <f aca="false">IF(MOD(ROUND(ROUNDDOWN(MIN(AZ222-0.01,AY222-p_StopAtr*Y222),2)*100,0),50)=0,ROUNDDOWN(MIN(AZ222-0.01,AY222-p_StopAtr*Y222),2)-0.01,ROUNDDOWN(MIN(AZ222-0.01,AY222-p_StopAtr*Y222),2))</f>
        <v>27.42</v>
      </c>
      <c r="BB222" s="40" t="n">
        <f aca="false">ROUND(AI222,2)</f>
        <v>29.3</v>
      </c>
      <c r="BC222" s="40" t="n">
        <f aca="false">IF(AY222-BA222&gt;0,(BB222-AY222)/(AY222-BA222),0)</f>
        <v>1.06593406593407</v>
      </c>
      <c r="BD222" s="42" t="n">
        <f aca="false">IF(N222&lt;0,1,0)</f>
        <v>0</v>
      </c>
      <c r="BE222" s="41" t="n">
        <f aca="false">IF(AND(BD222=1,BD221=0),N222,IF(BD222=1,MIN(BE221,N222),BE221))</f>
        <v>-0.0514032452662709</v>
      </c>
      <c r="BF222" s="40" t="n">
        <f aca="false">IF(AND(BD222=1,BD221=0),D222,IF(BD222=1,MIN(BF221,D222),BF221))</f>
        <v>26.79</v>
      </c>
      <c r="BG222" s="42" t="n">
        <f aca="false">IF(AND(BD222=1,BD221=0),ROW(),IF(BD222=1,IF(N222&lt;BE221,ROW(),BG221),BG221))</f>
        <v>213</v>
      </c>
      <c r="BH222" s="41" t="n">
        <f aca="false">IF(AND(BD222=1,BD221=0),BE221,BH221)</f>
        <v>-0.0622611748996084</v>
      </c>
      <c r="BI222" s="40" t="n">
        <f aca="false">IF(AND(BD222=1,BD221=0),BF221,BI221)</f>
        <v>23.33</v>
      </c>
      <c r="BJ222" s="42" t="n">
        <f aca="false">IF(AND(BD222=1,BD221=0),BG221,BJ221)</f>
        <v>190</v>
      </c>
      <c r="BK222" s="42" t="n">
        <f aca="false">IF(AND(ISNUMBER(BG222),ISNUMBER(BJ222)),BG222-BJ222,"")</f>
        <v>23</v>
      </c>
      <c r="BL222" s="42" t="n">
        <f aca="false">IF(AND(BD222=1,N222&gt;N221,ISNUMBER(BH222),ISNUMBER(BK222)),IF(AND(BE222&gt;BH222,BF222&lt;BI222,BK222&gt;=p_GapMin,BK222&lt;=p_GapMax),1,0),0)</f>
        <v>0</v>
      </c>
      <c r="BM222" s="42" t="n">
        <f aca="false">IF(AND(BL222=1,E222&gt;BI222),1,0)</f>
        <v>0</v>
      </c>
      <c r="BN222" s="42" t="n">
        <f aca="false">IF(BL222=1,IF(BE222&gt;=BH222*0.5,1,0),0)</f>
        <v>0</v>
      </c>
      <c r="BO222" s="42" t="n">
        <f aca="true">IF(V222&gt;MIN(OFFSET(V222,-MIN(p_FiLb-1,ROW()-5),0,MIN(p_FiLb-1,ROW()-5),1)),1,0)</f>
        <v>1</v>
      </c>
      <c r="BP222" s="44" t="n">
        <f aca="true">IF(COUNTIF(OFFSET(V222,1-MIN(100,ROW()-4),0,MIN(100,ROW()-4),1),"&lt;0")&gt;=5,AVERAGEIF(OFFSET(V222,1-MIN(100,ROW()-4),0,MIN(100,ROW()-4),1),"&lt;0"),"")</f>
        <v>-716914.517171253</v>
      </c>
      <c r="BQ222" s="42" t="n">
        <f aca="false">IF(ISNUMBER(BP222),IF(AND(V222&lt;5*BP222,V222&gt;V221,E222&lt;AJ222),1,0),0)</f>
        <v>0</v>
      </c>
      <c r="BR222" s="44" t="n">
        <f aca="true">AVERAGE(OFFSET(F222,1-MIN(5,ROW()-4),0,MIN(5,ROW()-4),1))</f>
        <v>4502060</v>
      </c>
      <c r="BS222" s="42" t="n">
        <f aca="false">IFERROR(IF(MATCH(G222,周线!$A$5:$A$84,0)&lt;=1,"",INDEX(周线!$R$5:$R$84,MATCH(G222,周线!$A$5:$A$84,0)-1)),"")</f>
        <v>1</v>
      </c>
      <c r="BT222" s="42" t="n">
        <f aca="false">IFERROR(IF(MATCH(G222,周线!$A$5:$A$84,0)&lt;=1,"",INDEX(周线!$S$5:$S$84,MATCH(G222,周线!$A$5:$A$84,0)-1)),"")</f>
        <v>1</v>
      </c>
      <c r="BU222" s="42" t="n">
        <f aca="false">IFERROR(IF(MATCH(G222,周线!$A$5:$A$84,0)&lt;=1,"",INDEX(周线!$U$5:$U$84,MATCH(G222,周线!$A$5:$A$84,0)-1)),"")</f>
        <v>1</v>
      </c>
      <c r="BV222" s="42" t="n">
        <f aca="false">IF(AND(BS222=1,S222&lt;&gt;-1,V222&lt;0,BO222=1,E222&lt;=H222,E222&gt;=AJ222),1,0)</f>
        <v>0</v>
      </c>
      <c r="BW222" s="42" t="n">
        <f aca="false">BL222</f>
        <v>0</v>
      </c>
      <c r="BX222" s="42" t="n">
        <f aca="false">BQ222</f>
        <v>0</v>
      </c>
      <c r="BY222" s="42" t="n">
        <f aca="false">IF(BS222=1,10,0)+IF(BU222=1,5,IF(BU222=-1,0,3))+IF(BT222=1,5,0)+IF(AND(AE222&gt;AF222,AH222&gt;AH221),5,0)</f>
        <v>25</v>
      </c>
      <c r="BZ222" s="42" t="n">
        <f aca="false">IF(AND(E222&lt;=H222,E222&gt;=I222),10,IF(AND(E222&gt;=AJ222,E222&lt;I222),6,0))+IF(AND(V222&lt;0,BO222=1),8,0)+IF(AT222&lt;30,7,IF(AT222&lt;50,3,0))</f>
        <v>0</v>
      </c>
      <c r="CA222" s="42" t="n">
        <f aca="false">IF(AND(BV222=1,BW222=1),25,IF(BW222=1,22,IF(BV222=1,15,IF(BX222=1,12,0))))</f>
        <v>0</v>
      </c>
      <c r="CB222" s="42" t="n">
        <f aca="false">IF(W222&gt;0,6,0)+IF(F222&lt;BR222,4,0)</f>
        <v>6</v>
      </c>
      <c r="CC222" s="42" t="n">
        <f aca="false">IF(BC222&gt;=3,15,IF(BC222&gt;=p_RRmin,10,IF(BC222&gt;=1.5,4,0)))</f>
        <v>0</v>
      </c>
      <c r="CD222" s="42" t="n">
        <f aca="false">BY222+BZ222+CA222+CB222+CC222</f>
        <v>31</v>
      </c>
      <c r="CE222" s="42" t="n">
        <f aca="false">IF(AND(BS222&lt;&gt;1,BW222+BX222=0),1,0)</f>
        <v>0</v>
      </c>
      <c r="CF222" s="42" t="n">
        <f aca="false">IF(BU222=-1,1,0)</f>
        <v>0</v>
      </c>
      <c r="CG222" s="42" t="n">
        <f aca="false">IF(S222=-1,1,0)</f>
        <v>0</v>
      </c>
      <c r="CH222" s="42" t="n">
        <f aca="false">IF(BV222+BW222+BX222=0,1,0)</f>
        <v>1</v>
      </c>
      <c r="CI222" s="42" t="n">
        <f aca="false">IF(BC222&lt;p_RRmin,1,0)</f>
        <v>1</v>
      </c>
      <c r="CJ222" s="46" t="str">
        <f aca="false">IF(SUM(CE222:CI222)=0,IF(CD222&gt;=p_GradeA,"A",IF(CD222&gt;=p_GradeB,"B","C")),IF(AND(CI222=1,SUM(CE222:CH222)=0,CD222&gt;=p_GradeB),"B","C"))</f>
        <v>C</v>
      </c>
    </row>
    <row r="223" customFormat="false" ht="15" hidden="false" customHeight="false" outlineLevel="0" collapsed="false">
      <c r="A223" s="36" t="n">
        <v>45965</v>
      </c>
      <c r="B223" s="37" t="n">
        <v>29.1</v>
      </c>
      <c r="C223" s="37" t="n">
        <v>29.27</v>
      </c>
      <c r="D223" s="37" t="n">
        <v>28.73</v>
      </c>
      <c r="E223" s="37" t="n">
        <v>28.79</v>
      </c>
      <c r="F223" s="38" t="n">
        <v>5503400</v>
      </c>
      <c r="G223" s="39" t="n">
        <f aca="false">A223-WEEKDAY(A223,3)</f>
        <v>45964</v>
      </c>
      <c r="H223" s="40" t="n">
        <f aca="false">2/(p_EmaF+1)*E223+(1-2/(p_EmaF+1))*H222</f>
        <v>28.4609682298894</v>
      </c>
      <c r="I223" s="40" t="n">
        <f aca="false">2/(p_EmaS+1)*E223+(1-2/(p_EmaS+1))*I222</f>
        <v>27.7272430102826</v>
      </c>
      <c r="J223" s="41" t="n">
        <f aca="false">2/(p_MacdF+1)*E223+(1-2/(p_MacdF+1))*J222</f>
        <v>28.5176615785944</v>
      </c>
      <c r="K223" s="41" t="n">
        <f aca="false">2/(p_MacdS+1)*E223+(1-2/(p_MacdS+1))*K222</f>
        <v>27.7272430102826</v>
      </c>
      <c r="L223" s="41" t="n">
        <f aca="false">J223-K223</f>
        <v>0.790418568311839</v>
      </c>
      <c r="M223" s="41" t="n">
        <f aca="false">2/(p_MacdSig+1)*L223+(1-2/(p_MacdSig+1))*M222</f>
        <v>0.798313738888683</v>
      </c>
      <c r="N223" s="41" t="n">
        <f aca="false">L223-M223</f>
        <v>-0.00789517057684375</v>
      </c>
      <c r="O223" s="42" t="n">
        <f aca="false">IF(H223&gt;H222,1,0)</f>
        <v>1</v>
      </c>
      <c r="P223" s="42" t="n">
        <f aca="false">IF(H223&lt;H222,1,0)</f>
        <v>0</v>
      </c>
      <c r="Q223" s="42" t="n">
        <f aca="false">IF(N223&gt;N222,1,0)</f>
        <v>0</v>
      </c>
      <c r="R223" s="42" t="n">
        <f aca="false">IF(N223&lt;N222,1,0)</f>
        <v>1</v>
      </c>
      <c r="S223" s="42" t="n">
        <f aca="false">IF(AND(O223=1,Q223=1),1,IF(AND(P223=1,R223=1),-1,0))</f>
        <v>0</v>
      </c>
      <c r="T223" s="43" t="str">
        <f aca="false">IF(S223=1,"绿",IF(S223=-1,"红","蓝"))</f>
        <v>蓝</v>
      </c>
      <c r="U223" s="44" t="n">
        <f aca="false">F223*(E223-E222)</f>
        <v>-2916802.00000001</v>
      </c>
      <c r="V223" s="44" t="n">
        <f aca="false">2/(p_FiS+1)*U223+(1-2/(p_FiS+1))*V222</f>
        <v>-1434169.60232493</v>
      </c>
      <c r="W223" s="44" t="n">
        <f aca="false">2/(p_FiL+1)*U223+(1-2/(p_FiL+1))*W222</f>
        <v>228853.299662709</v>
      </c>
      <c r="X223" s="41" t="n">
        <f aca="false">MAX(C223-D223,ABS(C223-E222),ABS(D223-E222))</f>
        <v>0.59</v>
      </c>
      <c r="Y223" s="41" t="n">
        <f aca="true">AVERAGE(OFFSET(X223,1-MIN(p_AtrN,ROW()-4),0,MIN(p_AtrN,ROW()-4),1))</f>
        <v>0.761538461538462</v>
      </c>
      <c r="Z223" s="41" t="n">
        <f aca="false">IF(AND(C223-C222&gt;D222-D223,C223-C222&gt;0),C223-C222,0)</f>
        <v>0</v>
      </c>
      <c r="AA223" s="41" t="n">
        <f aca="false">IF(AND(D222-D223&gt;C223-C222,D222-D223&gt;0),D222-D223,0)</f>
        <v>0.109999999999999</v>
      </c>
      <c r="AB223" s="41" t="n">
        <f aca="false">2/(p_AdxN+1)*X223+(1-2/(p_AdxN+1))*AB222</f>
        <v>0.7282282213746</v>
      </c>
      <c r="AC223" s="41" t="n">
        <f aca="false">2/(p_AdxN+1)*Z223+(1-2/(p_AdxN+1))*AC222</f>
        <v>0.184831512793148</v>
      </c>
      <c r="AD223" s="41" t="n">
        <f aca="false">2/(p_AdxN+1)*AA223+(1-2/(p_AdxN+1))*AD222</f>
        <v>0.0820260502424987</v>
      </c>
      <c r="AE223" s="45" t="n">
        <f aca="false">100*AC223/AB223</f>
        <v>25.3809873564445</v>
      </c>
      <c r="AF223" s="45" t="n">
        <f aca="false">100*AD223/AB223</f>
        <v>11.2637835001322</v>
      </c>
      <c r="AG223" s="45" t="n">
        <f aca="false">IFERROR(100*ABS(AE223-AF223)/(AE223+AF223),0)</f>
        <v>38.5244702758965</v>
      </c>
      <c r="AH223" s="45" t="n">
        <f aca="false">2/(p_AdxN+1)*AG223+(1-2/(p_AdxN+1))*AH222</f>
        <v>33.7397515202918</v>
      </c>
      <c r="AI223" s="40" t="n">
        <f aca="false">I223*(1+p_ChPct)</f>
        <v>29.3908775908996</v>
      </c>
      <c r="AJ223" s="40" t="n">
        <f aca="false">I223*(1-p_ChPct)</f>
        <v>26.0636084296657</v>
      </c>
      <c r="AK223" s="40" t="n">
        <f aca="false">I223+1*Y223</f>
        <v>28.4887814718211</v>
      </c>
      <c r="AL223" s="40" t="n">
        <f aca="false">I223+2*Y223</f>
        <v>29.2503199333595</v>
      </c>
      <c r="AM223" s="40" t="n">
        <f aca="false">I223+3*Y223</f>
        <v>30.011858394898</v>
      </c>
      <c r="AN223" s="40" t="n">
        <f aca="false">I223-1*Y223</f>
        <v>26.9657045487441</v>
      </c>
      <c r="AO223" s="40" t="n">
        <f aca="false">I223-2*Y223</f>
        <v>26.2041660872057</v>
      </c>
      <c r="AP223" s="40" t="n">
        <f aca="false">I223-3*Y223</f>
        <v>25.4426276256672</v>
      </c>
      <c r="AQ223" s="40" t="n">
        <f aca="true">MAX(OFFSET(C223,1-MIN(p_StochN,ROW()-4),0,MIN(p_StochN,ROW()-4),1))</f>
        <v>29.67</v>
      </c>
      <c r="AR223" s="40" t="n">
        <f aca="true">MIN(OFFSET(D223,1-MIN(p_StochN,ROW()-4),0,MIN(p_StochN,ROW()-4),1))</f>
        <v>28.07</v>
      </c>
      <c r="AS223" s="45" t="n">
        <f aca="false">IF(AQ223=AR223,50,100*(E223-AR223)/(AQ223-AR223))</f>
        <v>44.9999999999999</v>
      </c>
      <c r="AT223" s="45" t="n">
        <f aca="true">AVERAGE(OFFSET(AS223,1-MIN(p_StochSm,ROW()-4),0,MIN(p_StochSm,ROW()-4),1))</f>
        <v>65.6915266106442</v>
      </c>
      <c r="AU223" s="45" t="n">
        <f aca="true">AVERAGE(OFFSET(AT223,1-MIN(p_StochSm,ROW()-4),0,MIN(p_StochSm,ROW()-4),1))</f>
        <v>67.3686728212411</v>
      </c>
      <c r="AV223" s="41" t="n">
        <f aca="false">MAX(0,H223-D223)</f>
        <v>0</v>
      </c>
      <c r="AW223" s="41" t="n">
        <f aca="true">IF(COUNTIF(OFFSET(AV223,1-MIN(p_PenLb,ROW()-4),0,MIN(p_PenLb,ROW()-4),1),"&gt;0")&gt;0,SUM(OFFSET(AV223,1-MIN(p_PenLb,ROW()-4),0,MIN(p_PenLb,ROW()-4),1))/COUNTIF(OFFSET(AV223,1-MIN(p_PenLb,ROW()-4),0,MIN(p_PenLb,ROW()-4),1),"&gt;0"),0.5*Y223)</f>
        <v>0.224323102966681</v>
      </c>
      <c r="AX223" s="41" t="n">
        <f aca="false">2*H223-H222</f>
        <v>28.5158068582412</v>
      </c>
      <c r="AY223" s="40" t="n">
        <f aca="false">ROUND(MAX(AX223-AW223,0.01),2)</f>
        <v>28.29</v>
      </c>
      <c r="AZ223" s="40" t="n">
        <f aca="true">IF(MIN(p_StopLb,ROW()-4)&lt;2,D223,SMALL(OFFSET(D223,1-MIN(p_StopLb,ROW()-4),0,MIN(p_StopLb,ROW()-4),1),2))</f>
        <v>27.84</v>
      </c>
      <c r="BA223" s="40" t="n">
        <f aca="false">IF(MOD(ROUND(ROUNDDOWN(MIN(AZ223-0.01,AY223-p_StopAtr*Y223),2)*100,0),50)=0,ROUNDDOWN(MIN(AZ223-0.01,AY223-p_StopAtr*Y223),2)-0.01,ROUNDDOWN(MIN(AZ223-0.01,AY223-p_StopAtr*Y223),2))</f>
        <v>27.52</v>
      </c>
      <c r="BB223" s="40" t="n">
        <f aca="false">ROUND(AI223,2)</f>
        <v>29.39</v>
      </c>
      <c r="BC223" s="40" t="n">
        <f aca="false">IF(AY223-BA223&gt;0,(BB223-AY223)/(AY223-BA223),0)</f>
        <v>1.42857142857143</v>
      </c>
      <c r="BD223" s="42" t="n">
        <f aca="false">IF(N223&lt;0,1,0)</f>
        <v>1</v>
      </c>
      <c r="BE223" s="41" t="n">
        <f aca="false">IF(AND(BD223=1,BD222=0),N223,IF(BD223=1,MIN(BE222,N223),BE222))</f>
        <v>-0.00789517057684375</v>
      </c>
      <c r="BF223" s="40" t="n">
        <f aca="false">IF(AND(BD223=1,BD222=0),D223,IF(BD223=1,MIN(BF222,D223),BF222))</f>
        <v>28.73</v>
      </c>
      <c r="BG223" s="42" t="n">
        <f aca="false">IF(AND(BD223=1,BD222=0),ROW(),IF(BD223=1,IF(N223&lt;BE222,ROW(),BG222),BG222))</f>
        <v>223</v>
      </c>
      <c r="BH223" s="41" t="n">
        <f aca="false">IF(AND(BD223=1,BD222=0),BE222,BH222)</f>
        <v>-0.0514032452662709</v>
      </c>
      <c r="BI223" s="40" t="n">
        <f aca="false">IF(AND(BD223=1,BD222=0),BF222,BI222)</f>
        <v>26.79</v>
      </c>
      <c r="BJ223" s="42" t="n">
        <f aca="false">IF(AND(BD223=1,BD222=0),BG222,BJ222)</f>
        <v>213</v>
      </c>
      <c r="BK223" s="42" t="n">
        <f aca="false">IF(AND(ISNUMBER(BG223),ISNUMBER(BJ223)),BG223-BJ223,"")</f>
        <v>10</v>
      </c>
      <c r="BL223" s="42" t="n">
        <f aca="false">IF(AND(BD223=1,N223&gt;N222,ISNUMBER(BH223),ISNUMBER(BK223)),IF(AND(BE223&gt;BH223,BF223&lt;BI223,BK223&gt;=p_GapMin,BK223&lt;=p_GapMax),1,0),0)</f>
        <v>0</v>
      </c>
      <c r="BM223" s="42" t="n">
        <f aca="false">IF(AND(BL223=1,E223&gt;BI223),1,0)</f>
        <v>0</v>
      </c>
      <c r="BN223" s="42" t="n">
        <f aca="false">IF(BL223=1,IF(BE223&gt;=BH223*0.5,1,0),0)</f>
        <v>0</v>
      </c>
      <c r="BO223" s="42" t="n">
        <f aca="true">IF(V223&gt;MIN(OFFSET(V223,-MIN(p_FiLb-1,ROW()-5),0,MIN(p_FiLb-1,ROW()-5),1)),1,0)</f>
        <v>1</v>
      </c>
      <c r="BP223" s="44" t="n">
        <f aca="true">IF(COUNTIF(OFFSET(V223,1-MIN(100,ROW()-4),0,MIN(100,ROW()-4),1),"&lt;0")&gt;=5,AVERAGEIF(OFFSET(V223,1-MIN(100,ROW()-4),0,MIN(100,ROW()-4),1),"&lt;0"),"")</f>
        <v>-736822.602413544</v>
      </c>
      <c r="BQ223" s="42" t="n">
        <f aca="false">IF(ISNUMBER(BP223),IF(AND(V223&lt;5*BP223,V223&gt;V222,E223&lt;AJ223),1,0),0)</f>
        <v>0</v>
      </c>
      <c r="BR223" s="44" t="n">
        <f aca="true">AVERAGE(OFFSET(F223,1-MIN(5,ROW()-4),0,MIN(5,ROW()-4),1))</f>
        <v>4894820</v>
      </c>
      <c r="BS223" s="42" t="n">
        <f aca="false">IFERROR(IF(MATCH(G223,周线!$A$5:$A$84,0)&lt;=1,"",INDEX(周线!$R$5:$R$84,MATCH(G223,周线!$A$5:$A$84,0)-1)),"")</f>
        <v>1</v>
      </c>
      <c r="BT223" s="42" t="n">
        <f aca="false">IFERROR(IF(MATCH(G223,周线!$A$5:$A$84,0)&lt;=1,"",INDEX(周线!$S$5:$S$84,MATCH(G223,周线!$A$5:$A$84,0)-1)),"")</f>
        <v>1</v>
      </c>
      <c r="BU223" s="42" t="n">
        <f aca="false">IFERROR(IF(MATCH(G223,周线!$A$5:$A$84,0)&lt;=1,"",INDEX(周线!$U$5:$U$84,MATCH(G223,周线!$A$5:$A$84,0)-1)),"")</f>
        <v>1</v>
      </c>
      <c r="BV223" s="42" t="n">
        <f aca="false">IF(AND(BS223=1,S223&lt;&gt;-1,V223&lt;0,BO223=1,E223&lt;=H223,E223&gt;=AJ223),1,0)</f>
        <v>0</v>
      </c>
      <c r="BW223" s="42" t="n">
        <f aca="false">BL223</f>
        <v>0</v>
      </c>
      <c r="BX223" s="42" t="n">
        <f aca="false">BQ223</f>
        <v>0</v>
      </c>
      <c r="BY223" s="42" t="n">
        <f aca="false">IF(BS223=1,10,0)+IF(BU223=1,5,IF(BU223=-1,0,3))+IF(BT223=1,5,0)+IF(AND(AE223&gt;AF223,AH223&gt;AH222),5,0)</f>
        <v>25</v>
      </c>
      <c r="BZ223" s="42" t="n">
        <f aca="false">IF(AND(E223&lt;=H223,E223&gt;=I223),10,IF(AND(E223&gt;=AJ223,E223&lt;I223),6,0))+IF(AND(V223&lt;0,BO223=1),8,0)+IF(AT223&lt;30,7,IF(AT223&lt;50,3,0))</f>
        <v>8</v>
      </c>
      <c r="CA223" s="42" t="n">
        <f aca="false">IF(AND(BV223=1,BW223=1),25,IF(BW223=1,22,IF(BV223=1,15,IF(BX223=1,12,0))))</f>
        <v>0</v>
      </c>
      <c r="CB223" s="42" t="n">
        <f aca="false">IF(W223&gt;0,6,0)+IF(F223&lt;BR223,4,0)</f>
        <v>6</v>
      </c>
      <c r="CC223" s="42" t="n">
        <f aca="false">IF(BC223&gt;=3,15,IF(BC223&gt;=p_RRmin,10,IF(BC223&gt;=1.5,4,0)))</f>
        <v>0</v>
      </c>
      <c r="CD223" s="42" t="n">
        <f aca="false">BY223+BZ223+CA223+CB223+CC223</f>
        <v>39</v>
      </c>
      <c r="CE223" s="42" t="n">
        <f aca="false">IF(AND(BS223&lt;&gt;1,BW223+BX223=0),1,0)</f>
        <v>0</v>
      </c>
      <c r="CF223" s="42" t="n">
        <f aca="false">IF(BU223=-1,1,0)</f>
        <v>0</v>
      </c>
      <c r="CG223" s="42" t="n">
        <f aca="false">IF(S223=-1,1,0)</f>
        <v>0</v>
      </c>
      <c r="CH223" s="42" t="n">
        <f aca="false">IF(BV223+BW223+BX223=0,1,0)</f>
        <v>1</v>
      </c>
      <c r="CI223" s="42" t="n">
        <f aca="false">IF(BC223&lt;p_RRmin,1,0)</f>
        <v>1</v>
      </c>
      <c r="CJ223" s="46" t="str">
        <f aca="false">IF(SUM(CE223:CI223)=0,IF(CD223&gt;=p_GradeA,"A",IF(CD223&gt;=p_GradeB,"B","C")),IF(AND(CI223=1,SUM(CE223:CH223)=0,CD223&gt;=p_GradeB),"B","C"))</f>
        <v>C</v>
      </c>
    </row>
    <row r="224" customFormat="false" ht="15" hidden="false" customHeight="false" outlineLevel="0" collapsed="false">
      <c r="A224" s="36" t="n">
        <v>45966</v>
      </c>
      <c r="B224" s="37" t="n">
        <v>28.73</v>
      </c>
      <c r="C224" s="37" t="n">
        <v>28.98</v>
      </c>
      <c r="D224" s="37" t="n">
        <v>28.08</v>
      </c>
      <c r="E224" s="37" t="n">
        <v>28.33</v>
      </c>
      <c r="F224" s="38" t="n">
        <v>3520500</v>
      </c>
      <c r="G224" s="39" t="n">
        <f aca="false">A224-WEEKDAY(A224,3)</f>
        <v>45964</v>
      </c>
      <c r="H224" s="40" t="n">
        <f aca="false">2/(p_EmaF+1)*E224+(1-2/(p_EmaF+1))*H223</f>
        <v>28.4422584827623</v>
      </c>
      <c r="I224" s="40" t="n">
        <f aca="false">2/(p_EmaS+1)*E224+(1-2/(p_EmaS+1))*I223</f>
        <v>27.7718916761876</v>
      </c>
      <c r="J224" s="41" t="n">
        <f aca="false">2/(p_MacdF+1)*E224+(1-2/(p_MacdF+1))*J223</f>
        <v>28.488790566503</v>
      </c>
      <c r="K224" s="41" t="n">
        <f aca="false">2/(p_MacdS+1)*E224+(1-2/(p_MacdS+1))*K223</f>
        <v>27.7718916761876</v>
      </c>
      <c r="L224" s="41" t="n">
        <f aca="false">J224-K224</f>
        <v>0.716898890315395</v>
      </c>
      <c r="M224" s="41" t="n">
        <f aca="false">2/(p_MacdSig+1)*L224+(1-2/(p_MacdSig+1))*M223</f>
        <v>0.782030769174025</v>
      </c>
      <c r="N224" s="41" t="n">
        <f aca="false">L224-M224</f>
        <v>-0.0651318788586301</v>
      </c>
      <c r="O224" s="42" t="n">
        <f aca="false">IF(H224&gt;H223,1,0)</f>
        <v>0</v>
      </c>
      <c r="P224" s="42" t="n">
        <f aca="false">IF(H224&lt;H223,1,0)</f>
        <v>1</v>
      </c>
      <c r="Q224" s="42" t="n">
        <f aca="false">IF(N224&gt;N223,1,0)</f>
        <v>0</v>
      </c>
      <c r="R224" s="42" t="n">
        <f aca="false">IF(N224&lt;N223,1,0)</f>
        <v>1</v>
      </c>
      <c r="S224" s="42" t="n">
        <f aca="false">IF(AND(O224=1,Q224=1),1,IF(AND(P224=1,R224=1),-1,0))</f>
        <v>-1</v>
      </c>
      <c r="T224" s="43" t="str">
        <f aca="false">IF(S224=1,"绿",IF(S224=-1,"红","蓝"))</f>
        <v>红</v>
      </c>
      <c r="U224" s="44" t="n">
        <f aca="false">F224*(E224-E223)</f>
        <v>-1619430</v>
      </c>
      <c r="V224" s="44" t="n">
        <f aca="false">2/(p_FiS+1)*U224+(1-2/(p_FiS+1))*V223</f>
        <v>-1557676.53410831</v>
      </c>
      <c r="W224" s="44" t="n">
        <f aca="false">2/(p_FiL+1)*U224+(1-2/(p_FiL+1))*W223</f>
        <v>-35187.1717176785</v>
      </c>
      <c r="X224" s="41" t="n">
        <f aca="false">MAX(C224-D224,ABS(C224-E223),ABS(D224-E223))</f>
        <v>0.900000000000002</v>
      </c>
      <c r="Y224" s="41" t="n">
        <f aca="true">AVERAGE(OFFSET(X224,1-MIN(p_AtrN,ROW()-4),0,MIN(p_AtrN,ROW()-4),1))</f>
        <v>0.788461538461539</v>
      </c>
      <c r="Z224" s="41" t="n">
        <f aca="false">IF(AND(C224-C223&gt;D223-D224,C224-C223&gt;0),C224-C223,0)</f>
        <v>0</v>
      </c>
      <c r="AA224" s="41" t="n">
        <f aca="false">IF(AND(D223-D224&gt;C224-C223,D223-D224&gt;0),D223-D224,0)</f>
        <v>0.650000000000002</v>
      </c>
      <c r="AB224" s="41" t="n">
        <f aca="false">2/(p_AdxN+1)*X224+(1-2/(p_AdxN+1))*AB223</f>
        <v>0.752767046892514</v>
      </c>
      <c r="AC224" s="41" t="n">
        <f aca="false">2/(p_AdxN+1)*Z224+(1-2/(p_AdxN+1))*AC223</f>
        <v>0.158427010965555</v>
      </c>
      <c r="AD224" s="41" t="n">
        <f aca="false">2/(p_AdxN+1)*AA224+(1-2/(p_AdxN+1))*AD223</f>
        <v>0.163165185922142</v>
      </c>
      <c r="AE224" s="45" t="n">
        <f aca="false">100*AC224/AB224</f>
        <v>21.0459546043567</v>
      </c>
      <c r="AF224" s="45" t="n">
        <f aca="false">100*AD224/AB224</f>
        <v>21.6753890324638</v>
      </c>
      <c r="AG224" s="45" t="n">
        <f aca="false">IFERROR(100*ABS(AE224-AF224)/(AE224+AF224),0)</f>
        <v>1.47334885685712</v>
      </c>
      <c r="AH224" s="45" t="n">
        <f aca="false">2/(p_AdxN+1)*AG224+(1-2/(p_AdxN+1))*AH223</f>
        <v>29.1302654255154</v>
      </c>
      <c r="AI224" s="40" t="n">
        <f aca="false">I224*(1+p_ChPct)</f>
        <v>29.4382051767589</v>
      </c>
      <c r="AJ224" s="40" t="n">
        <f aca="false">I224*(1-p_ChPct)</f>
        <v>26.1055781756163</v>
      </c>
      <c r="AK224" s="40" t="n">
        <f aca="false">I224+1*Y224</f>
        <v>28.5603532146491</v>
      </c>
      <c r="AL224" s="40" t="n">
        <f aca="false">I224+2*Y224</f>
        <v>29.3488147531107</v>
      </c>
      <c r="AM224" s="40" t="n">
        <f aca="false">I224+3*Y224</f>
        <v>30.1372762915722</v>
      </c>
      <c r="AN224" s="40" t="n">
        <f aca="false">I224-1*Y224</f>
        <v>26.9834301377261</v>
      </c>
      <c r="AO224" s="40" t="n">
        <f aca="false">I224-2*Y224</f>
        <v>26.1949685992645</v>
      </c>
      <c r="AP224" s="40" t="n">
        <f aca="false">I224-3*Y224</f>
        <v>25.406507060803</v>
      </c>
      <c r="AQ224" s="40" t="n">
        <f aca="true">MAX(OFFSET(C224,1-MIN(p_StochN,ROW()-4),0,MIN(p_StochN,ROW()-4),1))</f>
        <v>29.67</v>
      </c>
      <c r="AR224" s="40" t="n">
        <f aca="true">MIN(OFFSET(D224,1-MIN(p_StochN,ROW()-4),0,MIN(p_StochN,ROW()-4),1))</f>
        <v>28.08</v>
      </c>
      <c r="AS224" s="45" t="n">
        <f aca="false">IF(AQ224=AR224,50,100*(E224-AR224)/(AQ224-AR224))</f>
        <v>15.7232704402515</v>
      </c>
      <c r="AT224" s="45" t="n">
        <f aca="true">AVERAGE(OFFSET(AS224,1-MIN(p_StochSm,ROW()-4),0,MIN(p_StochSm,ROW()-4),1))</f>
        <v>46.2827568134171</v>
      </c>
      <c r="AU224" s="45" t="n">
        <f aca="true">AVERAGE(OFFSET(AT224,1-MIN(p_StochSm,ROW()-4),0,MIN(p_StochSm,ROW()-4),1))</f>
        <v>60.2536827099812</v>
      </c>
      <c r="AV224" s="41" t="n">
        <f aca="false">MAX(0,H224-D224)</f>
        <v>0.362258482762332</v>
      </c>
      <c r="AW224" s="41" t="n">
        <f aca="true">IF(COUNTIF(OFFSET(AV224,1-MIN(p_PenLb,ROW()-4),0,MIN(p_PenLb,ROW()-4),1),"&gt;0")&gt;0,SUM(OFFSET(AV224,1-MIN(p_PenLb,ROW()-4),0,MIN(p_PenLb,ROW()-4),1))/COUNTIF(OFFSET(AV224,1-MIN(p_PenLb,ROW()-4),0,MIN(p_PenLb,ROW()-4),1),"&gt;0"),0.5*Y224)</f>
        <v>0.270301562898564</v>
      </c>
      <c r="AX224" s="41" t="n">
        <f aca="false">2*H224-H223</f>
        <v>28.4235487356353</v>
      </c>
      <c r="AY224" s="40" t="n">
        <f aca="false">ROUND(MAX(AX224-AW224,0.01),2)</f>
        <v>28.15</v>
      </c>
      <c r="AZ224" s="40" t="n">
        <f aca="true">IF(MIN(p_StopLb,ROW()-4)&lt;2,D224,SMALL(OFFSET(D224,1-MIN(p_StopLb,ROW()-4),0,MIN(p_StopLb,ROW()-4),1),2))</f>
        <v>27.86</v>
      </c>
      <c r="BA224" s="40" t="n">
        <f aca="false">IF(MOD(ROUND(ROUNDDOWN(MIN(AZ224-0.01,AY224-p_StopAtr*Y224),2)*100,0),50)=0,ROUNDDOWN(MIN(AZ224-0.01,AY224-p_StopAtr*Y224),2)-0.01,ROUNDDOWN(MIN(AZ224-0.01,AY224-p_StopAtr*Y224),2))</f>
        <v>27.36</v>
      </c>
      <c r="BB224" s="40" t="n">
        <f aca="false">ROUND(AI224,2)</f>
        <v>29.44</v>
      </c>
      <c r="BC224" s="40" t="n">
        <f aca="false">IF(AY224-BA224&gt;0,(BB224-AY224)/(AY224-BA224),0)</f>
        <v>1.63291139240507</v>
      </c>
      <c r="BD224" s="42" t="n">
        <f aca="false">IF(N224&lt;0,1,0)</f>
        <v>1</v>
      </c>
      <c r="BE224" s="41" t="n">
        <f aca="false">IF(AND(BD224=1,BD223=0),N224,IF(BD224=1,MIN(BE223,N224),BE223))</f>
        <v>-0.0651318788586301</v>
      </c>
      <c r="BF224" s="40" t="n">
        <f aca="false">IF(AND(BD224=1,BD223=0),D224,IF(BD224=1,MIN(BF223,D224),BF223))</f>
        <v>28.08</v>
      </c>
      <c r="BG224" s="42" t="n">
        <f aca="false">IF(AND(BD224=1,BD223=0),ROW(),IF(BD224=1,IF(N224&lt;BE223,ROW(),BG223),BG223))</f>
        <v>224</v>
      </c>
      <c r="BH224" s="41" t="n">
        <f aca="false">IF(AND(BD224=1,BD223=0),BE223,BH223)</f>
        <v>-0.0514032452662709</v>
      </c>
      <c r="BI224" s="40" t="n">
        <f aca="false">IF(AND(BD224=1,BD223=0),BF223,BI223)</f>
        <v>26.79</v>
      </c>
      <c r="BJ224" s="42" t="n">
        <f aca="false">IF(AND(BD224=1,BD223=0),BG223,BJ223)</f>
        <v>213</v>
      </c>
      <c r="BK224" s="42" t="n">
        <f aca="false">IF(AND(ISNUMBER(BG224),ISNUMBER(BJ224)),BG224-BJ224,"")</f>
        <v>11</v>
      </c>
      <c r="BL224" s="42" t="n">
        <f aca="false">IF(AND(BD224=1,N224&gt;N223,ISNUMBER(BH224),ISNUMBER(BK224)),IF(AND(BE224&gt;BH224,BF224&lt;BI224,BK224&gt;=p_GapMin,BK224&lt;=p_GapMax),1,0),0)</f>
        <v>0</v>
      </c>
      <c r="BM224" s="42" t="n">
        <f aca="false">IF(AND(BL224=1,E224&gt;BI224),1,0)</f>
        <v>0</v>
      </c>
      <c r="BN224" s="42" t="n">
        <f aca="false">IF(BL224=1,IF(BE224&gt;=BH224*0.5,1,0),0)</f>
        <v>0</v>
      </c>
      <c r="BO224" s="42" t="n">
        <f aca="true">IF(V224&gt;MIN(OFFSET(V224,-MIN(p_FiLb-1,ROW()-5),0,MIN(p_FiLb-1,ROW()-5),1)),1,0)</f>
        <v>1</v>
      </c>
      <c r="BP224" s="44" t="n">
        <f aca="true">IF(COUNTIF(OFFSET(V224,1-MIN(100,ROW()-4),0,MIN(100,ROW()-4),1),"&lt;0")&gt;=5,AVERAGEIF(OFFSET(V224,1-MIN(100,ROW()-4),0,MIN(100,ROW()-4),1),"&lt;0"),"")</f>
        <v>-773756.924945288</v>
      </c>
      <c r="BQ224" s="42" t="n">
        <f aca="false">IF(ISNUMBER(BP224),IF(AND(V224&lt;5*BP224,V224&gt;V223,E224&lt;AJ224),1,0),0)</f>
        <v>0</v>
      </c>
      <c r="BR224" s="44" t="n">
        <f aca="true">AVERAGE(OFFSET(F224,1-MIN(5,ROW()-4),0,MIN(5,ROW()-4),1))</f>
        <v>4612040</v>
      </c>
      <c r="BS224" s="42" t="n">
        <f aca="false">IFERROR(IF(MATCH(G224,周线!$A$5:$A$84,0)&lt;=1,"",INDEX(周线!$R$5:$R$84,MATCH(G224,周线!$A$5:$A$84,0)-1)),"")</f>
        <v>1</v>
      </c>
      <c r="BT224" s="42" t="n">
        <f aca="false">IFERROR(IF(MATCH(G224,周线!$A$5:$A$84,0)&lt;=1,"",INDEX(周线!$S$5:$S$84,MATCH(G224,周线!$A$5:$A$84,0)-1)),"")</f>
        <v>1</v>
      </c>
      <c r="BU224" s="42" t="n">
        <f aca="false">IFERROR(IF(MATCH(G224,周线!$A$5:$A$84,0)&lt;=1,"",INDEX(周线!$U$5:$U$84,MATCH(G224,周线!$A$5:$A$84,0)-1)),"")</f>
        <v>1</v>
      </c>
      <c r="BV224" s="42" t="n">
        <f aca="false">IF(AND(BS224=1,S224&lt;&gt;-1,V224&lt;0,BO224=1,E224&lt;=H224,E224&gt;=AJ224),1,0)</f>
        <v>0</v>
      </c>
      <c r="BW224" s="42" t="n">
        <f aca="false">BL224</f>
        <v>0</v>
      </c>
      <c r="BX224" s="42" t="n">
        <f aca="false">BQ224</f>
        <v>0</v>
      </c>
      <c r="BY224" s="42" t="n">
        <f aca="false">IF(BS224=1,10,0)+IF(BU224=1,5,IF(BU224=-1,0,3))+IF(BT224=1,5,0)+IF(AND(AE224&gt;AF224,AH224&gt;AH223),5,0)</f>
        <v>20</v>
      </c>
      <c r="BZ224" s="42" t="n">
        <f aca="false">IF(AND(E224&lt;=H224,E224&gt;=I224),10,IF(AND(E224&gt;=AJ224,E224&lt;I224),6,0))+IF(AND(V224&lt;0,BO224=1),8,0)+IF(AT224&lt;30,7,IF(AT224&lt;50,3,0))</f>
        <v>21</v>
      </c>
      <c r="CA224" s="42" t="n">
        <f aca="false">IF(AND(BV224=1,BW224=1),25,IF(BW224=1,22,IF(BV224=1,15,IF(BX224=1,12,0))))</f>
        <v>0</v>
      </c>
      <c r="CB224" s="42" t="n">
        <f aca="false">IF(W224&gt;0,6,0)+IF(F224&lt;BR224,4,0)</f>
        <v>4</v>
      </c>
      <c r="CC224" s="42" t="n">
        <f aca="false">IF(BC224&gt;=3,15,IF(BC224&gt;=p_RRmin,10,IF(BC224&gt;=1.5,4,0)))</f>
        <v>4</v>
      </c>
      <c r="CD224" s="42" t="n">
        <f aca="false">BY224+BZ224+CA224+CB224+CC224</f>
        <v>49</v>
      </c>
      <c r="CE224" s="42" t="n">
        <f aca="false">IF(AND(BS224&lt;&gt;1,BW224+BX224=0),1,0)</f>
        <v>0</v>
      </c>
      <c r="CF224" s="42" t="n">
        <f aca="false">IF(BU224=-1,1,0)</f>
        <v>0</v>
      </c>
      <c r="CG224" s="42" t="n">
        <f aca="false">IF(S224=-1,1,0)</f>
        <v>1</v>
      </c>
      <c r="CH224" s="42" t="n">
        <f aca="false">IF(BV224+BW224+BX224=0,1,0)</f>
        <v>1</v>
      </c>
      <c r="CI224" s="42" t="n">
        <f aca="false">IF(BC224&lt;p_RRmin,1,0)</f>
        <v>1</v>
      </c>
      <c r="CJ224" s="46" t="str">
        <f aca="false">IF(SUM(CE224:CI224)=0,IF(CD224&gt;=p_GradeA,"A",IF(CD224&gt;=p_GradeB,"B","C")),IF(AND(CI224=1,SUM(CE224:CH224)=0,CD224&gt;=p_GradeB),"B","C"))</f>
        <v>C</v>
      </c>
    </row>
    <row r="225" customFormat="false" ht="15" hidden="false" customHeight="false" outlineLevel="0" collapsed="false">
      <c r="A225" s="36" t="n">
        <v>45967</v>
      </c>
      <c r="B225" s="37" t="n">
        <v>28.37</v>
      </c>
      <c r="C225" s="37" t="n">
        <v>28.56</v>
      </c>
      <c r="D225" s="37" t="n">
        <v>27.9</v>
      </c>
      <c r="E225" s="37" t="n">
        <v>28.14</v>
      </c>
      <c r="F225" s="38" t="n">
        <v>2949600</v>
      </c>
      <c r="G225" s="39" t="n">
        <f aca="false">A225-WEEKDAY(A225,3)</f>
        <v>45964</v>
      </c>
      <c r="H225" s="40" t="n">
        <f aca="false">2/(p_EmaF+1)*E225+(1-2/(p_EmaF+1))*H224</f>
        <v>28.3990786995106</v>
      </c>
      <c r="I225" s="40" t="n">
        <f aca="false">2/(p_EmaS+1)*E225+(1-2/(p_EmaS+1))*I224</f>
        <v>27.799158959433</v>
      </c>
      <c r="J225" s="41" t="n">
        <f aca="false">2/(p_MacdF+1)*E225+(1-2/(p_MacdF+1))*J224</f>
        <v>28.4351304793487</v>
      </c>
      <c r="K225" s="41" t="n">
        <f aca="false">2/(p_MacdS+1)*E225+(1-2/(p_MacdS+1))*K224</f>
        <v>27.799158959433</v>
      </c>
      <c r="L225" s="41" t="n">
        <f aca="false">J225-K225</f>
        <v>0.635971519915728</v>
      </c>
      <c r="M225" s="41" t="n">
        <f aca="false">2/(p_MacdSig+1)*L225+(1-2/(p_MacdSig+1))*M224</f>
        <v>0.752818919322366</v>
      </c>
      <c r="N225" s="41" t="n">
        <f aca="false">L225-M225</f>
        <v>-0.116847399406638</v>
      </c>
      <c r="O225" s="42" t="n">
        <f aca="false">IF(H225&gt;H224,1,0)</f>
        <v>0</v>
      </c>
      <c r="P225" s="42" t="n">
        <f aca="false">IF(H225&lt;H224,1,0)</f>
        <v>1</v>
      </c>
      <c r="Q225" s="42" t="n">
        <f aca="false">IF(N225&gt;N224,1,0)</f>
        <v>0</v>
      </c>
      <c r="R225" s="42" t="n">
        <f aca="false">IF(N225&lt;N224,1,0)</f>
        <v>1</v>
      </c>
      <c r="S225" s="42" t="n">
        <f aca="false">IF(AND(O225=1,Q225=1),1,IF(AND(P225=1,R225=1),-1,0))</f>
        <v>-1</v>
      </c>
      <c r="T225" s="43" t="str">
        <f aca="false">IF(S225=1,"绿",IF(S225=-1,"红","蓝"))</f>
        <v>红</v>
      </c>
      <c r="U225" s="44" t="n">
        <f aca="false">F225*(E225-E224)</f>
        <v>-560423.999999993</v>
      </c>
      <c r="V225" s="44" t="n">
        <f aca="false">2/(p_FiS+1)*U225+(1-2/(p_FiS+1))*V224</f>
        <v>-892841.511369433</v>
      </c>
      <c r="W225" s="44" t="n">
        <f aca="false">2/(p_FiL+1)*U225+(1-2/(p_FiL+1))*W224</f>
        <v>-110221.004329438</v>
      </c>
      <c r="X225" s="41" t="n">
        <f aca="false">MAX(C225-D225,ABS(C225-E224),ABS(D225-E224))</f>
        <v>0.66</v>
      </c>
      <c r="Y225" s="41" t="n">
        <f aca="true">AVERAGE(OFFSET(X225,1-MIN(p_AtrN,ROW()-4),0,MIN(p_AtrN,ROW()-4),1))</f>
        <v>0.771538461538462</v>
      </c>
      <c r="Z225" s="41" t="n">
        <f aca="false">IF(AND(C225-C224&gt;D224-D225,C225-C224&gt;0),C225-C224,0)</f>
        <v>0</v>
      </c>
      <c r="AA225" s="41" t="n">
        <f aca="false">IF(AND(D224-D225&gt;C225-C224,D224-D225&gt;0),D224-D225,0)</f>
        <v>0.18</v>
      </c>
      <c r="AB225" s="41" t="n">
        <f aca="false">2/(p_AdxN+1)*X225+(1-2/(p_AdxN+1))*AB224</f>
        <v>0.739514611622155</v>
      </c>
      <c r="AC225" s="41" t="n">
        <f aca="false">2/(p_AdxN+1)*Z225+(1-2/(p_AdxN+1))*AC224</f>
        <v>0.135794580827619</v>
      </c>
      <c r="AD225" s="41" t="n">
        <f aca="false">2/(p_AdxN+1)*AA225+(1-2/(p_AdxN+1))*AD224</f>
        <v>0.165570159361836</v>
      </c>
      <c r="AE225" s="45" t="n">
        <f aca="false">100*AC225/AB225</f>
        <v>18.3626636571451</v>
      </c>
      <c r="AF225" s="45" t="n">
        <f aca="false">100*AD225/AB225</f>
        <v>22.3890315025218</v>
      </c>
      <c r="AG225" s="45" t="n">
        <f aca="false">IFERROR(100*ABS(AE225-AF225)/(AE225+AF225),0)</f>
        <v>9.88024628080193</v>
      </c>
      <c r="AH225" s="45" t="n">
        <f aca="false">2/(p_AdxN+1)*AG225+(1-2/(p_AdxN+1))*AH224</f>
        <v>26.3802626905564</v>
      </c>
      <c r="AI225" s="40" t="n">
        <f aca="false">I225*(1+p_ChPct)</f>
        <v>29.4671084969989</v>
      </c>
      <c r="AJ225" s="40" t="n">
        <f aca="false">I225*(1-p_ChPct)</f>
        <v>26.131209421867</v>
      </c>
      <c r="AK225" s="40" t="n">
        <f aca="false">I225+1*Y225</f>
        <v>28.5706974209714</v>
      </c>
      <c r="AL225" s="40" t="n">
        <f aca="false">I225+2*Y225</f>
        <v>29.3422358825099</v>
      </c>
      <c r="AM225" s="40" t="n">
        <f aca="false">I225+3*Y225</f>
        <v>30.1137743440483</v>
      </c>
      <c r="AN225" s="40" t="n">
        <f aca="false">I225-1*Y225</f>
        <v>27.0276204978945</v>
      </c>
      <c r="AO225" s="40" t="n">
        <f aca="false">I225-2*Y225</f>
        <v>26.256082036356</v>
      </c>
      <c r="AP225" s="40" t="n">
        <f aca="false">I225-3*Y225</f>
        <v>25.4845435748176</v>
      </c>
      <c r="AQ225" s="40" t="n">
        <f aca="true">MAX(OFFSET(C225,1-MIN(p_StochN,ROW()-4),0,MIN(p_StochN,ROW()-4),1))</f>
        <v>29.67</v>
      </c>
      <c r="AR225" s="40" t="n">
        <f aca="true">MIN(OFFSET(D225,1-MIN(p_StochN,ROW()-4),0,MIN(p_StochN,ROW()-4),1))</f>
        <v>27.9</v>
      </c>
      <c r="AS225" s="45" t="n">
        <f aca="false">IF(AQ225=AR225,50,100*(E225-AR225)/(AQ225-AR225))</f>
        <v>13.5593220338984</v>
      </c>
      <c r="AT225" s="45" t="n">
        <f aca="true">AVERAGE(OFFSET(AS225,1-MIN(p_StochSm,ROW()-4),0,MIN(p_StochSm,ROW()-4),1))</f>
        <v>24.7608641580499</v>
      </c>
      <c r="AU225" s="45" t="n">
        <f aca="true">AVERAGE(OFFSET(AT225,1-MIN(p_StochSm,ROW()-4),0,MIN(p_StochSm,ROW()-4),1))</f>
        <v>45.5783825273704</v>
      </c>
      <c r="AV225" s="41" t="n">
        <f aca="false">MAX(0,H225-D225)</f>
        <v>0.499078699510573</v>
      </c>
      <c r="AW225" s="41" t="n">
        <f aca="true">IF(COUNTIF(OFFSET(AV225,1-MIN(p_PenLb,ROW()-4),0,MIN(p_PenLb,ROW()-4),1),"&gt;0")&gt;0,SUM(OFFSET(AV225,1-MIN(p_PenLb,ROW()-4),0,MIN(p_PenLb,ROW()-4),1))/COUNTIF(OFFSET(AV225,1-MIN(p_PenLb,ROW()-4),0,MIN(p_PenLb,ROW()-4),1),"&gt;0"),0.5*Y225)</f>
        <v>0.327495847051567</v>
      </c>
      <c r="AX225" s="41" t="n">
        <f aca="false">2*H225-H224</f>
        <v>28.3558989162588</v>
      </c>
      <c r="AY225" s="40" t="n">
        <f aca="false">ROUND(MAX(AX225-AW225,0.01),2)</f>
        <v>28.03</v>
      </c>
      <c r="AZ225" s="40" t="n">
        <f aca="true">IF(MIN(p_StopLb,ROW()-4)&lt;2,D225,SMALL(OFFSET(D225,1-MIN(p_StopLb,ROW()-4),0,MIN(p_StopLb,ROW()-4),1),2))</f>
        <v>27.9</v>
      </c>
      <c r="BA225" s="40" t="n">
        <f aca="false">IF(MOD(ROUND(ROUNDDOWN(MIN(AZ225-0.01,AY225-p_StopAtr*Y225),2)*100,0),50)=0,ROUNDDOWN(MIN(AZ225-0.01,AY225-p_StopAtr*Y225),2)-0.01,ROUNDDOWN(MIN(AZ225-0.01,AY225-p_StopAtr*Y225),2))</f>
        <v>27.25</v>
      </c>
      <c r="BB225" s="40" t="n">
        <f aca="false">ROUND(AI225,2)</f>
        <v>29.47</v>
      </c>
      <c r="BC225" s="40" t="n">
        <f aca="false">IF(AY225-BA225&gt;0,(BB225-AY225)/(AY225-BA225),0)</f>
        <v>1.84615384615384</v>
      </c>
      <c r="BD225" s="42" t="n">
        <f aca="false">IF(N225&lt;0,1,0)</f>
        <v>1</v>
      </c>
      <c r="BE225" s="41" t="n">
        <f aca="false">IF(AND(BD225=1,BD224=0),N225,IF(BD225=1,MIN(BE224,N225),BE224))</f>
        <v>-0.116847399406638</v>
      </c>
      <c r="BF225" s="40" t="n">
        <f aca="false">IF(AND(BD225=1,BD224=0),D225,IF(BD225=1,MIN(BF224,D225),BF224))</f>
        <v>27.9</v>
      </c>
      <c r="BG225" s="42" t="n">
        <f aca="false">IF(AND(BD225=1,BD224=0),ROW(),IF(BD225=1,IF(N225&lt;BE224,ROW(),BG224),BG224))</f>
        <v>225</v>
      </c>
      <c r="BH225" s="41" t="n">
        <f aca="false">IF(AND(BD225=1,BD224=0),BE224,BH224)</f>
        <v>-0.0514032452662709</v>
      </c>
      <c r="BI225" s="40" t="n">
        <f aca="false">IF(AND(BD225=1,BD224=0),BF224,BI224)</f>
        <v>26.79</v>
      </c>
      <c r="BJ225" s="42" t="n">
        <f aca="false">IF(AND(BD225=1,BD224=0),BG224,BJ224)</f>
        <v>213</v>
      </c>
      <c r="BK225" s="42" t="n">
        <f aca="false">IF(AND(ISNUMBER(BG225),ISNUMBER(BJ225)),BG225-BJ225,"")</f>
        <v>12</v>
      </c>
      <c r="BL225" s="42" t="n">
        <f aca="false">IF(AND(BD225=1,N225&gt;N224,ISNUMBER(BH225),ISNUMBER(BK225)),IF(AND(BE225&gt;BH225,BF225&lt;BI225,BK225&gt;=p_GapMin,BK225&lt;=p_GapMax),1,0),0)</f>
        <v>0</v>
      </c>
      <c r="BM225" s="42" t="n">
        <f aca="false">IF(AND(BL225=1,E225&gt;BI225),1,0)</f>
        <v>0</v>
      </c>
      <c r="BN225" s="42" t="n">
        <f aca="false">IF(BL225=1,IF(BE225&gt;=BH225*0.5,1,0),0)</f>
        <v>0</v>
      </c>
      <c r="BO225" s="42" t="n">
        <f aca="true">IF(V225&gt;MIN(OFFSET(V225,-MIN(p_FiLb-1,ROW()-5),0,MIN(p_FiLb-1,ROW()-5),1)),1,0)</f>
        <v>1</v>
      </c>
      <c r="BP225" s="44" t="n">
        <f aca="true">IF(COUNTIF(OFFSET(V225,1-MIN(100,ROW()-4),0,MIN(100,ROW()-4),1),"&lt;0")&gt;=5,AVERAGEIF(OFFSET(V225,1-MIN(100,ROW()-4),0,MIN(100,ROW()-4),1),"&lt;0"),"")</f>
        <v>-777159.341700264</v>
      </c>
      <c r="BQ225" s="42" t="n">
        <f aca="false">IF(ISNUMBER(BP225),IF(AND(V225&lt;5*BP225,V225&gt;V224,E225&lt;AJ225),1,0),0)</f>
        <v>0</v>
      </c>
      <c r="BR225" s="44" t="n">
        <f aca="true">AVERAGE(OFFSET(F225,1-MIN(5,ROW()-4),0,MIN(5,ROW()-4),1))</f>
        <v>4290740</v>
      </c>
      <c r="BS225" s="42" t="n">
        <f aca="false">IFERROR(IF(MATCH(G225,周线!$A$5:$A$84,0)&lt;=1,"",INDEX(周线!$R$5:$R$84,MATCH(G225,周线!$A$5:$A$84,0)-1)),"")</f>
        <v>1</v>
      </c>
      <c r="BT225" s="42" t="n">
        <f aca="false">IFERROR(IF(MATCH(G225,周线!$A$5:$A$84,0)&lt;=1,"",INDEX(周线!$S$5:$S$84,MATCH(G225,周线!$A$5:$A$84,0)-1)),"")</f>
        <v>1</v>
      </c>
      <c r="BU225" s="42" t="n">
        <f aca="false">IFERROR(IF(MATCH(G225,周线!$A$5:$A$84,0)&lt;=1,"",INDEX(周线!$U$5:$U$84,MATCH(G225,周线!$A$5:$A$84,0)-1)),"")</f>
        <v>1</v>
      </c>
      <c r="BV225" s="42" t="n">
        <f aca="false">IF(AND(BS225=1,S225&lt;&gt;-1,V225&lt;0,BO225=1,E225&lt;=H225,E225&gt;=AJ225),1,0)</f>
        <v>0</v>
      </c>
      <c r="BW225" s="42" t="n">
        <f aca="false">BL225</f>
        <v>0</v>
      </c>
      <c r="BX225" s="42" t="n">
        <f aca="false">BQ225</f>
        <v>0</v>
      </c>
      <c r="BY225" s="42" t="n">
        <f aca="false">IF(BS225=1,10,0)+IF(BU225=1,5,IF(BU225=-1,0,3))+IF(BT225=1,5,0)+IF(AND(AE225&gt;AF225,AH225&gt;AH224),5,0)</f>
        <v>20</v>
      </c>
      <c r="BZ225" s="42" t="n">
        <f aca="false">IF(AND(E225&lt;=H225,E225&gt;=I225),10,IF(AND(E225&gt;=AJ225,E225&lt;I225),6,0))+IF(AND(V225&lt;0,BO225=1),8,0)+IF(AT225&lt;30,7,IF(AT225&lt;50,3,0))</f>
        <v>25</v>
      </c>
      <c r="CA225" s="42" t="n">
        <f aca="false">IF(AND(BV225=1,BW225=1),25,IF(BW225=1,22,IF(BV225=1,15,IF(BX225=1,12,0))))</f>
        <v>0</v>
      </c>
      <c r="CB225" s="42" t="n">
        <f aca="false">IF(W225&gt;0,6,0)+IF(F225&lt;BR225,4,0)</f>
        <v>4</v>
      </c>
      <c r="CC225" s="42" t="n">
        <f aca="false">IF(BC225&gt;=3,15,IF(BC225&gt;=p_RRmin,10,IF(BC225&gt;=1.5,4,0)))</f>
        <v>4</v>
      </c>
      <c r="CD225" s="42" t="n">
        <f aca="false">BY225+BZ225+CA225+CB225+CC225</f>
        <v>53</v>
      </c>
      <c r="CE225" s="42" t="n">
        <f aca="false">IF(AND(BS225&lt;&gt;1,BW225+BX225=0),1,0)</f>
        <v>0</v>
      </c>
      <c r="CF225" s="42" t="n">
        <f aca="false">IF(BU225=-1,1,0)</f>
        <v>0</v>
      </c>
      <c r="CG225" s="42" t="n">
        <f aca="false">IF(S225=-1,1,0)</f>
        <v>1</v>
      </c>
      <c r="CH225" s="42" t="n">
        <f aca="false">IF(BV225+BW225+BX225=0,1,0)</f>
        <v>1</v>
      </c>
      <c r="CI225" s="42" t="n">
        <f aca="false">IF(BC225&lt;p_RRmin,1,0)</f>
        <v>1</v>
      </c>
      <c r="CJ225" s="46" t="str">
        <f aca="false">IF(SUM(CE225:CI225)=0,IF(CD225&gt;=p_GradeA,"A",IF(CD225&gt;=p_GradeB,"B","C")),IF(AND(CI225=1,SUM(CE225:CH225)=0,CD225&gt;=p_GradeB),"B","C"))</f>
        <v>C</v>
      </c>
    </row>
    <row r="226" customFormat="false" ht="15" hidden="false" customHeight="false" outlineLevel="0" collapsed="false">
      <c r="A226" s="36" t="n">
        <v>45968</v>
      </c>
      <c r="B226" s="37" t="n">
        <v>28.19</v>
      </c>
      <c r="C226" s="37" t="n">
        <v>28.24</v>
      </c>
      <c r="D226" s="37" t="n">
        <v>28.04</v>
      </c>
      <c r="E226" s="37" t="n">
        <v>28.09</v>
      </c>
      <c r="F226" s="38" t="n">
        <v>3472400</v>
      </c>
      <c r="G226" s="39" t="n">
        <f aca="false">A226-WEEKDAY(A226,3)</f>
        <v>45964</v>
      </c>
      <c r="H226" s="40" t="n">
        <f aca="false">2/(p_EmaF+1)*E226+(1-2/(p_EmaF+1))*H225</f>
        <v>28.3549245995805</v>
      </c>
      <c r="I226" s="40" t="n">
        <f aca="false">2/(p_EmaS+1)*E226+(1-2/(p_EmaS+1))*I225</f>
        <v>27.8207027402157</v>
      </c>
      <c r="J226" s="41" t="n">
        <f aca="false">2/(p_MacdF+1)*E226+(1-2/(p_MacdF+1))*J225</f>
        <v>28.3820334825258</v>
      </c>
      <c r="K226" s="41" t="n">
        <f aca="false">2/(p_MacdS+1)*E226+(1-2/(p_MacdS+1))*K225</f>
        <v>27.8207027402157</v>
      </c>
      <c r="L226" s="41" t="n">
        <f aca="false">J226-K226</f>
        <v>0.561330742310112</v>
      </c>
      <c r="M226" s="41" t="n">
        <f aca="false">2/(p_MacdSig+1)*L226+(1-2/(p_MacdSig+1))*M225</f>
        <v>0.714521283919915</v>
      </c>
      <c r="N226" s="41" t="n">
        <f aca="false">L226-M226</f>
        <v>-0.153190541609803</v>
      </c>
      <c r="O226" s="42" t="n">
        <f aca="false">IF(H226&gt;H225,1,0)</f>
        <v>0</v>
      </c>
      <c r="P226" s="42" t="n">
        <f aca="false">IF(H226&lt;H225,1,0)</f>
        <v>1</v>
      </c>
      <c r="Q226" s="42" t="n">
        <f aca="false">IF(N226&gt;N225,1,0)</f>
        <v>0</v>
      </c>
      <c r="R226" s="42" t="n">
        <f aca="false">IF(N226&lt;N225,1,0)</f>
        <v>1</v>
      </c>
      <c r="S226" s="42" t="n">
        <f aca="false">IF(AND(O226=1,Q226=1),1,IF(AND(P226=1,R226=1),-1,0))</f>
        <v>-1</v>
      </c>
      <c r="T226" s="43" t="str">
        <f aca="false">IF(S226=1,"绿",IF(S226=-1,"红","蓝"))</f>
        <v>红</v>
      </c>
      <c r="U226" s="44" t="n">
        <f aca="false">F226*(E226-E225)</f>
        <v>-173620.000000002</v>
      </c>
      <c r="V226" s="44" t="n">
        <f aca="false">2/(p_FiS+1)*U226+(1-2/(p_FiS+1))*V225</f>
        <v>-413360.503789813</v>
      </c>
      <c r="W226" s="44" t="n">
        <f aca="false">2/(p_FiL+1)*U226+(1-2/(p_FiL+1))*W225</f>
        <v>-119278.003710947</v>
      </c>
      <c r="X226" s="41" t="n">
        <f aca="false">MAX(C226-D226,ABS(C226-E225),ABS(D226-E225))</f>
        <v>0.199999999999999</v>
      </c>
      <c r="Y226" s="41" t="n">
        <f aca="true">AVERAGE(OFFSET(X226,1-MIN(p_AtrN,ROW()-4),0,MIN(p_AtrN,ROW()-4),1))</f>
        <v>0.733846153846154</v>
      </c>
      <c r="Z226" s="41" t="n">
        <f aca="false">IF(AND(C226-C225&gt;D225-D226,C226-C225&gt;0),C226-C225,0)</f>
        <v>0</v>
      </c>
      <c r="AA226" s="41" t="n">
        <f aca="false">IF(AND(D225-D226&gt;C226-C225,D225-D226&gt;0),D225-D226,0)</f>
        <v>0</v>
      </c>
      <c r="AB226" s="41" t="n">
        <f aca="false">2/(p_AdxN+1)*X226+(1-2/(p_AdxN+1))*AB225</f>
        <v>0.662441095676133</v>
      </c>
      <c r="AC226" s="41" t="n">
        <f aca="false">2/(p_AdxN+1)*Z226+(1-2/(p_AdxN+1))*AC225</f>
        <v>0.116395354995102</v>
      </c>
      <c r="AD226" s="41" t="n">
        <f aca="false">2/(p_AdxN+1)*AA226+(1-2/(p_AdxN+1))*AD225</f>
        <v>0.141917279453002</v>
      </c>
      <c r="AE226" s="45" t="n">
        <f aca="false">100*AC226/AB226</f>
        <v>17.5706724348526</v>
      </c>
      <c r="AF226" s="45" t="n">
        <f aca="false">100*AD226/AB226</f>
        <v>21.4233809435014</v>
      </c>
      <c r="AG226" s="45" t="n">
        <f aca="false">IFERROR(100*ABS(AE226-AF226)/(AE226+AF226),0)</f>
        <v>9.88024628080193</v>
      </c>
      <c r="AH226" s="45" t="n">
        <f aca="false">2/(p_AdxN+1)*AG226+(1-2/(p_AdxN+1))*AH225</f>
        <v>24.0231174891629</v>
      </c>
      <c r="AI226" s="40" t="n">
        <f aca="false">I226*(1+p_ChPct)</f>
        <v>29.4899449046286</v>
      </c>
      <c r="AJ226" s="40" t="n">
        <f aca="false">I226*(1-p_ChPct)</f>
        <v>26.1514605758028</v>
      </c>
      <c r="AK226" s="40" t="n">
        <f aca="false">I226+1*Y226</f>
        <v>28.5545488940619</v>
      </c>
      <c r="AL226" s="40" t="n">
        <f aca="false">I226+2*Y226</f>
        <v>29.288395047908</v>
      </c>
      <c r="AM226" s="40" t="n">
        <f aca="false">I226+3*Y226</f>
        <v>30.0222412017542</v>
      </c>
      <c r="AN226" s="40" t="n">
        <f aca="false">I226-1*Y226</f>
        <v>27.0868565863695</v>
      </c>
      <c r="AO226" s="40" t="n">
        <f aca="false">I226-2*Y226</f>
        <v>26.3530104325234</v>
      </c>
      <c r="AP226" s="40" t="n">
        <f aca="false">I226-3*Y226</f>
        <v>25.6191642786772</v>
      </c>
      <c r="AQ226" s="40" t="n">
        <f aca="true">MAX(OFFSET(C226,1-MIN(p_StochN,ROW()-4),0,MIN(p_StochN,ROW()-4),1))</f>
        <v>29.67</v>
      </c>
      <c r="AR226" s="40" t="n">
        <f aca="true">MIN(OFFSET(D226,1-MIN(p_StochN,ROW()-4),0,MIN(p_StochN,ROW()-4),1))</f>
        <v>27.9</v>
      </c>
      <c r="AS226" s="45" t="n">
        <f aca="false">IF(AQ226=AR226,50,100*(E226-AR226)/(AQ226-AR226))</f>
        <v>10.7344632768362</v>
      </c>
      <c r="AT226" s="45" t="n">
        <f aca="true">AVERAGE(OFFSET(AS226,1-MIN(p_StochSm,ROW()-4),0,MIN(p_StochSm,ROW()-4),1))</f>
        <v>13.339018583662</v>
      </c>
      <c r="AU226" s="45" t="n">
        <f aca="true">AVERAGE(OFFSET(AT226,1-MIN(p_StochSm,ROW()-4),0,MIN(p_StochSm,ROW()-4),1))</f>
        <v>28.1275465183764</v>
      </c>
      <c r="AV226" s="41" t="n">
        <f aca="false">MAX(0,H226-D226)</f>
        <v>0.314924599580493</v>
      </c>
      <c r="AW226" s="41" t="n">
        <f aca="true">IF(COUNTIF(OFFSET(AV226,1-MIN(p_PenLb,ROW()-4),0,MIN(p_PenLb,ROW()-4),1),"&gt;0")&gt;0,SUM(OFFSET(AV226,1-MIN(p_PenLb,ROW()-4),0,MIN(p_PenLb,ROW()-4),1))/COUNTIF(OFFSET(AV226,1-MIN(p_PenLb,ROW()-4),0,MIN(p_PenLb,ROW()-4),1),"&gt;0"),0.5*Y226)</f>
        <v>0.324981597557352</v>
      </c>
      <c r="AX226" s="41" t="n">
        <f aca="false">2*H226-H225</f>
        <v>28.3107704996504</v>
      </c>
      <c r="AY226" s="40" t="n">
        <f aca="false">ROUND(MAX(AX226-AW226,0.01),2)</f>
        <v>27.99</v>
      </c>
      <c r="AZ226" s="40" t="n">
        <f aca="true">IF(MIN(p_StopLb,ROW()-4)&lt;2,D226,SMALL(OFFSET(D226,1-MIN(p_StopLb,ROW()-4),0,MIN(p_StopLb,ROW()-4),1),2))</f>
        <v>28.04</v>
      </c>
      <c r="BA226" s="40" t="n">
        <f aca="false">IF(MOD(ROUND(ROUNDDOWN(MIN(AZ226-0.01,AY226-p_StopAtr*Y226),2)*100,0),50)=0,ROUNDDOWN(MIN(AZ226-0.01,AY226-p_StopAtr*Y226),2)-0.01,ROUNDDOWN(MIN(AZ226-0.01,AY226-p_StopAtr*Y226),2))</f>
        <v>27.25</v>
      </c>
      <c r="BB226" s="40" t="n">
        <f aca="false">ROUND(AI226,2)</f>
        <v>29.49</v>
      </c>
      <c r="BC226" s="40" t="n">
        <f aca="false">IF(AY226-BA226&gt;0,(BB226-AY226)/(AY226-BA226),0)</f>
        <v>2.02702702702703</v>
      </c>
      <c r="BD226" s="42" t="n">
        <f aca="false">IF(N226&lt;0,1,0)</f>
        <v>1</v>
      </c>
      <c r="BE226" s="41" t="n">
        <f aca="false">IF(AND(BD226=1,BD225=0),N226,IF(BD226=1,MIN(BE225,N226),BE225))</f>
        <v>-0.153190541609803</v>
      </c>
      <c r="BF226" s="40" t="n">
        <f aca="false">IF(AND(BD226=1,BD225=0),D226,IF(BD226=1,MIN(BF225,D226),BF225))</f>
        <v>27.9</v>
      </c>
      <c r="BG226" s="42" t="n">
        <f aca="false">IF(AND(BD226=1,BD225=0),ROW(),IF(BD226=1,IF(N226&lt;BE225,ROW(),BG225),BG225))</f>
        <v>226</v>
      </c>
      <c r="BH226" s="41" t="n">
        <f aca="false">IF(AND(BD226=1,BD225=0),BE225,BH225)</f>
        <v>-0.0514032452662709</v>
      </c>
      <c r="BI226" s="40" t="n">
        <f aca="false">IF(AND(BD226=1,BD225=0),BF225,BI225)</f>
        <v>26.79</v>
      </c>
      <c r="BJ226" s="42" t="n">
        <f aca="false">IF(AND(BD226=1,BD225=0),BG225,BJ225)</f>
        <v>213</v>
      </c>
      <c r="BK226" s="42" t="n">
        <f aca="false">IF(AND(ISNUMBER(BG226),ISNUMBER(BJ226)),BG226-BJ226,"")</f>
        <v>13</v>
      </c>
      <c r="BL226" s="42" t="n">
        <f aca="false">IF(AND(BD226=1,N226&gt;N225,ISNUMBER(BH226),ISNUMBER(BK226)),IF(AND(BE226&gt;BH226,BF226&lt;BI226,BK226&gt;=p_GapMin,BK226&lt;=p_GapMax),1,0),0)</f>
        <v>0</v>
      </c>
      <c r="BM226" s="42" t="n">
        <f aca="false">IF(AND(BL226=1,E226&gt;BI226),1,0)</f>
        <v>0</v>
      </c>
      <c r="BN226" s="42" t="n">
        <f aca="false">IF(BL226=1,IF(BE226&gt;=BH226*0.5,1,0),0)</f>
        <v>0</v>
      </c>
      <c r="BO226" s="42" t="n">
        <f aca="true">IF(V226&gt;MIN(OFFSET(V226,-MIN(p_FiLb-1,ROW()-5),0,MIN(p_FiLb-1,ROW()-5),1)),1,0)</f>
        <v>1</v>
      </c>
      <c r="BP226" s="44" t="n">
        <f aca="true">IF(COUNTIF(OFFSET(V226,1-MIN(100,ROW()-4),0,MIN(100,ROW()-4),1),"&lt;0")&gt;=5,AVERAGEIF(OFFSET(V226,1-MIN(100,ROW()-4),0,MIN(100,ROW()-4),1),"&lt;0"),"")</f>
        <v>-767053.818424973</v>
      </c>
      <c r="BQ226" s="42" t="n">
        <f aca="false">IF(ISNUMBER(BP226),IF(AND(V226&lt;5*BP226,V226&gt;V225,E226&lt;AJ226),1,0),0)</f>
        <v>0</v>
      </c>
      <c r="BR226" s="44" t="n">
        <f aca="true">AVERAGE(OFFSET(F226,1-MIN(5,ROW()-4),0,MIN(5,ROW()-4),1))</f>
        <v>4106660</v>
      </c>
      <c r="BS226" s="42" t="n">
        <f aca="false">IFERROR(IF(MATCH(G226,周线!$A$5:$A$84,0)&lt;=1,"",INDEX(周线!$R$5:$R$84,MATCH(G226,周线!$A$5:$A$84,0)-1)),"")</f>
        <v>1</v>
      </c>
      <c r="BT226" s="42" t="n">
        <f aca="false">IFERROR(IF(MATCH(G226,周线!$A$5:$A$84,0)&lt;=1,"",INDEX(周线!$S$5:$S$84,MATCH(G226,周线!$A$5:$A$84,0)-1)),"")</f>
        <v>1</v>
      </c>
      <c r="BU226" s="42" t="n">
        <f aca="false">IFERROR(IF(MATCH(G226,周线!$A$5:$A$84,0)&lt;=1,"",INDEX(周线!$U$5:$U$84,MATCH(G226,周线!$A$5:$A$84,0)-1)),"")</f>
        <v>1</v>
      </c>
      <c r="BV226" s="42" t="n">
        <f aca="false">IF(AND(BS226=1,S226&lt;&gt;-1,V226&lt;0,BO226=1,E226&lt;=H226,E226&gt;=AJ226),1,0)</f>
        <v>0</v>
      </c>
      <c r="BW226" s="42" t="n">
        <f aca="false">BL226</f>
        <v>0</v>
      </c>
      <c r="BX226" s="42" t="n">
        <f aca="false">BQ226</f>
        <v>0</v>
      </c>
      <c r="BY226" s="42" t="n">
        <f aca="false">IF(BS226=1,10,0)+IF(BU226=1,5,IF(BU226=-1,0,3))+IF(BT226=1,5,0)+IF(AND(AE226&gt;AF226,AH226&gt;AH225),5,0)</f>
        <v>20</v>
      </c>
      <c r="BZ226" s="42" t="n">
        <f aca="false">IF(AND(E226&lt;=H226,E226&gt;=I226),10,IF(AND(E226&gt;=AJ226,E226&lt;I226),6,0))+IF(AND(V226&lt;0,BO226=1),8,0)+IF(AT226&lt;30,7,IF(AT226&lt;50,3,0))</f>
        <v>25</v>
      </c>
      <c r="CA226" s="42" t="n">
        <f aca="false">IF(AND(BV226=1,BW226=1),25,IF(BW226=1,22,IF(BV226=1,15,IF(BX226=1,12,0))))</f>
        <v>0</v>
      </c>
      <c r="CB226" s="42" t="n">
        <f aca="false">IF(W226&gt;0,6,0)+IF(F226&lt;BR226,4,0)</f>
        <v>4</v>
      </c>
      <c r="CC226" s="42" t="n">
        <f aca="false">IF(BC226&gt;=3,15,IF(BC226&gt;=p_RRmin,10,IF(BC226&gt;=1.5,4,0)))</f>
        <v>10</v>
      </c>
      <c r="CD226" s="42" t="n">
        <f aca="false">BY226+BZ226+CA226+CB226+CC226</f>
        <v>59</v>
      </c>
      <c r="CE226" s="42" t="n">
        <f aca="false">IF(AND(BS226&lt;&gt;1,BW226+BX226=0),1,0)</f>
        <v>0</v>
      </c>
      <c r="CF226" s="42" t="n">
        <f aca="false">IF(BU226=-1,1,0)</f>
        <v>0</v>
      </c>
      <c r="CG226" s="42" t="n">
        <f aca="false">IF(S226=-1,1,0)</f>
        <v>1</v>
      </c>
      <c r="CH226" s="42" t="n">
        <f aca="false">IF(BV226+BW226+BX226=0,1,0)</f>
        <v>1</v>
      </c>
      <c r="CI226" s="42" t="n">
        <f aca="false">IF(BC226&lt;p_RRmin,1,0)</f>
        <v>0</v>
      </c>
      <c r="CJ226" s="46" t="str">
        <f aca="false">IF(SUM(CE226:CI226)=0,IF(CD226&gt;=p_GradeA,"A",IF(CD226&gt;=p_GradeB,"B","C")),IF(AND(CI226=1,SUM(CE226:CH226)=0,CD226&gt;=p_GradeB),"B","C"))</f>
        <v>C</v>
      </c>
    </row>
    <row r="227" customFormat="false" ht="15" hidden="false" customHeight="false" outlineLevel="0" collapsed="false">
      <c r="A227" s="36" t="n">
        <v>45971</v>
      </c>
      <c r="B227" s="37" t="n">
        <v>28.17</v>
      </c>
      <c r="C227" s="37" t="n">
        <v>28.98</v>
      </c>
      <c r="D227" s="37" t="n">
        <v>28.04</v>
      </c>
      <c r="E227" s="37" t="n">
        <v>28.74</v>
      </c>
      <c r="F227" s="38" t="n">
        <v>5092700</v>
      </c>
      <c r="G227" s="39" t="n">
        <f aca="false">A227-WEEKDAY(A227,3)</f>
        <v>45971</v>
      </c>
      <c r="H227" s="40" t="n">
        <f aca="false">2/(p_EmaF+1)*E227+(1-2/(p_EmaF+1))*H226</f>
        <v>28.409935371069</v>
      </c>
      <c r="I227" s="40" t="n">
        <f aca="false">2/(p_EmaS+1)*E227+(1-2/(p_EmaS+1))*I226</f>
        <v>27.8887988335331</v>
      </c>
      <c r="J227" s="41" t="n">
        <f aca="false">2/(p_MacdF+1)*E227+(1-2/(p_MacdF+1))*J226</f>
        <v>28.4371052544449</v>
      </c>
      <c r="K227" s="41" t="n">
        <f aca="false">2/(p_MacdS+1)*E227+(1-2/(p_MacdS+1))*K226</f>
        <v>27.8887988335331</v>
      </c>
      <c r="L227" s="41" t="n">
        <f aca="false">J227-K227</f>
        <v>0.548306420911864</v>
      </c>
      <c r="M227" s="41" t="n">
        <f aca="false">2/(p_MacdSig+1)*L227+(1-2/(p_MacdSig+1))*M226</f>
        <v>0.681278311318305</v>
      </c>
      <c r="N227" s="41" t="n">
        <f aca="false">L227-M227</f>
        <v>-0.132971890406441</v>
      </c>
      <c r="O227" s="42" t="n">
        <f aca="false">IF(H227&gt;H226,1,0)</f>
        <v>1</v>
      </c>
      <c r="P227" s="42" t="n">
        <f aca="false">IF(H227&lt;H226,1,0)</f>
        <v>0</v>
      </c>
      <c r="Q227" s="42" t="n">
        <f aca="false">IF(N227&gt;N226,1,0)</f>
        <v>1</v>
      </c>
      <c r="R227" s="42" t="n">
        <f aca="false">IF(N227&lt;N226,1,0)</f>
        <v>0</v>
      </c>
      <c r="S227" s="42" t="n">
        <f aca="false">IF(AND(O227=1,Q227=1),1,IF(AND(P227=1,R227=1),-1,0))</f>
        <v>1</v>
      </c>
      <c r="T227" s="43" t="str">
        <f aca="false">IF(S227=1,"绿",IF(S227=-1,"红","蓝"))</f>
        <v>绿</v>
      </c>
      <c r="U227" s="44" t="n">
        <f aca="false">F227*(E227-E226)</f>
        <v>3310254.99999999</v>
      </c>
      <c r="V227" s="44" t="n">
        <f aca="false">2/(p_FiS+1)*U227+(1-2/(p_FiS+1))*V226</f>
        <v>2069049.83207006</v>
      </c>
      <c r="W227" s="44" t="n">
        <f aca="false">2/(p_FiL+1)*U227+(1-2/(p_FiL+1))*W226</f>
        <v>370655.282533473</v>
      </c>
      <c r="X227" s="41" t="n">
        <f aca="false">MAX(C227-D227,ABS(C227-E226),ABS(D227-E226))</f>
        <v>0.940000000000001</v>
      </c>
      <c r="Y227" s="41" t="n">
        <f aca="true">AVERAGE(OFFSET(X227,1-MIN(p_AtrN,ROW()-4),0,MIN(p_AtrN,ROW()-4),1))</f>
        <v>0.746923076923078</v>
      </c>
      <c r="Z227" s="41" t="n">
        <f aca="false">IF(AND(C227-C226&gt;D226-D227,C227-C226&gt;0),C227-C226,0)</f>
        <v>0.740000000000002</v>
      </c>
      <c r="AA227" s="41" t="n">
        <f aca="false">IF(AND(D226-D227&gt;C227-C226,D226-D227&gt;0),D226-D227,0)</f>
        <v>0</v>
      </c>
      <c r="AB227" s="41" t="n">
        <f aca="false">2/(p_AdxN+1)*X227+(1-2/(p_AdxN+1))*AB226</f>
        <v>0.7020923677224</v>
      </c>
      <c r="AC227" s="41" t="n">
        <f aca="false">2/(p_AdxN+1)*Z227+(1-2/(p_AdxN+1))*AC226</f>
        <v>0.205481732852945</v>
      </c>
      <c r="AD227" s="41" t="n">
        <f aca="false">2/(p_AdxN+1)*AA227+(1-2/(p_AdxN+1))*AD226</f>
        <v>0.121643382388288</v>
      </c>
      <c r="AE227" s="45" t="n">
        <f aca="false">100*AC227/AB227</f>
        <v>29.2670512171399</v>
      </c>
      <c r="AF227" s="45" t="n">
        <f aca="false">100*AD227/AB227</f>
        <v>17.3258374511179</v>
      </c>
      <c r="AG227" s="45" t="n">
        <f aca="false">IFERROR(100*ABS(AE227-AF227)/(AE227+AF227),0)</f>
        <v>25.6288332990978</v>
      </c>
      <c r="AH227" s="45" t="n">
        <f aca="false">2/(p_AdxN+1)*AG227+(1-2/(p_AdxN+1))*AH226</f>
        <v>24.2525054620107</v>
      </c>
      <c r="AI227" s="40" t="n">
        <f aca="false">I227*(1+p_ChPct)</f>
        <v>29.562126763545</v>
      </c>
      <c r="AJ227" s="40" t="n">
        <f aca="false">I227*(1-p_ChPct)</f>
        <v>26.2154709035211</v>
      </c>
      <c r="AK227" s="40" t="n">
        <f aca="false">I227+1*Y227</f>
        <v>28.6357219104561</v>
      </c>
      <c r="AL227" s="40" t="n">
        <f aca="false">I227+2*Y227</f>
        <v>29.3826449873792</v>
      </c>
      <c r="AM227" s="40" t="n">
        <f aca="false">I227+3*Y227</f>
        <v>30.1295680643023</v>
      </c>
      <c r="AN227" s="40" t="n">
        <f aca="false">I227-1*Y227</f>
        <v>27.14187575661</v>
      </c>
      <c r="AO227" s="40" t="n">
        <f aca="false">I227-2*Y227</f>
        <v>26.3949526796869</v>
      </c>
      <c r="AP227" s="40" t="n">
        <f aca="false">I227-3*Y227</f>
        <v>25.6480296027638</v>
      </c>
      <c r="AQ227" s="40" t="n">
        <f aca="true">MAX(OFFSET(C227,1-MIN(p_StochN,ROW()-4),0,MIN(p_StochN,ROW()-4),1))</f>
        <v>29.27</v>
      </c>
      <c r="AR227" s="40" t="n">
        <f aca="true">MIN(OFFSET(D227,1-MIN(p_StochN,ROW()-4),0,MIN(p_StochN,ROW()-4),1))</f>
        <v>27.9</v>
      </c>
      <c r="AS227" s="45" t="n">
        <f aca="false">IF(AQ227=AR227,50,100*(E227-AR227)/(AQ227-AR227))</f>
        <v>61.3138686131386</v>
      </c>
      <c r="AT227" s="45" t="n">
        <f aca="true">AVERAGE(OFFSET(AS227,1-MIN(p_StochSm,ROW()-4),0,MIN(p_StochSm,ROW()-4),1))</f>
        <v>28.5358846412911</v>
      </c>
      <c r="AU227" s="45" t="n">
        <f aca="true">AVERAGE(OFFSET(AT227,1-MIN(p_StochSm,ROW()-4),0,MIN(p_StochSm,ROW()-4),1))</f>
        <v>22.211922461001</v>
      </c>
      <c r="AV227" s="41" t="n">
        <f aca="false">MAX(0,H227-D227)</f>
        <v>0.369935371068994</v>
      </c>
      <c r="AW227" s="41" t="n">
        <f aca="true">IF(COUNTIF(OFFSET(AV227,1-MIN(p_PenLb,ROW()-4),0,MIN(p_PenLb,ROW()-4),1),"&gt;0")&gt;0,SUM(OFFSET(AV227,1-MIN(p_PenLb,ROW()-4),0,MIN(p_PenLb,ROW()-4),1))/COUNTIF(OFFSET(AV227,1-MIN(p_PenLb,ROW()-4),0,MIN(p_PenLb,ROW()-4),1),"&gt;0"),0.5*Y227)</f>
        <v>0.332473893142626</v>
      </c>
      <c r="AX227" s="41" t="n">
        <f aca="false">2*H227-H226</f>
        <v>28.4649461425575</v>
      </c>
      <c r="AY227" s="40" t="n">
        <f aca="false">ROUND(MAX(AX227-AW227,0.01),2)</f>
        <v>28.13</v>
      </c>
      <c r="AZ227" s="40" t="n">
        <f aca="true">IF(MIN(p_StopLb,ROW()-4)&lt;2,D227,SMALL(OFFSET(D227,1-MIN(p_StopLb,ROW()-4),0,MIN(p_StopLb,ROW()-4),1),2))</f>
        <v>28.04</v>
      </c>
      <c r="BA227" s="40" t="n">
        <f aca="false">IF(MOD(ROUND(ROUNDDOWN(MIN(AZ227-0.01,AY227-p_StopAtr*Y227),2)*100,0),50)=0,ROUNDDOWN(MIN(AZ227-0.01,AY227-p_StopAtr*Y227),2)-0.01,ROUNDDOWN(MIN(AZ227-0.01,AY227-p_StopAtr*Y227),2))</f>
        <v>27.38</v>
      </c>
      <c r="BB227" s="40" t="n">
        <f aca="false">ROUND(AI227,2)</f>
        <v>29.56</v>
      </c>
      <c r="BC227" s="40" t="n">
        <f aca="false">IF(AY227-BA227&gt;0,(BB227-AY227)/(AY227-BA227),0)</f>
        <v>1.90666666666667</v>
      </c>
      <c r="BD227" s="42" t="n">
        <f aca="false">IF(N227&lt;0,1,0)</f>
        <v>1</v>
      </c>
      <c r="BE227" s="41" t="n">
        <f aca="false">IF(AND(BD227=1,BD226=0),N227,IF(BD227=1,MIN(BE226,N227),BE226))</f>
        <v>-0.153190541609803</v>
      </c>
      <c r="BF227" s="40" t="n">
        <f aca="false">IF(AND(BD227=1,BD226=0),D227,IF(BD227=1,MIN(BF226,D227),BF226))</f>
        <v>27.9</v>
      </c>
      <c r="BG227" s="42" t="n">
        <f aca="false">IF(AND(BD227=1,BD226=0),ROW(),IF(BD227=1,IF(N227&lt;BE226,ROW(),BG226),BG226))</f>
        <v>226</v>
      </c>
      <c r="BH227" s="41" t="n">
        <f aca="false">IF(AND(BD227=1,BD226=0),BE226,BH226)</f>
        <v>-0.0514032452662709</v>
      </c>
      <c r="BI227" s="40" t="n">
        <f aca="false">IF(AND(BD227=1,BD226=0),BF226,BI226)</f>
        <v>26.79</v>
      </c>
      <c r="BJ227" s="42" t="n">
        <f aca="false">IF(AND(BD227=1,BD226=0),BG226,BJ226)</f>
        <v>213</v>
      </c>
      <c r="BK227" s="42" t="n">
        <f aca="false">IF(AND(ISNUMBER(BG227),ISNUMBER(BJ227)),BG227-BJ227,"")</f>
        <v>13</v>
      </c>
      <c r="BL227" s="42" t="n">
        <f aca="false">IF(AND(BD227=1,N227&gt;N226,ISNUMBER(BH227),ISNUMBER(BK227)),IF(AND(BE227&gt;BH227,BF227&lt;BI227,BK227&gt;=p_GapMin,BK227&lt;=p_GapMax),1,0),0)</f>
        <v>0</v>
      </c>
      <c r="BM227" s="42" t="n">
        <f aca="false">IF(AND(BL227=1,E227&gt;BI227),1,0)</f>
        <v>0</v>
      </c>
      <c r="BN227" s="42" t="n">
        <f aca="false">IF(BL227=1,IF(BE227&gt;=BH227*0.5,1,0),0)</f>
        <v>0</v>
      </c>
      <c r="BO227" s="42" t="n">
        <f aca="true">IF(V227&gt;MIN(OFFSET(V227,-MIN(p_FiLb-1,ROW()-5),0,MIN(p_FiLb-1,ROW()-5),1)),1,0)</f>
        <v>1</v>
      </c>
      <c r="BP227" s="44" t="n">
        <f aca="true">IF(COUNTIF(OFFSET(V227,1-MIN(100,ROW()-4),0,MIN(100,ROW()-4),1),"&lt;0")&gt;=5,AVERAGEIF(OFFSET(V227,1-MIN(100,ROW()-4),0,MIN(100,ROW()-4),1),"&lt;0"),"")</f>
        <v>-767053.818424973</v>
      </c>
      <c r="BQ227" s="42" t="n">
        <f aca="false">IF(ISNUMBER(BP227),IF(AND(V227&lt;5*BP227,V227&gt;V226,E227&lt;AJ227),1,0),0)</f>
        <v>0</v>
      </c>
      <c r="BR227" s="44" t="n">
        <f aca="true">AVERAGE(OFFSET(F227,1-MIN(5,ROW()-4),0,MIN(5,ROW()-4),1))</f>
        <v>4107720</v>
      </c>
      <c r="BS227" s="42" t="n">
        <f aca="false">IFERROR(IF(MATCH(G227,周线!$A$5:$A$84,0)&lt;=1,"",INDEX(周线!$R$5:$R$84,MATCH(G227,周线!$A$5:$A$84,0)-1)),"")</f>
        <v>1</v>
      </c>
      <c r="BT227" s="42" t="n">
        <f aca="false">IFERROR(IF(MATCH(G227,周线!$A$5:$A$84,0)&lt;=1,"",INDEX(周线!$S$5:$S$84,MATCH(G227,周线!$A$5:$A$84,0)-1)),"")</f>
        <v>0</v>
      </c>
      <c r="BU227" s="42" t="n">
        <f aca="false">IFERROR(IF(MATCH(G227,周线!$A$5:$A$84,0)&lt;=1,"",INDEX(周线!$U$5:$U$84,MATCH(G227,周线!$A$5:$A$84,0)-1)),"")</f>
        <v>0</v>
      </c>
      <c r="BV227" s="42" t="n">
        <f aca="false">IF(AND(BS227=1,S227&lt;&gt;-1,V227&lt;0,BO227=1,E227&lt;=H227,E227&gt;=AJ227),1,0)</f>
        <v>0</v>
      </c>
      <c r="BW227" s="42" t="n">
        <f aca="false">BL227</f>
        <v>0</v>
      </c>
      <c r="BX227" s="42" t="n">
        <f aca="false">BQ227</f>
        <v>0</v>
      </c>
      <c r="BY227" s="42" t="n">
        <f aca="false">IF(BS227=1,10,0)+IF(BU227=1,5,IF(BU227=-1,0,3))+IF(BT227=1,5,0)+IF(AND(AE227&gt;AF227,AH227&gt;AH226),5,0)</f>
        <v>18</v>
      </c>
      <c r="BZ227" s="42" t="n">
        <f aca="false">IF(AND(E227&lt;=H227,E227&gt;=I227),10,IF(AND(E227&gt;=AJ227,E227&lt;I227),6,0))+IF(AND(V227&lt;0,BO227=1),8,0)+IF(AT227&lt;30,7,IF(AT227&lt;50,3,0))</f>
        <v>7</v>
      </c>
      <c r="CA227" s="42" t="n">
        <f aca="false">IF(AND(BV227=1,BW227=1),25,IF(BW227=1,22,IF(BV227=1,15,IF(BX227=1,12,0))))</f>
        <v>0</v>
      </c>
      <c r="CB227" s="42" t="n">
        <f aca="false">IF(W227&gt;0,6,0)+IF(F227&lt;BR227,4,0)</f>
        <v>6</v>
      </c>
      <c r="CC227" s="42" t="n">
        <f aca="false">IF(BC227&gt;=3,15,IF(BC227&gt;=p_RRmin,10,IF(BC227&gt;=1.5,4,0)))</f>
        <v>4</v>
      </c>
      <c r="CD227" s="42" t="n">
        <f aca="false">BY227+BZ227+CA227+CB227+CC227</f>
        <v>35</v>
      </c>
      <c r="CE227" s="42" t="n">
        <f aca="false">IF(AND(BS227&lt;&gt;1,BW227+BX227=0),1,0)</f>
        <v>0</v>
      </c>
      <c r="CF227" s="42" t="n">
        <f aca="false">IF(BU227=-1,1,0)</f>
        <v>0</v>
      </c>
      <c r="CG227" s="42" t="n">
        <f aca="false">IF(S227=-1,1,0)</f>
        <v>0</v>
      </c>
      <c r="CH227" s="42" t="n">
        <f aca="false">IF(BV227+BW227+BX227=0,1,0)</f>
        <v>1</v>
      </c>
      <c r="CI227" s="42" t="n">
        <f aca="false">IF(BC227&lt;p_RRmin,1,0)</f>
        <v>1</v>
      </c>
      <c r="CJ227" s="46" t="str">
        <f aca="false">IF(SUM(CE227:CI227)=0,IF(CD227&gt;=p_GradeA,"A",IF(CD227&gt;=p_GradeB,"B","C")),IF(AND(CI227=1,SUM(CE227:CH227)=0,CD227&gt;=p_GradeB),"B","C"))</f>
        <v>C</v>
      </c>
    </row>
    <row r="228" customFormat="false" ht="15" hidden="false" customHeight="false" outlineLevel="0" collapsed="false">
      <c r="A228" s="36" t="n">
        <v>45972</v>
      </c>
      <c r="B228" s="37" t="n">
        <v>28.64</v>
      </c>
      <c r="C228" s="37" t="n">
        <v>29.06</v>
      </c>
      <c r="D228" s="37" t="n">
        <v>28.47</v>
      </c>
      <c r="E228" s="37" t="n">
        <v>28.93</v>
      </c>
      <c r="F228" s="38" t="n">
        <v>4107400</v>
      </c>
      <c r="G228" s="39" t="n">
        <f aca="false">A228-WEEKDAY(A228,3)</f>
        <v>45971</v>
      </c>
      <c r="H228" s="40" t="n">
        <f aca="false">2/(p_EmaF+1)*E228+(1-2/(p_EmaF+1))*H227</f>
        <v>28.4842303180591</v>
      </c>
      <c r="I228" s="40" t="n">
        <f aca="false">2/(p_EmaS+1)*E228+(1-2/(p_EmaS+1))*I227</f>
        <v>27.9659248458639</v>
      </c>
      <c r="J228" s="41" t="n">
        <f aca="false">2/(p_MacdF+1)*E228+(1-2/(p_MacdF+1))*J227</f>
        <v>28.5129352152996</v>
      </c>
      <c r="K228" s="41" t="n">
        <f aca="false">2/(p_MacdS+1)*E228+(1-2/(p_MacdS+1))*K227</f>
        <v>27.9659248458639</v>
      </c>
      <c r="L228" s="41" t="n">
        <f aca="false">J228-K228</f>
        <v>0.547010369435611</v>
      </c>
      <c r="M228" s="41" t="n">
        <f aca="false">2/(p_MacdSig+1)*L228+(1-2/(p_MacdSig+1))*M227</f>
        <v>0.654424722941766</v>
      </c>
      <c r="N228" s="41" t="n">
        <f aca="false">L228-M228</f>
        <v>-0.107414353506155</v>
      </c>
      <c r="O228" s="42" t="n">
        <f aca="false">IF(H228&gt;H227,1,0)</f>
        <v>1</v>
      </c>
      <c r="P228" s="42" t="n">
        <f aca="false">IF(H228&lt;H227,1,0)</f>
        <v>0</v>
      </c>
      <c r="Q228" s="42" t="n">
        <f aca="false">IF(N228&gt;N227,1,0)</f>
        <v>1</v>
      </c>
      <c r="R228" s="42" t="n">
        <f aca="false">IF(N228&lt;N227,1,0)</f>
        <v>0</v>
      </c>
      <c r="S228" s="42" t="n">
        <f aca="false">IF(AND(O228=1,Q228=1),1,IF(AND(P228=1,R228=1),-1,0))</f>
        <v>1</v>
      </c>
      <c r="T228" s="43" t="str">
        <f aca="false">IF(S228=1,"绿",IF(S228=-1,"红","蓝"))</f>
        <v>绿</v>
      </c>
      <c r="U228" s="44" t="n">
        <f aca="false">F228*(E228-E227)</f>
        <v>780406.000000005</v>
      </c>
      <c r="V228" s="44" t="n">
        <f aca="false">2/(p_FiS+1)*U228+(1-2/(p_FiS+1))*V227</f>
        <v>1209953.94402336</v>
      </c>
      <c r="W228" s="44" t="n">
        <f aca="false">2/(p_FiL+1)*U228+(1-2/(p_FiL+1))*W227</f>
        <v>429191.099314406</v>
      </c>
      <c r="X228" s="41" t="n">
        <f aca="false">MAX(C228-D228,ABS(C228-E227),ABS(D228-E227))</f>
        <v>0.59</v>
      </c>
      <c r="Y228" s="41" t="n">
        <f aca="true">AVERAGE(OFFSET(X228,1-MIN(p_AtrN,ROW()-4),0,MIN(p_AtrN,ROW()-4),1))</f>
        <v>0.722307692307693</v>
      </c>
      <c r="Z228" s="41" t="n">
        <f aca="false">IF(AND(C228-C227&gt;D227-D228,C228-C227&gt;0),C228-C227,0)</f>
        <v>0.0799999999999983</v>
      </c>
      <c r="AA228" s="41" t="n">
        <f aca="false">IF(AND(D227-D228&gt;C228-C227,D227-D228&gt;0),D227-D228,0)</f>
        <v>0</v>
      </c>
      <c r="AB228" s="41" t="n">
        <f aca="false">2/(p_AdxN+1)*X228+(1-2/(p_AdxN+1))*AB227</f>
        <v>0.686079172333486</v>
      </c>
      <c r="AC228" s="41" t="n">
        <f aca="false">2/(p_AdxN+1)*Z228+(1-2/(p_AdxN+1))*AC227</f>
        <v>0.18755577101681</v>
      </c>
      <c r="AD228" s="41" t="n">
        <f aca="false">2/(p_AdxN+1)*AA228+(1-2/(p_AdxN+1))*AD227</f>
        <v>0.104265756332818</v>
      </c>
      <c r="AE228" s="45" t="n">
        <f aca="false">100*AC228/AB228</f>
        <v>27.3373363570995</v>
      </c>
      <c r="AF228" s="45" t="n">
        <f aca="false">100*AD228/AB228</f>
        <v>15.1973358961168</v>
      </c>
      <c r="AG228" s="45" t="n">
        <f aca="false">IFERROR(100*ABS(AE228-AF228)/(AE228+AF228),0)</f>
        <v>28.5414223688175</v>
      </c>
      <c r="AH228" s="45" t="n">
        <f aca="false">2/(p_AdxN+1)*AG228+(1-2/(p_AdxN+1))*AH227</f>
        <v>24.8652078772688</v>
      </c>
      <c r="AI228" s="40" t="n">
        <f aca="false">I228*(1+p_ChPct)</f>
        <v>29.6438803366158</v>
      </c>
      <c r="AJ228" s="40" t="n">
        <f aca="false">I228*(1-p_ChPct)</f>
        <v>26.2879693551121</v>
      </c>
      <c r="AK228" s="40" t="n">
        <f aca="false">I228+1*Y228</f>
        <v>28.6882325381716</v>
      </c>
      <c r="AL228" s="40" t="n">
        <f aca="false">I228+2*Y228</f>
        <v>29.4105402304793</v>
      </c>
      <c r="AM228" s="40" t="n">
        <f aca="false">I228+3*Y228</f>
        <v>30.132847922787</v>
      </c>
      <c r="AN228" s="40" t="n">
        <f aca="false">I228-1*Y228</f>
        <v>27.2436171535562</v>
      </c>
      <c r="AO228" s="40" t="n">
        <f aca="false">I228-2*Y228</f>
        <v>26.5213094612486</v>
      </c>
      <c r="AP228" s="40" t="n">
        <f aca="false">I228-3*Y228</f>
        <v>25.7990017689409</v>
      </c>
      <c r="AQ228" s="40" t="n">
        <f aca="true">MAX(OFFSET(C228,1-MIN(p_StochN,ROW()-4),0,MIN(p_StochN,ROW()-4),1))</f>
        <v>29.06</v>
      </c>
      <c r="AR228" s="40" t="n">
        <f aca="true">MIN(OFFSET(D228,1-MIN(p_StochN,ROW()-4),0,MIN(p_StochN,ROW()-4),1))</f>
        <v>27.9</v>
      </c>
      <c r="AS228" s="45" t="n">
        <f aca="false">IF(AQ228=AR228,50,100*(E228-AR228)/(AQ228-AR228))</f>
        <v>88.7931034482759</v>
      </c>
      <c r="AT228" s="45" t="n">
        <f aca="true">AVERAGE(OFFSET(AS228,1-MIN(p_StochSm,ROW()-4),0,MIN(p_StochSm,ROW()-4),1))</f>
        <v>53.6138117794169</v>
      </c>
      <c r="AU228" s="45" t="n">
        <f aca="true">AVERAGE(OFFSET(AT228,1-MIN(p_StochSm,ROW()-4),0,MIN(p_StochSm,ROW()-4),1))</f>
        <v>31.8295716681234</v>
      </c>
      <c r="AV228" s="41" t="n">
        <f aca="false">MAX(0,H228-D228)</f>
        <v>0.0142303180591412</v>
      </c>
      <c r="AW228" s="41" t="n">
        <f aca="true">IF(COUNTIF(OFFSET(AV228,1-MIN(p_PenLb,ROW()-4),0,MIN(p_PenLb,ROW()-4),1),"&gt;0")&gt;0,SUM(OFFSET(AV228,1-MIN(p_PenLb,ROW()-4),0,MIN(p_PenLb,ROW()-4),1))/COUNTIF(OFFSET(AV228,1-MIN(p_PenLb,ROW()-4),0,MIN(p_PenLb,ROW()-4),1),"&gt;0"),0.5*Y228)</f>
        <v>0.287010525273556</v>
      </c>
      <c r="AX228" s="41" t="n">
        <f aca="false">2*H228-H227</f>
        <v>28.5585252650493</v>
      </c>
      <c r="AY228" s="40" t="n">
        <f aca="false">ROUND(MAX(AX228-AW228,0.01),2)</f>
        <v>28.27</v>
      </c>
      <c r="AZ228" s="40" t="n">
        <f aca="true">IF(MIN(p_StopLb,ROW()-4)&lt;2,D228,SMALL(OFFSET(D228,1-MIN(p_StopLb,ROW()-4),0,MIN(p_StopLb,ROW()-4),1),2))</f>
        <v>28.04</v>
      </c>
      <c r="BA228" s="40" t="n">
        <f aca="false">IF(MOD(ROUND(ROUNDDOWN(MIN(AZ228-0.01,AY228-p_StopAtr*Y228),2)*100,0),50)=0,ROUNDDOWN(MIN(AZ228-0.01,AY228-p_StopAtr*Y228),2)-0.01,ROUNDDOWN(MIN(AZ228-0.01,AY228-p_StopAtr*Y228),2))</f>
        <v>27.54</v>
      </c>
      <c r="BB228" s="40" t="n">
        <f aca="false">ROUND(AI228,2)</f>
        <v>29.64</v>
      </c>
      <c r="BC228" s="40" t="n">
        <f aca="false">IF(AY228-BA228&gt;0,(BB228-AY228)/(AY228-BA228),0)</f>
        <v>1.87671232876712</v>
      </c>
      <c r="BD228" s="42" t="n">
        <f aca="false">IF(N228&lt;0,1,0)</f>
        <v>1</v>
      </c>
      <c r="BE228" s="41" t="n">
        <f aca="false">IF(AND(BD228=1,BD227=0),N228,IF(BD228=1,MIN(BE227,N228),BE227))</f>
        <v>-0.153190541609803</v>
      </c>
      <c r="BF228" s="40" t="n">
        <f aca="false">IF(AND(BD228=1,BD227=0),D228,IF(BD228=1,MIN(BF227,D228),BF227))</f>
        <v>27.9</v>
      </c>
      <c r="BG228" s="42" t="n">
        <f aca="false">IF(AND(BD228=1,BD227=0),ROW(),IF(BD228=1,IF(N228&lt;BE227,ROW(),BG227),BG227))</f>
        <v>226</v>
      </c>
      <c r="BH228" s="41" t="n">
        <f aca="false">IF(AND(BD228=1,BD227=0),BE227,BH227)</f>
        <v>-0.0514032452662709</v>
      </c>
      <c r="BI228" s="40" t="n">
        <f aca="false">IF(AND(BD228=1,BD227=0),BF227,BI227)</f>
        <v>26.79</v>
      </c>
      <c r="BJ228" s="42" t="n">
        <f aca="false">IF(AND(BD228=1,BD227=0),BG227,BJ227)</f>
        <v>213</v>
      </c>
      <c r="BK228" s="42" t="n">
        <f aca="false">IF(AND(ISNUMBER(BG228),ISNUMBER(BJ228)),BG228-BJ228,"")</f>
        <v>13</v>
      </c>
      <c r="BL228" s="42" t="n">
        <f aca="false">IF(AND(BD228=1,N228&gt;N227,ISNUMBER(BH228),ISNUMBER(BK228)),IF(AND(BE228&gt;BH228,BF228&lt;BI228,BK228&gt;=p_GapMin,BK228&lt;=p_GapMax),1,0),0)</f>
        <v>0</v>
      </c>
      <c r="BM228" s="42" t="n">
        <f aca="false">IF(AND(BL228=1,E228&gt;BI228),1,0)</f>
        <v>0</v>
      </c>
      <c r="BN228" s="42" t="n">
        <f aca="false">IF(BL228=1,IF(BE228&gt;=BH228*0.5,1,0),0)</f>
        <v>0</v>
      </c>
      <c r="BO228" s="42" t="n">
        <f aca="true">IF(V228&gt;MIN(OFFSET(V228,-MIN(p_FiLb-1,ROW()-5),0,MIN(p_FiLb-1,ROW()-5),1)),1,0)</f>
        <v>1</v>
      </c>
      <c r="BP228" s="44" t="n">
        <f aca="true">IF(COUNTIF(OFFSET(V228,1-MIN(100,ROW()-4),0,MIN(100,ROW()-4),1),"&lt;0")&gt;=5,AVERAGEIF(OFFSET(V228,1-MIN(100,ROW()-4),0,MIN(100,ROW()-4),1),"&lt;0"),"")</f>
        <v>-786805.191872731</v>
      </c>
      <c r="BQ228" s="42" t="n">
        <f aca="false">IF(ISNUMBER(BP228),IF(AND(V228&lt;5*BP228,V228&gt;V227,E228&lt;AJ228),1,0),0)</f>
        <v>0</v>
      </c>
      <c r="BR228" s="44" t="n">
        <f aca="true">AVERAGE(OFFSET(F228,1-MIN(5,ROW()-4),0,MIN(5,ROW()-4),1))</f>
        <v>3828520</v>
      </c>
      <c r="BS228" s="42" t="n">
        <f aca="false">IFERROR(IF(MATCH(G228,周线!$A$5:$A$84,0)&lt;=1,"",INDEX(周线!$R$5:$R$84,MATCH(G228,周线!$A$5:$A$84,0)-1)),"")</f>
        <v>1</v>
      </c>
      <c r="BT228" s="42" t="n">
        <f aca="false">IFERROR(IF(MATCH(G228,周线!$A$5:$A$84,0)&lt;=1,"",INDEX(周线!$S$5:$S$84,MATCH(G228,周线!$A$5:$A$84,0)-1)),"")</f>
        <v>0</v>
      </c>
      <c r="BU228" s="42" t="n">
        <f aca="false">IFERROR(IF(MATCH(G228,周线!$A$5:$A$84,0)&lt;=1,"",INDEX(周线!$U$5:$U$84,MATCH(G228,周线!$A$5:$A$84,0)-1)),"")</f>
        <v>0</v>
      </c>
      <c r="BV228" s="42" t="n">
        <f aca="false">IF(AND(BS228=1,S228&lt;&gt;-1,V228&lt;0,BO228=1,E228&lt;=H228,E228&gt;=AJ228),1,0)</f>
        <v>0</v>
      </c>
      <c r="BW228" s="42" t="n">
        <f aca="false">BL228</f>
        <v>0</v>
      </c>
      <c r="BX228" s="42" t="n">
        <f aca="false">BQ228</f>
        <v>0</v>
      </c>
      <c r="BY228" s="42" t="n">
        <f aca="false">IF(BS228=1,10,0)+IF(BU228=1,5,IF(BU228=-1,0,3))+IF(BT228=1,5,0)+IF(AND(AE228&gt;AF228,AH228&gt;AH227),5,0)</f>
        <v>18</v>
      </c>
      <c r="BZ228" s="42" t="n">
        <f aca="false">IF(AND(E228&lt;=H228,E228&gt;=I228),10,IF(AND(E228&gt;=AJ228,E228&lt;I228),6,0))+IF(AND(V228&lt;0,BO228=1),8,0)+IF(AT228&lt;30,7,IF(AT228&lt;50,3,0))</f>
        <v>0</v>
      </c>
      <c r="CA228" s="42" t="n">
        <f aca="false">IF(AND(BV228=1,BW228=1),25,IF(BW228=1,22,IF(BV228=1,15,IF(BX228=1,12,0))))</f>
        <v>0</v>
      </c>
      <c r="CB228" s="42" t="n">
        <f aca="false">IF(W228&gt;0,6,0)+IF(F228&lt;BR228,4,0)</f>
        <v>6</v>
      </c>
      <c r="CC228" s="42" t="n">
        <f aca="false">IF(BC228&gt;=3,15,IF(BC228&gt;=p_RRmin,10,IF(BC228&gt;=1.5,4,0)))</f>
        <v>4</v>
      </c>
      <c r="CD228" s="42" t="n">
        <f aca="false">BY228+BZ228+CA228+CB228+CC228</f>
        <v>28</v>
      </c>
      <c r="CE228" s="42" t="n">
        <f aca="false">IF(AND(BS228&lt;&gt;1,BW228+BX228=0),1,0)</f>
        <v>0</v>
      </c>
      <c r="CF228" s="42" t="n">
        <f aca="false">IF(BU228=-1,1,0)</f>
        <v>0</v>
      </c>
      <c r="CG228" s="42" t="n">
        <f aca="false">IF(S228=-1,1,0)</f>
        <v>0</v>
      </c>
      <c r="CH228" s="42" t="n">
        <f aca="false">IF(BV228+BW228+BX228=0,1,0)</f>
        <v>1</v>
      </c>
      <c r="CI228" s="42" t="n">
        <f aca="false">IF(BC228&lt;p_RRmin,1,0)</f>
        <v>1</v>
      </c>
      <c r="CJ228" s="46" t="str">
        <f aca="false">IF(SUM(CE228:CI228)=0,IF(CD228&gt;=p_GradeA,"A",IF(CD228&gt;=p_GradeB,"B","C")),IF(AND(CI228=1,SUM(CE228:CH228)=0,CD228&gt;=p_GradeB),"B","C"))</f>
        <v>C</v>
      </c>
    </row>
    <row r="229" customFormat="false" ht="15" hidden="false" customHeight="false" outlineLevel="0" collapsed="false">
      <c r="A229" s="36" t="n">
        <v>45973</v>
      </c>
      <c r="B229" s="37" t="n">
        <v>29.11</v>
      </c>
      <c r="C229" s="37" t="n">
        <v>29.16</v>
      </c>
      <c r="D229" s="37" t="n">
        <v>28.5</v>
      </c>
      <c r="E229" s="37" t="n">
        <v>28.62</v>
      </c>
      <c r="F229" s="38" t="n">
        <v>3830800</v>
      </c>
      <c r="G229" s="39" t="n">
        <f aca="false">A229-WEEKDAY(A229,3)</f>
        <v>45971</v>
      </c>
      <c r="H229" s="40" t="n">
        <f aca="false">2/(p_EmaF+1)*E229+(1-2/(p_EmaF+1))*H228</f>
        <v>28.5036259869078</v>
      </c>
      <c r="I229" s="40" t="n">
        <f aca="false">2/(p_EmaS+1)*E229+(1-2/(p_EmaS+1))*I228</f>
        <v>28.0143748572814</v>
      </c>
      <c r="J229" s="41" t="n">
        <f aca="false">2/(p_MacdF+1)*E229+(1-2/(p_MacdF+1))*J228</f>
        <v>28.5294067206381</v>
      </c>
      <c r="K229" s="41" t="n">
        <f aca="false">2/(p_MacdS+1)*E229+(1-2/(p_MacdS+1))*K228</f>
        <v>28.0143748572814</v>
      </c>
      <c r="L229" s="41" t="n">
        <f aca="false">J229-K229</f>
        <v>0.515031863356658</v>
      </c>
      <c r="M229" s="41" t="n">
        <f aca="false">2/(p_MacdSig+1)*L229+(1-2/(p_MacdSig+1))*M228</f>
        <v>0.626546151024745</v>
      </c>
      <c r="N229" s="41" t="n">
        <f aca="false">L229-M229</f>
        <v>-0.111514287668087</v>
      </c>
      <c r="O229" s="42" t="n">
        <f aca="false">IF(H229&gt;H228,1,0)</f>
        <v>1</v>
      </c>
      <c r="P229" s="42" t="n">
        <f aca="false">IF(H229&lt;H228,1,0)</f>
        <v>0</v>
      </c>
      <c r="Q229" s="42" t="n">
        <f aca="false">IF(N229&gt;N228,1,0)</f>
        <v>0</v>
      </c>
      <c r="R229" s="42" t="n">
        <f aca="false">IF(N229&lt;N228,1,0)</f>
        <v>1</v>
      </c>
      <c r="S229" s="42" t="n">
        <f aca="false">IF(AND(O229=1,Q229=1),1,IF(AND(P229=1,R229=1),-1,0))</f>
        <v>0</v>
      </c>
      <c r="T229" s="43" t="str">
        <f aca="false">IF(S229=1,"绿",IF(S229=-1,"红","蓝"))</f>
        <v>蓝</v>
      </c>
      <c r="U229" s="44" t="n">
        <f aca="false">F229*(E229-E228)</f>
        <v>-1187548</v>
      </c>
      <c r="V229" s="44" t="n">
        <f aca="false">2/(p_FiS+1)*U229+(1-2/(p_FiS+1))*V228</f>
        <v>-388380.685325545</v>
      </c>
      <c r="W229" s="44" t="n">
        <f aca="false">2/(p_FiL+1)*U229+(1-2/(p_FiL+1))*W228</f>
        <v>198228.37084092</v>
      </c>
      <c r="X229" s="41" t="n">
        <f aca="false">MAX(C229-D229,ABS(C229-E228),ABS(D229-E228))</f>
        <v>0.66</v>
      </c>
      <c r="Y229" s="41" t="n">
        <f aca="true">AVERAGE(OFFSET(X229,1-MIN(p_AtrN,ROW()-4),0,MIN(p_AtrN,ROW()-4),1))</f>
        <v>0.691538461538462</v>
      </c>
      <c r="Z229" s="41" t="n">
        <f aca="false">IF(AND(C229-C228&gt;D228-D229,C229-C228&gt;0),C229-C228,0)</f>
        <v>0.100000000000001</v>
      </c>
      <c r="AA229" s="41" t="n">
        <f aca="false">IF(AND(D228-D229&gt;C229-C228,D228-D229&gt;0),D228-D229,0)</f>
        <v>0</v>
      </c>
      <c r="AB229" s="41" t="n">
        <f aca="false">2/(p_AdxN+1)*X229+(1-2/(p_AdxN+1))*AB228</f>
        <v>0.682353576285845</v>
      </c>
      <c r="AC229" s="41" t="n">
        <f aca="false">2/(p_AdxN+1)*Z229+(1-2/(p_AdxN+1))*AC228</f>
        <v>0.175047803728694</v>
      </c>
      <c r="AD229" s="41" t="n">
        <f aca="false">2/(p_AdxN+1)*AA229+(1-2/(p_AdxN+1))*AD228</f>
        <v>0.0893706482852726</v>
      </c>
      <c r="AE229" s="45" t="n">
        <f aca="false">100*AC229/AB229</f>
        <v>25.6535335656195</v>
      </c>
      <c r="AF229" s="45" t="n">
        <f aca="false">100*AD229/AB229</f>
        <v>13.0974104029367</v>
      </c>
      <c r="AG229" s="45" t="n">
        <f aca="false">IFERROR(100*ABS(AE229-AF229)/(AE229+AF229),0)</f>
        <v>32.4021091534475</v>
      </c>
      <c r="AH229" s="45" t="n">
        <f aca="false">2/(p_AdxN+1)*AG229+(1-2/(p_AdxN+1))*AH228</f>
        <v>25.9419080595801</v>
      </c>
      <c r="AI229" s="40" t="n">
        <f aca="false">I229*(1+p_ChPct)</f>
        <v>29.6952373487183</v>
      </c>
      <c r="AJ229" s="40" t="n">
        <f aca="false">I229*(1-p_ChPct)</f>
        <v>26.3335123658445</v>
      </c>
      <c r="AK229" s="40" t="n">
        <f aca="false">I229+1*Y229</f>
        <v>28.7059133188199</v>
      </c>
      <c r="AL229" s="40" t="n">
        <f aca="false">I229+2*Y229</f>
        <v>29.3974517803584</v>
      </c>
      <c r="AM229" s="40" t="n">
        <f aca="false">I229+3*Y229</f>
        <v>30.0889902418968</v>
      </c>
      <c r="AN229" s="40" t="n">
        <f aca="false">I229-1*Y229</f>
        <v>27.322836395743</v>
      </c>
      <c r="AO229" s="40" t="n">
        <f aca="false">I229-2*Y229</f>
        <v>26.6312979342045</v>
      </c>
      <c r="AP229" s="40" t="n">
        <f aca="false">I229-3*Y229</f>
        <v>25.939759472666</v>
      </c>
      <c r="AQ229" s="40" t="n">
        <f aca="true">MAX(OFFSET(C229,1-MIN(p_StochN,ROW()-4),0,MIN(p_StochN,ROW()-4),1))</f>
        <v>29.16</v>
      </c>
      <c r="AR229" s="40" t="n">
        <f aca="true">MIN(OFFSET(D229,1-MIN(p_StochN,ROW()-4),0,MIN(p_StochN,ROW()-4),1))</f>
        <v>27.9</v>
      </c>
      <c r="AS229" s="45" t="n">
        <f aca="false">IF(AQ229=AR229,50,100*(E229-AR229)/(AQ229-AR229))</f>
        <v>57.1428571428573</v>
      </c>
      <c r="AT229" s="45" t="n">
        <f aca="true">AVERAGE(OFFSET(AS229,1-MIN(p_StochSm,ROW()-4),0,MIN(p_StochSm,ROW()-4),1))</f>
        <v>69.0832764014239</v>
      </c>
      <c r="AU229" s="45" t="n">
        <f aca="true">AVERAGE(OFFSET(AT229,1-MIN(p_StochSm,ROW()-4),0,MIN(p_StochSm,ROW()-4),1))</f>
        <v>50.4109909407107</v>
      </c>
      <c r="AV229" s="41" t="n">
        <f aca="false">MAX(0,H229-D229)</f>
        <v>0.003625986907835</v>
      </c>
      <c r="AW229" s="41" t="n">
        <f aca="true">IF(COUNTIF(OFFSET(AV229,1-MIN(p_PenLb,ROW()-4),0,MIN(p_PenLb,ROW()-4),1),"&gt;0")&gt;0,SUM(OFFSET(AV229,1-MIN(p_PenLb,ROW()-4),0,MIN(p_PenLb,ROW()-4),1))/COUNTIF(OFFSET(AV229,1-MIN(p_PenLb,ROW()-4),0,MIN(p_PenLb,ROW()-4),1),"&gt;0"),0.5*Y229)</f>
        <v>0.251587457977841</v>
      </c>
      <c r="AX229" s="41" t="n">
        <f aca="false">2*H229-H228</f>
        <v>28.5230216557565</v>
      </c>
      <c r="AY229" s="40" t="n">
        <f aca="false">ROUND(MAX(AX229-AW229,0.01),2)</f>
        <v>28.27</v>
      </c>
      <c r="AZ229" s="40" t="n">
        <f aca="true">IF(MIN(p_StopLb,ROW()-4)&lt;2,D229,SMALL(OFFSET(D229,1-MIN(p_StopLb,ROW()-4),0,MIN(p_StopLb,ROW()-4),1),2))</f>
        <v>28.04</v>
      </c>
      <c r="BA229" s="40" t="n">
        <f aca="false">IF(MOD(ROUND(ROUNDDOWN(MIN(AZ229-0.01,AY229-p_StopAtr*Y229),2)*100,0),50)=0,ROUNDDOWN(MIN(AZ229-0.01,AY229-p_StopAtr*Y229),2)-0.01,ROUNDDOWN(MIN(AZ229-0.01,AY229-p_StopAtr*Y229),2))</f>
        <v>27.57</v>
      </c>
      <c r="BB229" s="40" t="n">
        <f aca="false">ROUND(AI229,2)</f>
        <v>29.7</v>
      </c>
      <c r="BC229" s="40" t="n">
        <f aca="false">IF(AY229-BA229&gt;0,(BB229-AY229)/(AY229-BA229),0)</f>
        <v>2.04285714285714</v>
      </c>
      <c r="BD229" s="42" t="n">
        <f aca="false">IF(N229&lt;0,1,0)</f>
        <v>1</v>
      </c>
      <c r="BE229" s="41" t="n">
        <f aca="false">IF(AND(BD229=1,BD228=0),N229,IF(BD229=1,MIN(BE228,N229),BE228))</f>
        <v>-0.153190541609803</v>
      </c>
      <c r="BF229" s="40" t="n">
        <f aca="false">IF(AND(BD229=1,BD228=0),D229,IF(BD229=1,MIN(BF228,D229),BF228))</f>
        <v>27.9</v>
      </c>
      <c r="BG229" s="42" t="n">
        <f aca="false">IF(AND(BD229=1,BD228=0),ROW(),IF(BD229=1,IF(N229&lt;BE228,ROW(),BG228),BG228))</f>
        <v>226</v>
      </c>
      <c r="BH229" s="41" t="n">
        <f aca="false">IF(AND(BD229=1,BD228=0),BE228,BH228)</f>
        <v>-0.0514032452662709</v>
      </c>
      <c r="BI229" s="40" t="n">
        <f aca="false">IF(AND(BD229=1,BD228=0),BF228,BI228)</f>
        <v>26.79</v>
      </c>
      <c r="BJ229" s="42" t="n">
        <f aca="false">IF(AND(BD229=1,BD228=0),BG228,BJ228)</f>
        <v>213</v>
      </c>
      <c r="BK229" s="42" t="n">
        <f aca="false">IF(AND(ISNUMBER(BG229),ISNUMBER(BJ229)),BG229-BJ229,"")</f>
        <v>13</v>
      </c>
      <c r="BL229" s="42" t="n">
        <f aca="false">IF(AND(BD229=1,N229&gt;N228,ISNUMBER(BH229),ISNUMBER(BK229)),IF(AND(BE229&gt;BH229,BF229&lt;BI229,BK229&gt;=p_GapMin,BK229&lt;=p_GapMax),1,0),0)</f>
        <v>0</v>
      </c>
      <c r="BM229" s="42" t="n">
        <f aca="false">IF(AND(BL229=1,E229&gt;BI229),1,0)</f>
        <v>0</v>
      </c>
      <c r="BN229" s="42" t="n">
        <f aca="false">IF(BL229=1,IF(BE229&gt;=BH229*0.5,1,0),0)</f>
        <v>0</v>
      </c>
      <c r="BO229" s="42" t="n">
        <f aca="true">IF(V229&gt;MIN(OFFSET(V229,-MIN(p_FiLb-1,ROW()-5),0,MIN(p_FiLb-1,ROW()-5),1)),1,0)</f>
        <v>1</v>
      </c>
      <c r="BP229" s="44" t="n">
        <f aca="true">IF(COUNTIF(OFFSET(V229,1-MIN(100,ROW()-4),0,MIN(100,ROW()-4),1),"&lt;0")&gt;=5,AVERAGEIF(OFFSET(V229,1-MIN(100,ROW()-4),0,MIN(100,ROW()-4),1),"&lt;0"),"")</f>
        <v>-775737.844468643</v>
      </c>
      <c r="BQ229" s="42" t="n">
        <f aca="false">IF(ISNUMBER(BP229),IF(AND(V229&lt;5*BP229,V229&gt;V228,E229&lt;AJ229),1,0),0)</f>
        <v>0</v>
      </c>
      <c r="BR229" s="44" t="n">
        <f aca="true">AVERAGE(OFFSET(F229,1-MIN(5,ROW()-4),0,MIN(5,ROW()-4),1))</f>
        <v>3890580</v>
      </c>
      <c r="BS229" s="42" t="n">
        <f aca="false">IFERROR(IF(MATCH(G229,周线!$A$5:$A$84,0)&lt;=1,"",INDEX(周线!$R$5:$R$84,MATCH(G229,周线!$A$5:$A$84,0)-1)),"")</f>
        <v>1</v>
      </c>
      <c r="BT229" s="42" t="n">
        <f aca="false">IFERROR(IF(MATCH(G229,周线!$A$5:$A$84,0)&lt;=1,"",INDEX(周线!$S$5:$S$84,MATCH(G229,周线!$A$5:$A$84,0)-1)),"")</f>
        <v>0</v>
      </c>
      <c r="BU229" s="42" t="n">
        <f aca="false">IFERROR(IF(MATCH(G229,周线!$A$5:$A$84,0)&lt;=1,"",INDEX(周线!$U$5:$U$84,MATCH(G229,周线!$A$5:$A$84,0)-1)),"")</f>
        <v>0</v>
      </c>
      <c r="BV229" s="42" t="n">
        <f aca="false">IF(AND(BS229=1,S229&lt;&gt;-1,V229&lt;0,BO229=1,E229&lt;=H229,E229&gt;=AJ229),1,0)</f>
        <v>0</v>
      </c>
      <c r="BW229" s="42" t="n">
        <f aca="false">BL229</f>
        <v>0</v>
      </c>
      <c r="BX229" s="42" t="n">
        <f aca="false">BQ229</f>
        <v>0</v>
      </c>
      <c r="BY229" s="42" t="n">
        <f aca="false">IF(BS229=1,10,0)+IF(BU229=1,5,IF(BU229=-1,0,3))+IF(BT229=1,5,0)+IF(AND(AE229&gt;AF229,AH229&gt;AH228),5,0)</f>
        <v>18</v>
      </c>
      <c r="BZ229" s="42" t="n">
        <f aca="false">IF(AND(E229&lt;=H229,E229&gt;=I229),10,IF(AND(E229&gt;=AJ229,E229&lt;I229),6,0))+IF(AND(V229&lt;0,BO229=1),8,0)+IF(AT229&lt;30,7,IF(AT229&lt;50,3,0))</f>
        <v>8</v>
      </c>
      <c r="CA229" s="42" t="n">
        <f aca="false">IF(AND(BV229=1,BW229=1),25,IF(BW229=1,22,IF(BV229=1,15,IF(BX229=1,12,0))))</f>
        <v>0</v>
      </c>
      <c r="CB229" s="42" t="n">
        <f aca="false">IF(W229&gt;0,6,0)+IF(F229&lt;BR229,4,0)</f>
        <v>10</v>
      </c>
      <c r="CC229" s="42" t="n">
        <f aca="false">IF(BC229&gt;=3,15,IF(BC229&gt;=p_RRmin,10,IF(BC229&gt;=1.5,4,0)))</f>
        <v>10</v>
      </c>
      <c r="CD229" s="42" t="n">
        <f aca="false">BY229+BZ229+CA229+CB229+CC229</f>
        <v>46</v>
      </c>
      <c r="CE229" s="42" t="n">
        <f aca="false">IF(AND(BS229&lt;&gt;1,BW229+BX229=0),1,0)</f>
        <v>0</v>
      </c>
      <c r="CF229" s="42" t="n">
        <f aca="false">IF(BU229=-1,1,0)</f>
        <v>0</v>
      </c>
      <c r="CG229" s="42" t="n">
        <f aca="false">IF(S229=-1,1,0)</f>
        <v>0</v>
      </c>
      <c r="CH229" s="42" t="n">
        <f aca="false">IF(BV229+BW229+BX229=0,1,0)</f>
        <v>1</v>
      </c>
      <c r="CI229" s="42" t="n">
        <f aca="false">IF(BC229&lt;p_RRmin,1,0)</f>
        <v>0</v>
      </c>
      <c r="CJ229" s="46" t="str">
        <f aca="false">IF(SUM(CE229:CI229)=0,IF(CD229&gt;=p_GradeA,"A",IF(CD229&gt;=p_GradeB,"B","C")),IF(AND(CI229=1,SUM(CE229:CH229)=0,CD229&gt;=p_GradeB),"B","C"))</f>
        <v>C</v>
      </c>
    </row>
    <row r="230" customFormat="false" ht="15" hidden="false" customHeight="false" outlineLevel="0" collapsed="false">
      <c r="A230" s="36" t="n">
        <v>45974</v>
      </c>
      <c r="B230" s="37" t="n">
        <v>28.53</v>
      </c>
      <c r="C230" s="37" t="n">
        <v>29.01</v>
      </c>
      <c r="D230" s="37" t="n">
        <v>28.48</v>
      </c>
      <c r="E230" s="37" t="n">
        <v>28.98</v>
      </c>
      <c r="F230" s="38" t="n">
        <v>4310900</v>
      </c>
      <c r="G230" s="39" t="n">
        <f aca="false">A230-WEEKDAY(A230,3)</f>
        <v>45971</v>
      </c>
      <c r="H230" s="40" t="n">
        <f aca="false">2/(p_EmaF+1)*E230+(1-2/(p_EmaF+1))*H229</f>
        <v>28.5716794173496</v>
      </c>
      <c r="I230" s="40" t="n">
        <f aca="false">2/(p_EmaS+1)*E230+(1-2/(p_EmaS+1))*I229</f>
        <v>28.085902645631</v>
      </c>
      <c r="J230" s="41" t="n">
        <f aca="false">2/(p_MacdF+1)*E230+(1-2/(p_MacdF+1))*J229</f>
        <v>28.5987287636168</v>
      </c>
      <c r="K230" s="41" t="n">
        <f aca="false">2/(p_MacdS+1)*E230+(1-2/(p_MacdS+1))*K229</f>
        <v>28.085902645631</v>
      </c>
      <c r="L230" s="41" t="n">
        <f aca="false">J230-K230</f>
        <v>0.512826117985885</v>
      </c>
      <c r="M230" s="41" t="n">
        <f aca="false">2/(p_MacdSig+1)*L230+(1-2/(p_MacdSig+1))*M229</f>
        <v>0.603802144416973</v>
      </c>
      <c r="N230" s="41" t="n">
        <f aca="false">L230-M230</f>
        <v>-0.0909760264310882</v>
      </c>
      <c r="O230" s="42" t="n">
        <f aca="false">IF(H230&gt;H229,1,0)</f>
        <v>1</v>
      </c>
      <c r="P230" s="42" t="n">
        <f aca="false">IF(H230&lt;H229,1,0)</f>
        <v>0</v>
      </c>
      <c r="Q230" s="42" t="n">
        <f aca="false">IF(N230&gt;N229,1,0)</f>
        <v>1</v>
      </c>
      <c r="R230" s="42" t="n">
        <f aca="false">IF(N230&lt;N229,1,0)</f>
        <v>0</v>
      </c>
      <c r="S230" s="42" t="n">
        <f aca="false">IF(AND(O230=1,Q230=1),1,IF(AND(P230=1,R230=1),-1,0))</f>
        <v>1</v>
      </c>
      <c r="T230" s="43" t="str">
        <f aca="false">IF(S230=1,"绿",IF(S230=-1,"红","蓝"))</f>
        <v>绿</v>
      </c>
      <c r="U230" s="44" t="n">
        <f aca="false">F230*(E230-E229)</f>
        <v>1551924</v>
      </c>
      <c r="V230" s="44" t="n">
        <f aca="false">2/(p_FiS+1)*U230+(1-2/(p_FiS+1))*V229</f>
        <v>905155.77155815</v>
      </c>
      <c r="W230" s="44" t="n">
        <f aca="false">2/(p_FiL+1)*U230+(1-2/(p_FiL+1))*W229</f>
        <v>391613.460720788</v>
      </c>
      <c r="X230" s="41" t="n">
        <f aca="false">MAX(C230-D230,ABS(C230-E229),ABS(D230-E229))</f>
        <v>0.530000000000001</v>
      </c>
      <c r="Y230" s="41" t="n">
        <f aca="true">AVERAGE(OFFSET(X230,1-MIN(p_AtrN,ROW()-4),0,MIN(p_AtrN,ROW()-4),1))</f>
        <v>0.681538461538462</v>
      </c>
      <c r="Z230" s="41" t="n">
        <f aca="false">IF(AND(C230-C229&gt;D229-D230,C230-C229&gt;0),C230-C229,0)</f>
        <v>0</v>
      </c>
      <c r="AA230" s="41" t="n">
        <f aca="false">IF(AND(D229-D230&gt;C230-C229,D229-D230&gt;0),D229-D230,0)</f>
        <v>0.0199999999999996</v>
      </c>
      <c r="AB230" s="41" t="n">
        <f aca="false">2/(p_AdxN+1)*X230+(1-2/(p_AdxN+1))*AB229</f>
        <v>0.660588779673582</v>
      </c>
      <c r="AC230" s="41" t="n">
        <f aca="false">2/(p_AdxN+1)*Z230+(1-2/(p_AdxN+1))*AC229</f>
        <v>0.150040974624595</v>
      </c>
      <c r="AD230" s="41" t="n">
        <f aca="false">2/(p_AdxN+1)*AA230+(1-2/(p_AdxN+1))*AD229</f>
        <v>0.0794605556730907</v>
      </c>
      <c r="AE230" s="45" t="n">
        <f aca="false">100*AC230/AB230</f>
        <v>22.7132187589888</v>
      </c>
      <c r="AF230" s="45" t="n">
        <f aca="false">100*AD230/AB230</f>
        <v>12.0287474020305</v>
      </c>
      <c r="AG230" s="45" t="n">
        <f aca="false">IFERROR(100*ABS(AE230-AF230)/(AE230+AF230),0)</f>
        <v>30.7537901206823</v>
      </c>
      <c r="AH230" s="45" t="n">
        <f aca="false">2/(p_AdxN+1)*AG230+(1-2/(p_AdxN+1))*AH229</f>
        <v>26.6293197825947</v>
      </c>
      <c r="AI230" s="40" t="n">
        <f aca="false">I230*(1+p_ChPct)</f>
        <v>29.7710568043688</v>
      </c>
      <c r="AJ230" s="40" t="n">
        <f aca="false">I230*(1-p_ChPct)</f>
        <v>26.4007484868931</v>
      </c>
      <c r="AK230" s="40" t="n">
        <f aca="false">I230+1*Y230</f>
        <v>28.7674411071694</v>
      </c>
      <c r="AL230" s="40" t="n">
        <f aca="false">I230+2*Y230</f>
        <v>29.4489795687079</v>
      </c>
      <c r="AM230" s="40" t="n">
        <f aca="false">I230+3*Y230</f>
        <v>30.1305180302463</v>
      </c>
      <c r="AN230" s="40" t="n">
        <f aca="false">I230-1*Y230</f>
        <v>27.4043641840925</v>
      </c>
      <c r="AO230" s="40" t="n">
        <f aca="false">I230-2*Y230</f>
        <v>26.722825722554</v>
      </c>
      <c r="AP230" s="40" t="n">
        <f aca="false">I230-3*Y230</f>
        <v>26.0412872610156</v>
      </c>
      <c r="AQ230" s="40" t="n">
        <f aca="true">MAX(OFFSET(C230,1-MIN(p_StochN,ROW()-4),0,MIN(p_StochN,ROW()-4),1))</f>
        <v>29.16</v>
      </c>
      <c r="AR230" s="40" t="n">
        <f aca="true">MIN(OFFSET(D230,1-MIN(p_StochN,ROW()-4),0,MIN(p_StochN,ROW()-4),1))</f>
        <v>28.04</v>
      </c>
      <c r="AS230" s="45" t="n">
        <f aca="false">IF(AQ230=AR230,50,100*(E230-AR230)/(AQ230-AR230))</f>
        <v>83.9285714285715</v>
      </c>
      <c r="AT230" s="45" t="n">
        <f aca="true">AVERAGE(OFFSET(AS230,1-MIN(p_StochSm,ROW()-4),0,MIN(p_StochSm,ROW()-4),1))</f>
        <v>76.6215106732349</v>
      </c>
      <c r="AU230" s="45" t="n">
        <f aca="true">AVERAGE(OFFSET(AT230,1-MIN(p_StochSm,ROW()-4),0,MIN(p_StochSm,ROW()-4),1))</f>
        <v>66.4395329513586</v>
      </c>
      <c r="AV230" s="41" t="n">
        <f aca="false">MAX(0,H230-D230)</f>
        <v>0.0916794173495745</v>
      </c>
      <c r="AW230" s="41" t="n">
        <f aca="true">IF(COUNTIF(OFFSET(AV230,1-MIN(p_PenLb,ROW()-4),0,MIN(p_PenLb,ROW()-4),1),"&gt;0")&gt;0,SUM(OFFSET(AV230,1-MIN(p_PenLb,ROW()-4),0,MIN(p_PenLb,ROW()-4),1))/COUNTIF(OFFSET(AV230,1-MIN(p_PenLb,ROW()-4),0,MIN(p_PenLb,ROW()-4),1),"&gt;0"),0.5*Y230)</f>
        <v>0.233819897908034</v>
      </c>
      <c r="AX230" s="41" t="n">
        <f aca="false">2*H230-H229</f>
        <v>28.6397328477913</v>
      </c>
      <c r="AY230" s="40" t="n">
        <f aca="false">ROUND(MAX(AX230-AW230,0.01),2)</f>
        <v>28.41</v>
      </c>
      <c r="AZ230" s="40" t="n">
        <f aca="true">IF(MIN(p_StopLb,ROW()-4)&lt;2,D230,SMALL(OFFSET(D230,1-MIN(p_StopLb,ROW()-4),0,MIN(p_StopLb,ROW()-4),1),2))</f>
        <v>28.04</v>
      </c>
      <c r="BA230" s="40" t="n">
        <f aca="false">IF(MOD(ROUND(ROUNDDOWN(MIN(AZ230-0.01,AY230-p_StopAtr*Y230),2)*100,0),50)=0,ROUNDDOWN(MIN(AZ230-0.01,AY230-p_StopAtr*Y230),2)-0.01,ROUNDDOWN(MIN(AZ230-0.01,AY230-p_StopAtr*Y230),2))</f>
        <v>27.72</v>
      </c>
      <c r="BB230" s="40" t="n">
        <f aca="false">ROUND(AI230,2)</f>
        <v>29.77</v>
      </c>
      <c r="BC230" s="40" t="n">
        <f aca="false">IF(AY230-BA230&gt;0,(BB230-AY230)/(AY230-BA230),0)</f>
        <v>1.97101449275362</v>
      </c>
      <c r="BD230" s="42" t="n">
        <f aca="false">IF(N230&lt;0,1,0)</f>
        <v>1</v>
      </c>
      <c r="BE230" s="41" t="n">
        <f aca="false">IF(AND(BD230=1,BD229=0),N230,IF(BD230=1,MIN(BE229,N230),BE229))</f>
        <v>-0.153190541609803</v>
      </c>
      <c r="BF230" s="40" t="n">
        <f aca="false">IF(AND(BD230=1,BD229=0),D230,IF(BD230=1,MIN(BF229,D230),BF229))</f>
        <v>27.9</v>
      </c>
      <c r="BG230" s="42" t="n">
        <f aca="false">IF(AND(BD230=1,BD229=0),ROW(),IF(BD230=1,IF(N230&lt;BE229,ROW(),BG229),BG229))</f>
        <v>226</v>
      </c>
      <c r="BH230" s="41" t="n">
        <f aca="false">IF(AND(BD230=1,BD229=0),BE229,BH229)</f>
        <v>-0.0514032452662709</v>
      </c>
      <c r="BI230" s="40" t="n">
        <f aca="false">IF(AND(BD230=1,BD229=0),BF229,BI229)</f>
        <v>26.79</v>
      </c>
      <c r="BJ230" s="42" t="n">
        <f aca="false">IF(AND(BD230=1,BD229=0),BG229,BJ229)</f>
        <v>213</v>
      </c>
      <c r="BK230" s="42" t="n">
        <f aca="false">IF(AND(ISNUMBER(BG230),ISNUMBER(BJ230)),BG230-BJ230,"")</f>
        <v>13</v>
      </c>
      <c r="BL230" s="42" t="n">
        <f aca="false">IF(AND(BD230=1,N230&gt;N229,ISNUMBER(BH230),ISNUMBER(BK230)),IF(AND(BE230&gt;BH230,BF230&lt;BI230,BK230&gt;=p_GapMin,BK230&lt;=p_GapMax),1,0),0)</f>
        <v>0</v>
      </c>
      <c r="BM230" s="42" t="n">
        <f aca="false">IF(AND(BL230=1,E230&gt;BI230),1,0)</f>
        <v>0</v>
      </c>
      <c r="BN230" s="42" t="n">
        <f aca="false">IF(BL230=1,IF(BE230&gt;=BH230*0.5,1,0),0)</f>
        <v>0</v>
      </c>
      <c r="BO230" s="42" t="n">
        <f aca="true">IF(V230&gt;MIN(OFFSET(V230,-MIN(p_FiLb-1,ROW()-5),0,MIN(p_FiLb-1,ROW()-5),1)),1,0)</f>
        <v>1</v>
      </c>
      <c r="BP230" s="44" t="n">
        <f aca="true">IF(COUNTIF(OFFSET(V230,1-MIN(100,ROW()-4),0,MIN(100,ROW()-4),1),"&lt;0")&gt;=5,AVERAGEIF(OFFSET(V230,1-MIN(100,ROW()-4),0,MIN(100,ROW()-4),1),"&lt;0"),"")</f>
        <v>-775737.844468643</v>
      </c>
      <c r="BQ230" s="42" t="n">
        <f aca="false">IF(ISNUMBER(BP230),IF(AND(V230&lt;5*BP230,V230&gt;V229,E230&lt;AJ230),1,0),0)</f>
        <v>0</v>
      </c>
      <c r="BR230" s="44" t="n">
        <f aca="true">AVERAGE(OFFSET(F230,1-MIN(5,ROW()-4),0,MIN(5,ROW()-4),1))</f>
        <v>4162840</v>
      </c>
      <c r="BS230" s="42" t="n">
        <f aca="false">IFERROR(IF(MATCH(G230,周线!$A$5:$A$84,0)&lt;=1,"",INDEX(周线!$R$5:$R$84,MATCH(G230,周线!$A$5:$A$84,0)-1)),"")</f>
        <v>1</v>
      </c>
      <c r="BT230" s="42" t="n">
        <f aca="false">IFERROR(IF(MATCH(G230,周线!$A$5:$A$84,0)&lt;=1,"",INDEX(周线!$S$5:$S$84,MATCH(G230,周线!$A$5:$A$84,0)-1)),"")</f>
        <v>0</v>
      </c>
      <c r="BU230" s="42" t="n">
        <f aca="false">IFERROR(IF(MATCH(G230,周线!$A$5:$A$84,0)&lt;=1,"",INDEX(周线!$U$5:$U$84,MATCH(G230,周线!$A$5:$A$84,0)-1)),"")</f>
        <v>0</v>
      </c>
      <c r="BV230" s="42" t="n">
        <f aca="false">IF(AND(BS230=1,S230&lt;&gt;-1,V230&lt;0,BO230=1,E230&lt;=H230,E230&gt;=AJ230),1,0)</f>
        <v>0</v>
      </c>
      <c r="BW230" s="42" t="n">
        <f aca="false">BL230</f>
        <v>0</v>
      </c>
      <c r="BX230" s="42" t="n">
        <f aca="false">BQ230</f>
        <v>0</v>
      </c>
      <c r="BY230" s="42" t="n">
        <f aca="false">IF(BS230=1,10,0)+IF(BU230=1,5,IF(BU230=-1,0,3))+IF(BT230=1,5,0)+IF(AND(AE230&gt;AF230,AH230&gt;AH229),5,0)</f>
        <v>18</v>
      </c>
      <c r="BZ230" s="42" t="n">
        <f aca="false">IF(AND(E230&lt;=H230,E230&gt;=I230),10,IF(AND(E230&gt;=AJ230,E230&lt;I230),6,0))+IF(AND(V230&lt;0,BO230=1),8,0)+IF(AT230&lt;30,7,IF(AT230&lt;50,3,0))</f>
        <v>0</v>
      </c>
      <c r="CA230" s="42" t="n">
        <f aca="false">IF(AND(BV230=1,BW230=1),25,IF(BW230=1,22,IF(BV230=1,15,IF(BX230=1,12,0))))</f>
        <v>0</v>
      </c>
      <c r="CB230" s="42" t="n">
        <f aca="false">IF(W230&gt;0,6,0)+IF(F230&lt;BR230,4,0)</f>
        <v>6</v>
      </c>
      <c r="CC230" s="42" t="n">
        <f aca="false">IF(BC230&gt;=3,15,IF(BC230&gt;=p_RRmin,10,IF(BC230&gt;=1.5,4,0)))</f>
        <v>4</v>
      </c>
      <c r="CD230" s="42" t="n">
        <f aca="false">BY230+BZ230+CA230+CB230+CC230</f>
        <v>28</v>
      </c>
      <c r="CE230" s="42" t="n">
        <f aca="false">IF(AND(BS230&lt;&gt;1,BW230+BX230=0),1,0)</f>
        <v>0</v>
      </c>
      <c r="CF230" s="42" t="n">
        <f aca="false">IF(BU230=-1,1,0)</f>
        <v>0</v>
      </c>
      <c r="CG230" s="42" t="n">
        <f aca="false">IF(S230=-1,1,0)</f>
        <v>0</v>
      </c>
      <c r="CH230" s="42" t="n">
        <f aca="false">IF(BV230+BW230+BX230=0,1,0)</f>
        <v>1</v>
      </c>
      <c r="CI230" s="42" t="n">
        <f aca="false">IF(BC230&lt;p_RRmin,1,0)</f>
        <v>1</v>
      </c>
      <c r="CJ230" s="46" t="str">
        <f aca="false">IF(SUM(CE230:CI230)=0,IF(CD230&gt;=p_GradeA,"A",IF(CD230&gt;=p_GradeB,"B","C")),IF(AND(CI230=1,SUM(CE230:CH230)=0,CD230&gt;=p_GradeB),"B","C"))</f>
        <v>C</v>
      </c>
    </row>
    <row r="231" customFormat="false" ht="15" hidden="false" customHeight="false" outlineLevel="0" collapsed="false">
      <c r="A231" s="36" t="n">
        <v>45975</v>
      </c>
      <c r="B231" s="37" t="n">
        <v>28.85</v>
      </c>
      <c r="C231" s="37" t="n">
        <v>29.11</v>
      </c>
      <c r="D231" s="37" t="n">
        <v>28.67</v>
      </c>
      <c r="E231" s="37" t="n">
        <v>28.86</v>
      </c>
      <c r="F231" s="38" t="n">
        <v>3113200</v>
      </c>
      <c r="G231" s="39" t="n">
        <f aca="false">A231-WEEKDAY(A231,3)</f>
        <v>45971</v>
      </c>
      <c r="H231" s="40" t="n">
        <f aca="false">2/(p_EmaF+1)*E231+(1-2/(p_EmaF+1))*H230</f>
        <v>28.6128680720139</v>
      </c>
      <c r="I231" s="40" t="n">
        <f aca="false">2/(p_EmaS+1)*E231+(1-2/(p_EmaS+1))*I230</f>
        <v>28.143243190399</v>
      </c>
      <c r="J231" s="41" t="n">
        <f aca="false">2/(p_MacdF+1)*E231+(1-2/(p_MacdF+1))*J230</f>
        <v>28.638924338445</v>
      </c>
      <c r="K231" s="41" t="n">
        <f aca="false">2/(p_MacdS+1)*E231+(1-2/(p_MacdS+1))*K230</f>
        <v>28.143243190399</v>
      </c>
      <c r="L231" s="41" t="n">
        <f aca="false">J231-K231</f>
        <v>0.495681148045986</v>
      </c>
      <c r="M231" s="41" t="n">
        <f aca="false">2/(p_MacdSig+1)*L231+(1-2/(p_MacdSig+1))*M230</f>
        <v>0.582177945142775</v>
      </c>
      <c r="N231" s="41" t="n">
        <f aca="false">L231-M231</f>
        <v>-0.0864967970967898</v>
      </c>
      <c r="O231" s="42" t="n">
        <f aca="false">IF(H231&gt;H230,1,0)</f>
        <v>1</v>
      </c>
      <c r="P231" s="42" t="n">
        <f aca="false">IF(H231&lt;H230,1,0)</f>
        <v>0</v>
      </c>
      <c r="Q231" s="42" t="n">
        <f aca="false">IF(N231&gt;N230,1,0)</f>
        <v>1</v>
      </c>
      <c r="R231" s="42" t="n">
        <f aca="false">IF(N231&lt;N230,1,0)</f>
        <v>0</v>
      </c>
      <c r="S231" s="42" t="n">
        <f aca="false">IF(AND(O231=1,Q231=1),1,IF(AND(P231=1,R231=1),-1,0))</f>
        <v>1</v>
      </c>
      <c r="T231" s="43" t="str">
        <f aca="false">IF(S231=1,"绿",IF(S231=-1,"红","蓝"))</f>
        <v>绿</v>
      </c>
      <c r="U231" s="44" t="n">
        <f aca="false">F231*(E231-E230)</f>
        <v>-373584.000000003</v>
      </c>
      <c r="V231" s="44" t="n">
        <f aca="false">2/(p_FiS+1)*U231+(1-2/(p_FiS+1))*V230</f>
        <v>52662.5905193813</v>
      </c>
      <c r="W231" s="44" t="n">
        <f aca="false">2/(p_FiL+1)*U231+(1-2/(p_FiL+1))*W230</f>
        <v>282299.537760675</v>
      </c>
      <c r="X231" s="41" t="n">
        <f aca="false">MAX(C231-D231,ABS(C231-E230),ABS(D231-E230))</f>
        <v>0.439999999999998</v>
      </c>
      <c r="Y231" s="41" t="n">
        <f aca="true">AVERAGE(OFFSET(X231,1-MIN(p_AtrN,ROW()-4),0,MIN(p_AtrN,ROW()-4),1))</f>
        <v>0.643076923076923</v>
      </c>
      <c r="Z231" s="41" t="n">
        <f aca="false">IF(AND(C231-C230&gt;D230-D231,C231-C230&gt;0),C231-C230,0)</f>
        <v>0.0999999999999979</v>
      </c>
      <c r="AA231" s="41" t="n">
        <f aca="false">IF(AND(D230-D231&gt;C231-C230,D230-D231&gt;0),D230-D231,0)</f>
        <v>0</v>
      </c>
      <c r="AB231" s="41" t="n">
        <f aca="false">2/(p_AdxN+1)*X231+(1-2/(p_AdxN+1))*AB230</f>
        <v>0.62907609686307</v>
      </c>
      <c r="AC231" s="41" t="n">
        <f aca="false">2/(p_AdxN+1)*Z231+(1-2/(p_AdxN+1))*AC230</f>
        <v>0.142892263963938</v>
      </c>
      <c r="AD231" s="41" t="n">
        <f aca="false">2/(p_AdxN+1)*AA231+(1-2/(p_AdxN+1))*AD230</f>
        <v>0.0681090477197921</v>
      </c>
      <c r="AE231" s="45" t="n">
        <f aca="false">100*AC231/AB231</f>
        <v>22.7146230283554</v>
      </c>
      <c r="AF231" s="45" t="n">
        <f aca="false">100*AD231/AB231</f>
        <v>10.8268376527772</v>
      </c>
      <c r="AG231" s="45" t="n">
        <f aca="false">IFERROR(100*ABS(AE231-AF231)/(AE231+AF231),0)</f>
        <v>35.4420622542095</v>
      </c>
      <c r="AH231" s="45" t="n">
        <f aca="false">2/(p_AdxN+1)*AG231+(1-2/(p_AdxN+1))*AH230</f>
        <v>27.8882829928254</v>
      </c>
      <c r="AI231" s="40" t="n">
        <f aca="false">I231*(1+p_ChPct)</f>
        <v>29.831837781823</v>
      </c>
      <c r="AJ231" s="40" t="n">
        <f aca="false">I231*(1-p_ChPct)</f>
        <v>26.4546485989751</v>
      </c>
      <c r="AK231" s="40" t="n">
        <f aca="false">I231+1*Y231</f>
        <v>28.786320113476</v>
      </c>
      <c r="AL231" s="40" t="n">
        <f aca="false">I231+2*Y231</f>
        <v>29.4293970365529</v>
      </c>
      <c r="AM231" s="40" t="n">
        <f aca="false">I231+3*Y231</f>
        <v>30.0724739596298</v>
      </c>
      <c r="AN231" s="40" t="n">
        <f aca="false">I231-1*Y231</f>
        <v>27.5001662673221</v>
      </c>
      <c r="AO231" s="40" t="n">
        <f aca="false">I231-2*Y231</f>
        <v>26.8570893442452</v>
      </c>
      <c r="AP231" s="40" t="n">
        <f aca="false">I231-3*Y231</f>
        <v>26.2140124211683</v>
      </c>
      <c r="AQ231" s="40" t="n">
        <f aca="true">MAX(OFFSET(C231,1-MIN(p_StochN,ROW()-4),0,MIN(p_StochN,ROW()-4),1))</f>
        <v>29.16</v>
      </c>
      <c r="AR231" s="40" t="n">
        <f aca="true">MIN(OFFSET(D231,1-MIN(p_StochN,ROW()-4),0,MIN(p_StochN,ROW()-4),1))</f>
        <v>28.04</v>
      </c>
      <c r="AS231" s="45" t="n">
        <f aca="false">IF(AQ231=AR231,50,100*(E231-AR231)/(AQ231-AR231))</f>
        <v>73.2142857142857</v>
      </c>
      <c r="AT231" s="45" t="n">
        <f aca="true">AVERAGE(OFFSET(AS231,1-MIN(p_StochSm,ROW()-4),0,MIN(p_StochSm,ROW()-4),1))</f>
        <v>71.4285714285715</v>
      </c>
      <c r="AU231" s="45" t="n">
        <f aca="true">AVERAGE(OFFSET(AT231,1-MIN(p_StochSm,ROW()-4),0,MIN(p_StochSm,ROW()-4),1))</f>
        <v>72.3777861677434</v>
      </c>
      <c r="AV231" s="41" t="n">
        <f aca="false">MAX(0,H231-D231)</f>
        <v>0</v>
      </c>
      <c r="AW231" s="41" t="n">
        <f aca="true">IF(COUNTIF(OFFSET(AV231,1-MIN(p_PenLb,ROW()-4),0,MIN(p_PenLb,ROW()-4),1),"&gt;0")&gt;0,SUM(OFFSET(AV231,1-MIN(p_PenLb,ROW()-4),0,MIN(p_PenLb,ROW()-4),1))/COUNTIF(OFFSET(AV231,1-MIN(p_PenLb,ROW()-4),0,MIN(p_PenLb,ROW()-4),1),"&gt;0"),0.5*Y231)</f>
        <v>0.233819897908034</v>
      </c>
      <c r="AX231" s="41" t="n">
        <f aca="false">2*H231-H230</f>
        <v>28.6540567266783</v>
      </c>
      <c r="AY231" s="40" t="n">
        <f aca="false">ROUND(MAX(AX231-AW231,0.01),2)</f>
        <v>28.42</v>
      </c>
      <c r="AZ231" s="40" t="n">
        <f aca="true">IF(MIN(p_StopLb,ROW()-4)&lt;2,D231,SMALL(OFFSET(D231,1-MIN(p_StopLb,ROW()-4),0,MIN(p_StopLb,ROW()-4),1),2))</f>
        <v>28.04</v>
      </c>
      <c r="BA231" s="40" t="n">
        <f aca="false">IF(MOD(ROUND(ROUNDDOWN(MIN(AZ231-0.01,AY231-p_StopAtr*Y231),2)*100,0),50)=0,ROUNDDOWN(MIN(AZ231-0.01,AY231-p_StopAtr*Y231),2)-0.01,ROUNDDOWN(MIN(AZ231-0.01,AY231-p_StopAtr*Y231),2))</f>
        <v>27.77</v>
      </c>
      <c r="BB231" s="40" t="n">
        <f aca="false">ROUND(AI231,2)</f>
        <v>29.83</v>
      </c>
      <c r="BC231" s="40" t="n">
        <f aca="false">IF(AY231-BA231&gt;0,(BB231-AY231)/(AY231-BA231),0)</f>
        <v>2.16923076923076</v>
      </c>
      <c r="BD231" s="42" t="n">
        <f aca="false">IF(N231&lt;0,1,0)</f>
        <v>1</v>
      </c>
      <c r="BE231" s="41" t="n">
        <f aca="false">IF(AND(BD231=1,BD230=0),N231,IF(BD231=1,MIN(BE230,N231),BE230))</f>
        <v>-0.153190541609803</v>
      </c>
      <c r="BF231" s="40" t="n">
        <f aca="false">IF(AND(BD231=1,BD230=0),D231,IF(BD231=1,MIN(BF230,D231),BF230))</f>
        <v>27.9</v>
      </c>
      <c r="BG231" s="42" t="n">
        <f aca="false">IF(AND(BD231=1,BD230=0),ROW(),IF(BD231=1,IF(N231&lt;BE230,ROW(),BG230),BG230))</f>
        <v>226</v>
      </c>
      <c r="BH231" s="41" t="n">
        <f aca="false">IF(AND(BD231=1,BD230=0),BE230,BH230)</f>
        <v>-0.0514032452662709</v>
      </c>
      <c r="BI231" s="40" t="n">
        <f aca="false">IF(AND(BD231=1,BD230=0),BF230,BI230)</f>
        <v>26.79</v>
      </c>
      <c r="BJ231" s="42" t="n">
        <f aca="false">IF(AND(BD231=1,BD230=0),BG230,BJ230)</f>
        <v>213</v>
      </c>
      <c r="BK231" s="42" t="n">
        <f aca="false">IF(AND(ISNUMBER(BG231),ISNUMBER(BJ231)),BG231-BJ231,"")</f>
        <v>13</v>
      </c>
      <c r="BL231" s="42" t="n">
        <f aca="false">IF(AND(BD231=1,N231&gt;N230,ISNUMBER(BH231),ISNUMBER(BK231)),IF(AND(BE231&gt;BH231,BF231&lt;BI231,BK231&gt;=p_GapMin,BK231&lt;=p_GapMax),1,0),0)</f>
        <v>0</v>
      </c>
      <c r="BM231" s="42" t="n">
        <f aca="false">IF(AND(BL231=1,E231&gt;BI231),1,0)</f>
        <v>0</v>
      </c>
      <c r="BN231" s="42" t="n">
        <f aca="false">IF(BL231=1,IF(BE231&gt;=BH231*0.5,1,0),0)</f>
        <v>0</v>
      </c>
      <c r="BO231" s="42" t="n">
        <f aca="true">IF(V231&gt;MIN(OFFSET(V231,-MIN(p_FiLb-1,ROW()-5),0,MIN(p_FiLb-1,ROW()-5),1)),1,0)</f>
        <v>1</v>
      </c>
      <c r="BP231" s="44" t="n">
        <f aca="true">IF(COUNTIF(OFFSET(V231,1-MIN(100,ROW()-4),0,MIN(100,ROW()-4),1),"&lt;0")&gt;=5,AVERAGEIF(OFFSET(V231,1-MIN(100,ROW()-4),0,MIN(100,ROW()-4),1),"&lt;0"),"")</f>
        <v>-775737.844468643</v>
      </c>
      <c r="BQ231" s="42" t="n">
        <f aca="false">IF(ISNUMBER(BP231),IF(AND(V231&lt;5*BP231,V231&gt;V230,E231&lt;AJ231),1,0),0)</f>
        <v>0</v>
      </c>
      <c r="BR231" s="44" t="n">
        <f aca="true">AVERAGE(OFFSET(F231,1-MIN(5,ROW()-4),0,MIN(5,ROW()-4),1))</f>
        <v>4091000</v>
      </c>
      <c r="BS231" s="42" t="n">
        <f aca="false">IFERROR(IF(MATCH(G231,周线!$A$5:$A$84,0)&lt;=1,"",INDEX(周线!$R$5:$R$84,MATCH(G231,周线!$A$5:$A$84,0)-1)),"")</f>
        <v>1</v>
      </c>
      <c r="BT231" s="42" t="n">
        <f aca="false">IFERROR(IF(MATCH(G231,周线!$A$5:$A$84,0)&lt;=1,"",INDEX(周线!$S$5:$S$84,MATCH(G231,周线!$A$5:$A$84,0)-1)),"")</f>
        <v>0</v>
      </c>
      <c r="BU231" s="42" t="n">
        <f aca="false">IFERROR(IF(MATCH(G231,周线!$A$5:$A$84,0)&lt;=1,"",INDEX(周线!$U$5:$U$84,MATCH(G231,周线!$A$5:$A$84,0)-1)),"")</f>
        <v>0</v>
      </c>
      <c r="BV231" s="42" t="n">
        <f aca="false">IF(AND(BS231=1,S231&lt;&gt;-1,V231&lt;0,BO231=1,E231&lt;=H231,E231&gt;=AJ231),1,0)</f>
        <v>0</v>
      </c>
      <c r="BW231" s="42" t="n">
        <f aca="false">BL231</f>
        <v>0</v>
      </c>
      <c r="BX231" s="42" t="n">
        <f aca="false">BQ231</f>
        <v>0</v>
      </c>
      <c r="BY231" s="42" t="n">
        <f aca="false">IF(BS231=1,10,0)+IF(BU231=1,5,IF(BU231=-1,0,3))+IF(BT231=1,5,0)+IF(AND(AE231&gt;AF231,AH231&gt;AH230),5,0)</f>
        <v>18</v>
      </c>
      <c r="BZ231" s="42" t="n">
        <f aca="false">IF(AND(E231&lt;=H231,E231&gt;=I231),10,IF(AND(E231&gt;=AJ231,E231&lt;I231),6,0))+IF(AND(V231&lt;0,BO231=1),8,0)+IF(AT231&lt;30,7,IF(AT231&lt;50,3,0))</f>
        <v>0</v>
      </c>
      <c r="CA231" s="42" t="n">
        <f aca="false">IF(AND(BV231=1,BW231=1),25,IF(BW231=1,22,IF(BV231=1,15,IF(BX231=1,12,0))))</f>
        <v>0</v>
      </c>
      <c r="CB231" s="42" t="n">
        <f aca="false">IF(W231&gt;0,6,0)+IF(F231&lt;BR231,4,0)</f>
        <v>10</v>
      </c>
      <c r="CC231" s="42" t="n">
        <f aca="false">IF(BC231&gt;=3,15,IF(BC231&gt;=p_RRmin,10,IF(BC231&gt;=1.5,4,0)))</f>
        <v>10</v>
      </c>
      <c r="CD231" s="42" t="n">
        <f aca="false">BY231+BZ231+CA231+CB231+CC231</f>
        <v>38</v>
      </c>
      <c r="CE231" s="42" t="n">
        <f aca="false">IF(AND(BS231&lt;&gt;1,BW231+BX231=0),1,0)</f>
        <v>0</v>
      </c>
      <c r="CF231" s="42" t="n">
        <f aca="false">IF(BU231=-1,1,0)</f>
        <v>0</v>
      </c>
      <c r="CG231" s="42" t="n">
        <f aca="false">IF(S231=-1,1,0)</f>
        <v>0</v>
      </c>
      <c r="CH231" s="42" t="n">
        <f aca="false">IF(BV231+BW231+BX231=0,1,0)</f>
        <v>1</v>
      </c>
      <c r="CI231" s="42" t="n">
        <f aca="false">IF(BC231&lt;p_RRmin,1,0)</f>
        <v>0</v>
      </c>
      <c r="CJ231" s="46" t="str">
        <f aca="false">IF(SUM(CE231:CI231)=0,IF(CD231&gt;=p_GradeA,"A",IF(CD231&gt;=p_GradeB,"B","C")),IF(AND(CI231=1,SUM(CE231:CH231)=0,CD231&gt;=p_GradeB),"B","C"))</f>
        <v>C</v>
      </c>
    </row>
    <row r="232" customFormat="false" ht="15" hidden="false" customHeight="false" outlineLevel="0" collapsed="false">
      <c r="A232" s="36" t="n">
        <v>45978</v>
      </c>
      <c r="B232" s="37" t="n">
        <v>29.03</v>
      </c>
      <c r="C232" s="37" t="n">
        <v>29.25</v>
      </c>
      <c r="D232" s="37" t="n">
        <v>28.53</v>
      </c>
      <c r="E232" s="37" t="n">
        <v>28.7</v>
      </c>
      <c r="F232" s="38" t="n">
        <v>4212400</v>
      </c>
      <c r="G232" s="39" t="n">
        <f aca="false">A232-WEEKDAY(A232,3)</f>
        <v>45978</v>
      </c>
      <c r="H232" s="40" t="n">
        <f aca="false">2/(p_EmaF+1)*E232+(1-2/(p_EmaF+1))*H231</f>
        <v>28.6253154902977</v>
      </c>
      <c r="I232" s="40" t="n">
        <f aca="false">2/(p_EmaS+1)*E232+(1-2/(p_EmaS+1))*I231</f>
        <v>28.1844844355547</v>
      </c>
      <c r="J232" s="41" t="n">
        <f aca="false">2/(p_MacdF+1)*E232+(1-2/(p_MacdF+1))*J231</f>
        <v>28.6483205940689</v>
      </c>
      <c r="K232" s="41" t="n">
        <f aca="false">2/(p_MacdS+1)*E232+(1-2/(p_MacdS+1))*K231</f>
        <v>28.1844844355547</v>
      </c>
      <c r="L232" s="41" t="n">
        <f aca="false">J232-K232</f>
        <v>0.463836158514198</v>
      </c>
      <c r="M232" s="41" t="n">
        <f aca="false">2/(p_MacdSig+1)*L232+(1-2/(p_MacdSig+1))*M231</f>
        <v>0.55850958781706</v>
      </c>
      <c r="N232" s="41" t="n">
        <f aca="false">L232-M232</f>
        <v>-0.0946734293028619</v>
      </c>
      <c r="O232" s="42" t="n">
        <f aca="false">IF(H232&gt;H231,1,0)</f>
        <v>1</v>
      </c>
      <c r="P232" s="42" t="n">
        <f aca="false">IF(H232&lt;H231,1,0)</f>
        <v>0</v>
      </c>
      <c r="Q232" s="42" t="n">
        <f aca="false">IF(N232&gt;N231,1,0)</f>
        <v>0</v>
      </c>
      <c r="R232" s="42" t="n">
        <f aca="false">IF(N232&lt;N231,1,0)</f>
        <v>1</v>
      </c>
      <c r="S232" s="42" t="n">
        <f aca="false">IF(AND(O232=1,Q232=1),1,IF(AND(P232=1,R232=1),-1,0))</f>
        <v>0</v>
      </c>
      <c r="T232" s="43" t="str">
        <f aca="false">IF(S232=1,"绿",IF(S232=-1,"红","蓝"))</f>
        <v>蓝</v>
      </c>
      <c r="U232" s="44" t="n">
        <f aca="false">F232*(E232-E231)</f>
        <v>-673984.000000001</v>
      </c>
      <c r="V232" s="44" t="n">
        <f aca="false">2/(p_FiS+1)*U232+(1-2/(p_FiS+1))*V231</f>
        <v>-431768.469826873</v>
      </c>
      <c r="W232" s="44" t="n">
        <f aca="false">2/(p_FiL+1)*U232+(1-2/(p_FiL+1))*W231</f>
        <v>145687.603794865</v>
      </c>
      <c r="X232" s="41" t="n">
        <f aca="false">MAX(C232-D232,ABS(C232-E231),ABS(D232-E231))</f>
        <v>0.719999999999999</v>
      </c>
      <c r="Y232" s="41" t="n">
        <f aca="true">AVERAGE(OFFSET(X232,1-MIN(p_AtrN,ROW()-4),0,MIN(p_AtrN,ROW()-4),1))</f>
        <v>0.622307692307693</v>
      </c>
      <c r="Z232" s="41" t="n">
        <f aca="false">IF(AND(C232-C231&gt;D231-D232,C232-C231&gt;0),C232-C231,0)</f>
        <v>0</v>
      </c>
      <c r="AA232" s="41" t="n">
        <f aca="false">IF(AND(D231-D232&gt;C232-C231,D231-D232&gt;0),D231-D232,0)</f>
        <v>0</v>
      </c>
      <c r="AB232" s="41" t="n">
        <f aca="false">2/(p_AdxN+1)*X232+(1-2/(p_AdxN+1))*AB231</f>
        <v>0.642065225882631</v>
      </c>
      <c r="AC232" s="41" t="n">
        <f aca="false">2/(p_AdxN+1)*Z232+(1-2/(p_AdxN+1))*AC231</f>
        <v>0.122479083397661</v>
      </c>
      <c r="AD232" s="41" t="n">
        <f aca="false">2/(p_AdxN+1)*AA232+(1-2/(p_AdxN+1))*AD231</f>
        <v>0.0583791837598218</v>
      </c>
      <c r="AE232" s="45" t="n">
        <f aca="false">100*AC232/AB232</f>
        <v>19.0758007847711</v>
      </c>
      <c r="AF232" s="45" t="n">
        <f aca="false">100*AD232/AB232</f>
        <v>9.09240703381333</v>
      </c>
      <c r="AG232" s="45" t="n">
        <f aca="false">IFERROR(100*ABS(AE232-AF232)/(AE232+AF232),0)</f>
        <v>35.4420622542095</v>
      </c>
      <c r="AH232" s="45" t="n">
        <f aca="false">2/(p_AdxN+1)*AG232+(1-2/(p_AdxN+1))*AH231</f>
        <v>28.9673943158802</v>
      </c>
      <c r="AI232" s="40" t="n">
        <f aca="false">I232*(1+p_ChPct)</f>
        <v>29.8755535016879</v>
      </c>
      <c r="AJ232" s="40" t="n">
        <f aca="false">I232*(1-p_ChPct)</f>
        <v>26.4934153694214</v>
      </c>
      <c r="AK232" s="40" t="n">
        <f aca="false">I232+1*Y232</f>
        <v>28.8067921278624</v>
      </c>
      <c r="AL232" s="40" t="n">
        <f aca="false">I232+2*Y232</f>
        <v>29.42909982017</v>
      </c>
      <c r="AM232" s="40" t="n">
        <f aca="false">I232+3*Y232</f>
        <v>30.0514075124777</v>
      </c>
      <c r="AN232" s="40" t="n">
        <f aca="false">I232-1*Y232</f>
        <v>27.562176743247</v>
      </c>
      <c r="AO232" s="40" t="n">
        <f aca="false">I232-2*Y232</f>
        <v>26.9398690509393</v>
      </c>
      <c r="AP232" s="40" t="n">
        <f aca="false">I232-3*Y232</f>
        <v>26.3175613586316</v>
      </c>
      <c r="AQ232" s="40" t="n">
        <f aca="true">MAX(OFFSET(C232,1-MIN(p_StochN,ROW()-4),0,MIN(p_StochN,ROW()-4),1))</f>
        <v>29.25</v>
      </c>
      <c r="AR232" s="40" t="n">
        <f aca="true">MIN(OFFSET(D232,1-MIN(p_StochN,ROW()-4),0,MIN(p_StochN,ROW()-4),1))</f>
        <v>28.47</v>
      </c>
      <c r="AS232" s="45" t="n">
        <f aca="false">IF(AQ232=AR232,50,100*(E232-AR232)/(AQ232-AR232))</f>
        <v>29.4871794871795</v>
      </c>
      <c r="AT232" s="45" t="n">
        <f aca="true">AVERAGE(OFFSET(AS232,1-MIN(p_StochSm,ROW()-4),0,MIN(p_StochSm,ROW()-4),1))</f>
        <v>62.2100122100122</v>
      </c>
      <c r="AU232" s="45" t="n">
        <f aca="true">AVERAGE(OFFSET(AT232,1-MIN(p_StochSm,ROW()-4),0,MIN(p_StochSm,ROW()-4),1))</f>
        <v>70.0866981039395</v>
      </c>
      <c r="AV232" s="41" t="n">
        <f aca="false">MAX(0,H232-D232)</f>
        <v>0.0953154902976507</v>
      </c>
      <c r="AW232" s="41" t="n">
        <f aca="true">IF(COUNTIF(OFFSET(AV232,1-MIN(p_PenLb,ROW()-4),0,MIN(p_PenLb,ROW()-4),1),"&gt;0")&gt;0,SUM(OFFSET(AV232,1-MIN(p_PenLb,ROW()-4),0,MIN(p_PenLb,ROW()-4),1))/COUNTIF(OFFSET(AV232,1-MIN(p_PenLb,ROW()-4),0,MIN(p_PenLb,ROW()-4),1),"&gt;0"),0.5*Y232)</f>
        <v>0.219969457146996</v>
      </c>
      <c r="AX232" s="41" t="n">
        <f aca="false">2*H232-H231</f>
        <v>28.6377629085814</v>
      </c>
      <c r="AY232" s="40" t="n">
        <f aca="false">ROUND(MAX(AX232-AW232,0.01),2)</f>
        <v>28.42</v>
      </c>
      <c r="AZ232" s="40" t="n">
        <f aca="true">IF(MIN(p_StopLb,ROW()-4)&lt;2,D232,SMALL(OFFSET(D232,1-MIN(p_StopLb,ROW()-4),0,MIN(p_StopLb,ROW()-4),1),2))</f>
        <v>28.04</v>
      </c>
      <c r="BA232" s="40" t="n">
        <f aca="false">IF(MOD(ROUND(ROUNDDOWN(MIN(AZ232-0.01,AY232-p_StopAtr*Y232),2)*100,0),50)=0,ROUNDDOWN(MIN(AZ232-0.01,AY232-p_StopAtr*Y232),2)-0.01,ROUNDDOWN(MIN(AZ232-0.01,AY232-p_StopAtr*Y232),2))</f>
        <v>27.79</v>
      </c>
      <c r="BB232" s="40" t="n">
        <f aca="false">ROUND(AI232,2)</f>
        <v>29.88</v>
      </c>
      <c r="BC232" s="40" t="n">
        <f aca="false">IF(AY232-BA232&gt;0,(BB232-AY232)/(AY232-BA232),0)</f>
        <v>2.3174603174603</v>
      </c>
      <c r="BD232" s="42" t="n">
        <f aca="false">IF(N232&lt;0,1,0)</f>
        <v>1</v>
      </c>
      <c r="BE232" s="41" t="n">
        <f aca="false">IF(AND(BD232=1,BD231=0),N232,IF(BD232=1,MIN(BE231,N232),BE231))</f>
        <v>-0.153190541609803</v>
      </c>
      <c r="BF232" s="40" t="n">
        <f aca="false">IF(AND(BD232=1,BD231=0),D232,IF(BD232=1,MIN(BF231,D232),BF231))</f>
        <v>27.9</v>
      </c>
      <c r="BG232" s="42" t="n">
        <f aca="false">IF(AND(BD232=1,BD231=0),ROW(),IF(BD232=1,IF(N232&lt;BE231,ROW(),BG231),BG231))</f>
        <v>226</v>
      </c>
      <c r="BH232" s="41" t="n">
        <f aca="false">IF(AND(BD232=1,BD231=0),BE231,BH231)</f>
        <v>-0.0514032452662709</v>
      </c>
      <c r="BI232" s="40" t="n">
        <f aca="false">IF(AND(BD232=1,BD231=0),BF231,BI231)</f>
        <v>26.79</v>
      </c>
      <c r="BJ232" s="42" t="n">
        <f aca="false">IF(AND(BD232=1,BD231=0),BG231,BJ231)</f>
        <v>213</v>
      </c>
      <c r="BK232" s="42" t="n">
        <f aca="false">IF(AND(ISNUMBER(BG232),ISNUMBER(BJ232)),BG232-BJ232,"")</f>
        <v>13</v>
      </c>
      <c r="BL232" s="42" t="n">
        <f aca="false">IF(AND(BD232=1,N232&gt;N231,ISNUMBER(BH232),ISNUMBER(BK232)),IF(AND(BE232&gt;BH232,BF232&lt;BI232,BK232&gt;=p_GapMin,BK232&lt;=p_GapMax),1,0),0)</f>
        <v>0</v>
      </c>
      <c r="BM232" s="42" t="n">
        <f aca="false">IF(AND(BL232=1,E232&gt;BI232),1,0)</f>
        <v>0</v>
      </c>
      <c r="BN232" s="42" t="n">
        <f aca="false">IF(BL232=1,IF(BE232&gt;=BH232*0.5,1,0),0)</f>
        <v>0</v>
      </c>
      <c r="BO232" s="42" t="n">
        <f aca="true">IF(V232&gt;MIN(OFFSET(V232,-MIN(p_FiLb-1,ROW()-5),0,MIN(p_FiLb-1,ROW()-5),1)),1,0)</f>
        <v>1</v>
      </c>
      <c r="BP232" s="44" t="n">
        <f aca="true">IF(COUNTIF(OFFSET(V232,1-MIN(100,ROW()-4),0,MIN(100,ROW()-4),1),"&lt;0")&gt;=5,AVERAGEIF(OFFSET(V232,1-MIN(100,ROW()-4),0,MIN(100,ROW()-4),1),"&lt;0"),"")</f>
        <v>-766441.37488373</v>
      </c>
      <c r="BQ232" s="42" t="n">
        <f aca="false">IF(ISNUMBER(BP232),IF(AND(V232&lt;5*BP232,V232&gt;V231,E232&lt;AJ232),1,0),0)</f>
        <v>0</v>
      </c>
      <c r="BR232" s="44" t="n">
        <f aca="true">AVERAGE(OFFSET(F232,1-MIN(5,ROW()-4),0,MIN(5,ROW()-4),1))</f>
        <v>3914940</v>
      </c>
      <c r="BS232" s="42" t="n">
        <f aca="false">IFERROR(IF(MATCH(G232,周线!$A$5:$A$84,0)&lt;=1,"",INDEX(周线!$R$5:$R$84,MATCH(G232,周线!$A$5:$A$84,0)-1)),"")</f>
        <v>1</v>
      </c>
      <c r="BT232" s="42" t="n">
        <f aca="false">IFERROR(IF(MATCH(G232,周线!$A$5:$A$84,0)&lt;=1,"",INDEX(周线!$S$5:$S$84,MATCH(G232,周线!$A$5:$A$84,0)-1)),"")</f>
        <v>0</v>
      </c>
      <c r="BU232" s="42" t="n">
        <f aca="false">IFERROR(IF(MATCH(G232,周线!$A$5:$A$84,0)&lt;=1,"",INDEX(周线!$U$5:$U$84,MATCH(G232,周线!$A$5:$A$84,0)-1)),"")</f>
        <v>0</v>
      </c>
      <c r="BV232" s="42" t="n">
        <f aca="false">IF(AND(BS232=1,S232&lt;&gt;-1,V232&lt;0,BO232=1,E232&lt;=H232,E232&gt;=AJ232),1,0)</f>
        <v>0</v>
      </c>
      <c r="BW232" s="42" t="n">
        <f aca="false">BL232</f>
        <v>0</v>
      </c>
      <c r="BX232" s="42" t="n">
        <f aca="false">BQ232</f>
        <v>0</v>
      </c>
      <c r="BY232" s="42" t="n">
        <f aca="false">IF(BS232=1,10,0)+IF(BU232=1,5,IF(BU232=-1,0,3))+IF(BT232=1,5,0)+IF(AND(AE232&gt;AF232,AH232&gt;AH231),5,0)</f>
        <v>18</v>
      </c>
      <c r="BZ232" s="42" t="n">
        <f aca="false">IF(AND(E232&lt;=H232,E232&gt;=I232),10,IF(AND(E232&gt;=AJ232,E232&lt;I232),6,0))+IF(AND(V232&lt;0,BO232=1),8,0)+IF(AT232&lt;30,7,IF(AT232&lt;50,3,0))</f>
        <v>8</v>
      </c>
      <c r="CA232" s="42" t="n">
        <f aca="false">IF(AND(BV232=1,BW232=1),25,IF(BW232=1,22,IF(BV232=1,15,IF(BX232=1,12,0))))</f>
        <v>0</v>
      </c>
      <c r="CB232" s="42" t="n">
        <f aca="false">IF(W232&gt;0,6,0)+IF(F232&lt;BR232,4,0)</f>
        <v>6</v>
      </c>
      <c r="CC232" s="42" t="n">
        <f aca="false">IF(BC232&gt;=3,15,IF(BC232&gt;=p_RRmin,10,IF(BC232&gt;=1.5,4,0)))</f>
        <v>10</v>
      </c>
      <c r="CD232" s="42" t="n">
        <f aca="false">BY232+BZ232+CA232+CB232+CC232</f>
        <v>42</v>
      </c>
      <c r="CE232" s="42" t="n">
        <f aca="false">IF(AND(BS232&lt;&gt;1,BW232+BX232=0),1,0)</f>
        <v>0</v>
      </c>
      <c r="CF232" s="42" t="n">
        <f aca="false">IF(BU232=-1,1,0)</f>
        <v>0</v>
      </c>
      <c r="CG232" s="42" t="n">
        <f aca="false">IF(S232=-1,1,0)</f>
        <v>0</v>
      </c>
      <c r="CH232" s="42" t="n">
        <f aca="false">IF(BV232+BW232+BX232=0,1,0)</f>
        <v>1</v>
      </c>
      <c r="CI232" s="42" t="n">
        <f aca="false">IF(BC232&lt;p_RRmin,1,0)</f>
        <v>0</v>
      </c>
      <c r="CJ232" s="46" t="str">
        <f aca="false">IF(SUM(CE232:CI232)=0,IF(CD232&gt;=p_GradeA,"A",IF(CD232&gt;=p_GradeB,"B","C")),IF(AND(CI232=1,SUM(CE232:CH232)=0,CD232&gt;=p_GradeB),"B","C"))</f>
        <v>C</v>
      </c>
    </row>
    <row r="233" customFormat="false" ht="15" hidden="false" customHeight="false" outlineLevel="0" collapsed="false">
      <c r="A233" s="36" t="n">
        <v>45979</v>
      </c>
      <c r="B233" s="37" t="n">
        <v>28.75</v>
      </c>
      <c r="C233" s="37" t="n">
        <v>29.58</v>
      </c>
      <c r="D233" s="37" t="n">
        <v>28.49</v>
      </c>
      <c r="E233" s="37" t="n">
        <v>29.41</v>
      </c>
      <c r="F233" s="38" t="n">
        <v>3674300</v>
      </c>
      <c r="G233" s="39" t="n">
        <f aca="false">A233-WEEKDAY(A233,3)</f>
        <v>45978</v>
      </c>
      <c r="H233" s="40" t="n">
        <f aca="false">2/(p_EmaF+1)*E233+(1-2/(p_EmaF+1))*H232</f>
        <v>28.737413277398</v>
      </c>
      <c r="I233" s="40" t="n">
        <f aca="false">2/(p_EmaS+1)*E233+(1-2/(p_EmaS+1))*I232</f>
        <v>28.2752633662543</v>
      </c>
      <c r="J233" s="41" t="n">
        <f aca="false">2/(p_MacdF+1)*E233+(1-2/(p_MacdF+1))*J232</f>
        <v>28.7655020411352</v>
      </c>
      <c r="K233" s="41" t="n">
        <f aca="false">2/(p_MacdS+1)*E233+(1-2/(p_MacdS+1))*K232</f>
        <v>28.2752633662543</v>
      </c>
      <c r="L233" s="41" t="n">
        <f aca="false">J233-K233</f>
        <v>0.490238674880871</v>
      </c>
      <c r="M233" s="41" t="n">
        <f aca="false">2/(p_MacdSig+1)*L233+(1-2/(p_MacdSig+1))*M232</f>
        <v>0.544855405229822</v>
      </c>
      <c r="N233" s="41" t="n">
        <f aca="false">L233-M233</f>
        <v>-0.0546167303489511</v>
      </c>
      <c r="O233" s="42" t="n">
        <f aca="false">IF(H233&gt;H232,1,0)</f>
        <v>1</v>
      </c>
      <c r="P233" s="42" t="n">
        <f aca="false">IF(H233&lt;H232,1,0)</f>
        <v>0</v>
      </c>
      <c r="Q233" s="42" t="n">
        <f aca="false">IF(N233&gt;N232,1,0)</f>
        <v>1</v>
      </c>
      <c r="R233" s="42" t="n">
        <f aca="false">IF(N233&lt;N232,1,0)</f>
        <v>0</v>
      </c>
      <c r="S233" s="42" t="n">
        <f aca="false">IF(AND(O233=1,Q233=1),1,IF(AND(P233=1,R233=1),-1,0))</f>
        <v>1</v>
      </c>
      <c r="T233" s="43" t="str">
        <f aca="false">IF(S233=1,"绿",IF(S233=-1,"红","蓝"))</f>
        <v>绿</v>
      </c>
      <c r="U233" s="44" t="n">
        <f aca="false">F233*(E233-E232)</f>
        <v>2608753</v>
      </c>
      <c r="V233" s="44" t="n">
        <f aca="false">2/(p_FiS+1)*U233+(1-2/(p_FiS+1))*V232</f>
        <v>1595245.84339104</v>
      </c>
      <c r="W233" s="44" t="n">
        <f aca="false">2/(p_FiL+1)*U233+(1-2/(p_FiL+1))*W232</f>
        <v>497554.088967027</v>
      </c>
      <c r="X233" s="41" t="n">
        <f aca="false">MAX(C233-D233,ABS(C233-E232),ABS(D233-E232))</f>
        <v>1.09</v>
      </c>
      <c r="Y233" s="41" t="n">
        <f aca="true">AVERAGE(OFFSET(X233,1-MIN(p_AtrN,ROW()-4),0,MIN(p_AtrN,ROW()-4),1))</f>
        <v>0.673846153846154</v>
      </c>
      <c r="Z233" s="41" t="n">
        <f aca="false">IF(AND(C233-C232&gt;D232-D233,C233-C232&gt;0),C233-C232,0)</f>
        <v>0.329999999999998</v>
      </c>
      <c r="AA233" s="41" t="n">
        <f aca="false">IF(AND(D232-D233&gt;C233-C232,D232-D233&gt;0),D232-D233,0)</f>
        <v>0</v>
      </c>
      <c r="AB233" s="41" t="n">
        <f aca="false">2/(p_AdxN+1)*X233+(1-2/(p_AdxN+1))*AB232</f>
        <v>0.706055907899398</v>
      </c>
      <c r="AC233" s="41" t="n">
        <f aca="false">2/(p_AdxN+1)*Z233+(1-2/(p_AdxN+1))*AC232</f>
        <v>0.152124928626567</v>
      </c>
      <c r="AD233" s="41" t="n">
        <f aca="false">2/(p_AdxN+1)*AA233+(1-2/(p_AdxN+1))*AD232</f>
        <v>0.0500393003655615</v>
      </c>
      <c r="AE233" s="45" t="n">
        <f aca="false">100*AC233/AB233</f>
        <v>21.5457341160358</v>
      </c>
      <c r="AF233" s="45" t="n">
        <f aca="false">100*AD233/AB233</f>
        <v>7.08715836886551</v>
      </c>
      <c r="AG233" s="45" t="n">
        <f aca="false">IFERROR(100*ABS(AE233-AF233)/(AE233+AF233),0)</f>
        <v>50.4963854238428</v>
      </c>
      <c r="AH233" s="45" t="n">
        <f aca="false">2/(p_AdxN+1)*AG233+(1-2/(p_AdxN+1))*AH232</f>
        <v>32.0429644741606</v>
      </c>
      <c r="AI233" s="40" t="n">
        <f aca="false">I233*(1+p_ChPct)</f>
        <v>29.9717791682296</v>
      </c>
      <c r="AJ233" s="40" t="n">
        <f aca="false">I233*(1-p_ChPct)</f>
        <v>26.5787475642791</v>
      </c>
      <c r="AK233" s="40" t="n">
        <f aca="false">I233+1*Y233</f>
        <v>28.9491095201005</v>
      </c>
      <c r="AL233" s="40" t="n">
        <f aca="false">I233+2*Y233</f>
        <v>29.6229556739466</v>
      </c>
      <c r="AM233" s="40" t="n">
        <f aca="false">I233+3*Y233</f>
        <v>30.2968018277928</v>
      </c>
      <c r="AN233" s="40" t="n">
        <f aca="false">I233-1*Y233</f>
        <v>27.6014172124082</v>
      </c>
      <c r="AO233" s="40" t="n">
        <f aca="false">I233-2*Y233</f>
        <v>26.927571058562</v>
      </c>
      <c r="AP233" s="40" t="n">
        <f aca="false">I233-3*Y233</f>
        <v>26.2537249047159</v>
      </c>
      <c r="AQ233" s="40" t="n">
        <f aca="true">MAX(OFFSET(C233,1-MIN(p_StochN,ROW()-4),0,MIN(p_StochN,ROW()-4),1))</f>
        <v>29.58</v>
      </c>
      <c r="AR233" s="40" t="n">
        <f aca="true">MIN(OFFSET(D233,1-MIN(p_StochN,ROW()-4),0,MIN(p_StochN,ROW()-4),1))</f>
        <v>28.48</v>
      </c>
      <c r="AS233" s="45" t="n">
        <f aca="false">IF(AQ233=AR233,50,100*(E233-AR233)/(AQ233-AR233))</f>
        <v>84.5454545454547</v>
      </c>
      <c r="AT233" s="45" t="n">
        <f aca="true">AVERAGE(OFFSET(AS233,1-MIN(p_StochSm,ROW()-4),0,MIN(p_StochSm,ROW()-4),1))</f>
        <v>62.41563991564</v>
      </c>
      <c r="AU233" s="45" t="n">
        <f aca="true">AVERAGE(OFFSET(AT233,1-MIN(p_StochSm,ROW()-4),0,MIN(p_StochSm,ROW()-4),1))</f>
        <v>65.3514078514079</v>
      </c>
      <c r="AV233" s="41" t="n">
        <f aca="false">MAX(0,H233-D233)</f>
        <v>0.247413277397992</v>
      </c>
      <c r="AW233" s="41" t="n">
        <f aca="true">IF(COUNTIF(OFFSET(AV233,1-MIN(p_PenLb,ROW()-4),0,MIN(p_PenLb,ROW()-4),1),"&gt;0")&gt;0,SUM(OFFSET(AV233,1-MIN(p_PenLb,ROW()-4),0,MIN(p_PenLb,ROW()-4),1))/COUNTIF(OFFSET(AV233,1-MIN(p_PenLb,ROW()-4),0,MIN(p_PenLb,ROW()-4),1),"&gt;0"),0.5*Y233)</f>
        <v>0.222464349897086</v>
      </c>
      <c r="AX233" s="41" t="n">
        <f aca="false">2*H233-H232</f>
        <v>28.8495110644983</v>
      </c>
      <c r="AY233" s="40" t="n">
        <f aca="false">ROUND(MAX(AX233-AW233,0.01),2)</f>
        <v>28.63</v>
      </c>
      <c r="AZ233" s="40" t="n">
        <f aca="true">IF(MIN(p_StopLb,ROW()-4)&lt;2,D233,SMALL(OFFSET(D233,1-MIN(p_StopLb,ROW()-4),0,MIN(p_StopLb,ROW()-4),1),2))</f>
        <v>28.04</v>
      </c>
      <c r="BA233" s="40" t="n">
        <f aca="false">IF(MOD(ROUND(ROUNDDOWN(MIN(AZ233-0.01,AY233-p_StopAtr*Y233),2)*100,0),50)=0,ROUNDDOWN(MIN(AZ233-0.01,AY233-p_StopAtr*Y233),2)-0.01,ROUNDDOWN(MIN(AZ233-0.01,AY233-p_StopAtr*Y233),2))</f>
        <v>27.95</v>
      </c>
      <c r="BB233" s="40" t="n">
        <f aca="false">ROUND(AI233,2)</f>
        <v>29.97</v>
      </c>
      <c r="BC233" s="40" t="n">
        <f aca="false">IF(AY233-BA233&gt;0,(BB233-AY233)/(AY233-BA233),0)</f>
        <v>1.97058823529412</v>
      </c>
      <c r="BD233" s="42" t="n">
        <f aca="false">IF(N233&lt;0,1,0)</f>
        <v>1</v>
      </c>
      <c r="BE233" s="41" t="n">
        <f aca="false">IF(AND(BD233=1,BD232=0),N233,IF(BD233=1,MIN(BE232,N233),BE232))</f>
        <v>-0.153190541609803</v>
      </c>
      <c r="BF233" s="40" t="n">
        <f aca="false">IF(AND(BD233=1,BD232=0),D233,IF(BD233=1,MIN(BF232,D233),BF232))</f>
        <v>27.9</v>
      </c>
      <c r="BG233" s="42" t="n">
        <f aca="false">IF(AND(BD233=1,BD232=0),ROW(),IF(BD233=1,IF(N233&lt;BE232,ROW(),BG232),BG232))</f>
        <v>226</v>
      </c>
      <c r="BH233" s="41" t="n">
        <f aca="false">IF(AND(BD233=1,BD232=0),BE232,BH232)</f>
        <v>-0.0514032452662709</v>
      </c>
      <c r="BI233" s="40" t="n">
        <f aca="false">IF(AND(BD233=1,BD232=0),BF232,BI232)</f>
        <v>26.79</v>
      </c>
      <c r="BJ233" s="42" t="n">
        <f aca="false">IF(AND(BD233=1,BD232=0),BG232,BJ232)</f>
        <v>213</v>
      </c>
      <c r="BK233" s="42" t="n">
        <f aca="false">IF(AND(ISNUMBER(BG233),ISNUMBER(BJ233)),BG233-BJ233,"")</f>
        <v>13</v>
      </c>
      <c r="BL233" s="42" t="n">
        <f aca="false">IF(AND(BD233=1,N233&gt;N232,ISNUMBER(BH233),ISNUMBER(BK233)),IF(AND(BE233&gt;BH233,BF233&lt;BI233,BK233&gt;=p_GapMin,BK233&lt;=p_GapMax),1,0),0)</f>
        <v>0</v>
      </c>
      <c r="BM233" s="42" t="n">
        <f aca="false">IF(AND(BL233=1,E233&gt;BI233),1,0)</f>
        <v>0</v>
      </c>
      <c r="BN233" s="42" t="n">
        <f aca="false">IF(BL233=1,IF(BE233&gt;=BH233*0.5,1,0),0)</f>
        <v>0</v>
      </c>
      <c r="BO233" s="42" t="n">
        <f aca="true">IF(V233&gt;MIN(OFFSET(V233,-MIN(p_FiLb-1,ROW()-5),0,MIN(p_FiLb-1,ROW()-5),1)),1,0)</f>
        <v>1</v>
      </c>
      <c r="BP233" s="44" t="n">
        <f aca="true">IF(COUNTIF(OFFSET(V233,1-MIN(100,ROW()-4),0,MIN(100,ROW()-4),1),"&lt;0")&gt;=5,AVERAGEIF(OFFSET(V233,1-MIN(100,ROW()-4),0,MIN(100,ROW()-4),1),"&lt;0"),"")</f>
        <v>-766441.37488373</v>
      </c>
      <c r="BQ233" s="42" t="n">
        <f aca="false">IF(ISNUMBER(BP233),IF(AND(V233&lt;5*BP233,V233&gt;V232,E233&lt;AJ233),1,0),0)</f>
        <v>0</v>
      </c>
      <c r="BR233" s="44" t="n">
        <f aca="true">AVERAGE(OFFSET(F233,1-MIN(5,ROW()-4),0,MIN(5,ROW()-4),1))</f>
        <v>3828320</v>
      </c>
      <c r="BS233" s="42" t="n">
        <f aca="false">IFERROR(IF(MATCH(G233,周线!$A$5:$A$84,0)&lt;=1,"",INDEX(周线!$R$5:$R$84,MATCH(G233,周线!$A$5:$A$84,0)-1)),"")</f>
        <v>1</v>
      </c>
      <c r="BT233" s="42" t="n">
        <f aca="false">IFERROR(IF(MATCH(G233,周线!$A$5:$A$84,0)&lt;=1,"",INDEX(周线!$S$5:$S$84,MATCH(G233,周线!$A$5:$A$84,0)-1)),"")</f>
        <v>0</v>
      </c>
      <c r="BU233" s="42" t="n">
        <f aca="false">IFERROR(IF(MATCH(G233,周线!$A$5:$A$84,0)&lt;=1,"",INDEX(周线!$U$5:$U$84,MATCH(G233,周线!$A$5:$A$84,0)-1)),"")</f>
        <v>0</v>
      </c>
      <c r="BV233" s="42" t="n">
        <f aca="false">IF(AND(BS233=1,S233&lt;&gt;-1,V233&lt;0,BO233=1,E233&lt;=H233,E233&gt;=AJ233),1,0)</f>
        <v>0</v>
      </c>
      <c r="BW233" s="42" t="n">
        <f aca="false">BL233</f>
        <v>0</v>
      </c>
      <c r="BX233" s="42" t="n">
        <f aca="false">BQ233</f>
        <v>0</v>
      </c>
      <c r="BY233" s="42" t="n">
        <f aca="false">IF(BS233=1,10,0)+IF(BU233=1,5,IF(BU233=-1,0,3))+IF(BT233=1,5,0)+IF(AND(AE233&gt;AF233,AH233&gt;AH232),5,0)</f>
        <v>18</v>
      </c>
      <c r="BZ233" s="42" t="n">
        <f aca="false">IF(AND(E233&lt;=H233,E233&gt;=I233),10,IF(AND(E233&gt;=AJ233,E233&lt;I233),6,0))+IF(AND(V233&lt;0,BO233=1),8,0)+IF(AT233&lt;30,7,IF(AT233&lt;50,3,0))</f>
        <v>0</v>
      </c>
      <c r="CA233" s="42" t="n">
        <f aca="false">IF(AND(BV233=1,BW233=1),25,IF(BW233=1,22,IF(BV233=1,15,IF(BX233=1,12,0))))</f>
        <v>0</v>
      </c>
      <c r="CB233" s="42" t="n">
        <f aca="false">IF(W233&gt;0,6,0)+IF(F233&lt;BR233,4,0)</f>
        <v>10</v>
      </c>
      <c r="CC233" s="42" t="n">
        <f aca="false">IF(BC233&gt;=3,15,IF(BC233&gt;=p_RRmin,10,IF(BC233&gt;=1.5,4,0)))</f>
        <v>4</v>
      </c>
      <c r="CD233" s="42" t="n">
        <f aca="false">BY233+BZ233+CA233+CB233+CC233</f>
        <v>32</v>
      </c>
      <c r="CE233" s="42" t="n">
        <f aca="false">IF(AND(BS233&lt;&gt;1,BW233+BX233=0),1,0)</f>
        <v>0</v>
      </c>
      <c r="CF233" s="42" t="n">
        <f aca="false">IF(BU233=-1,1,0)</f>
        <v>0</v>
      </c>
      <c r="CG233" s="42" t="n">
        <f aca="false">IF(S233=-1,1,0)</f>
        <v>0</v>
      </c>
      <c r="CH233" s="42" t="n">
        <f aca="false">IF(BV233+BW233+BX233=0,1,0)</f>
        <v>1</v>
      </c>
      <c r="CI233" s="42" t="n">
        <f aca="false">IF(BC233&lt;p_RRmin,1,0)</f>
        <v>1</v>
      </c>
      <c r="CJ233" s="46" t="str">
        <f aca="false">IF(SUM(CE233:CI233)=0,IF(CD233&gt;=p_GradeA,"A",IF(CD233&gt;=p_GradeB,"B","C")),IF(AND(CI233=1,SUM(CE233:CH233)=0,CD233&gt;=p_GradeB),"B","C"))</f>
        <v>C</v>
      </c>
    </row>
    <row r="234" customFormat="false" ht="15" hidden="false" customHeight="false" outlineLevel="0" collapsed="false">
      <c r="A234" s="36" t="n">
        <v>45980</v>
      </c>
      <c r="B234" s="37" t="n">
        <v>29.46</v>
      </c>
      <c r="C234" s="37" t="n">
        <v>30.07</v>
      </c>
      <c r="D234" s="37" t="n">
        <v>29.26</v>
      </c>
      <c r="E234" s="37" t="n">
        <v>29.93</v>
      </c>
      <c r="F234" s="38" t="n">
        <v>4366900</v>
      </c>
      <c r="G234" s="39" t="n">
        <f aca="false">A234-WEEKDAY(A234,3)</f>
        <v>45978</v>
      </c>
      <c r="H234" s="40" t="n">
        <f aca="false">2/(p_EmaF+1)*E234+(1-2/(p_EmaF+1))*H233</f>
        <v>28.9077828091983</v>
      </c>
      <c r="I234" s="40" t="n">
        <f aca="false">2/(p_EmaS+1)*E234+(1-2/(p_EmaS+1))*I233</f>
        <v>28.3978364502355</v>
      </c>
      <c r="J234" s="41" t="n">
        <f aca="false">2/(p_MacdF+1)*E234+(1-2/(p_MacdF+1))*J233</f>
        <v>28.9446555732682</v>
      </c>
      <c r="K234" s="41" t="n">
        <f aca="false">2/(p_MacdS+1)*E234+(1-2/(p_MacdS+1))*K233</f>
        <v>28.3978364502355</v>
      </c>
      <c r="L234" s="41" t="n">
        <f aca="false">J234-K234</f>
        <v>0.546819123032758</v>
      </c>
      <c r="M234" s="41" t="n">
        <f aca="false">2/(p_MacdSig+1)*L234+(1-2/(p_MacdSig+1))*M233</f>
        <v>0.545248148790409</v>
      </c>
      <c r="N234" s="41" t="n">
        <f aca="false">L234-M234</f>
        <v>0.00157097424234909</v>
      </c>
      <c r="O234" s="42" t="n">
        <f aca="false">IF(H234&gt;H233,1,0)</f>
        <v>1</v>
      </c>
      <c r="P234" s="42" t="n">
        <f aca="false">IF(H234&lt;H233,1,0)</f>
        <v>0</v>
      </c>
      <c r="Q234" s="42" t="n">
        <f aca="false">IF(N234&gt;N233,1,0)</f>
        <v>1</v>
      </c>
      <c r="R234" s="42" t="n">
        <f aca="false">IF(N234&lt;N233,1,0)</f>
        <v>0</v>
      </c>
      <c r="S234" s="42" t="n">
        <f aca="false">IF(AND(O234=1,Q234=1),1,IF(AND(P234=1,R234=1),-1,0))</f>
        <v>1</v>
      </c>
      <c r="T234" s="43" t="str">
        <f aca="false">IF(S234=1,"绿",IF(S234=-1,"红","蓝"))</f>
        <v>绿</v>
      </c>
      <c r="U234" s="44" t="n">
        <f aca="false">F234*(E234-E233)</f>
        <v>2270788</v>
      </c>
      <c r="V234" s="44" t="n">
        <f aca="false">2/(p_FiS+1)*U234+(1-2/(p_FiS+1))*V233</f>
        <v>2045607.28113035</v>
      </c>
      <c r="W234" s="44" t="n">
        <f aca="false">2/(p_FiL+1)*U234+(1-2/(p_FiL+1))*W233</f>
        <v>750873.219114595</v>
      </c>
      <c r="X234" s="41" t="n">
        <f aca="false">MAX(C234-D234,ABS(C234-E233),ABS(D234-E233))</f>
        <v>0.809999999999999</v>
      </c>
      <c r="Y234" s="41" t="n">
        <f aca="true">AVERAGE(OFFSET(X234,1-MIN(p_AtrN,ROW()-4),0,MIN(p_AtrN,ROW()-4),1))</f>
        <v>0.689230769230769</v>
      </c>
      <c r="Z234" s="41" t="n">
        <f aca="false">IF(AND(C234-C233&gt;D233-D234,C234-C233&gt;0),C234-C233,0)</f>
        <v>0.490000000000002</v>
      </c>
      <c r="AA234" s="41" t="n">
        <f aca="false">IF(AND(D233-D234&gt;C234-C233,D233-D234&gt;0),D233-D234,0)</f>
        <v>0</v>
      </c>
      <c r="AB234" s="41" t="n">
        <f aca="false">2/(p_AdxN+1)*X234+(1-2/(p_AdxN+1))*AB233</f>
        <v>0.72090506391377</v>
      </c>
      <c r="AC234" s="41" t="n">
        <f aca="false">2/(p_AdxN+1)*Z234+(1-2/(p_AdxN+1))*AC233</f>
        <v>0.200392795965629</v>
      </c>
      <c r="AD234" s="41" t="n">
        <f aca="false">2/(p_AdxN+1)*AA234+(1-2/(p_AdxN+1))*AD233</f>
        <v>0.042890828884767</v>
      </c>
      <c r="AE234" s="45" t="n">
        <f aca="false">100*AC234/AB234</f>
        <v>27.7973905298574</v>
      </c>
      <c r="AF234" s="45" t="n">
        <f aca="false">100*AD234/AB234</f>
        <v>5.94958074672331</v>
      </c>
      <c r="AG234" s="45" t="n">
        <f aca="false">IFERROR(100*ABS(AE234-AF234)/(AE234+AF234),0)</f>
        <v>64.7400609793263</v>
      </c>
      <c r="AH234" s="45" t="n">
        <f aca="false">2/(p_AdxN+1)*AG234+(1-2/(p_AdxN+1))*AH233</f>
        <v>36.7139782606129</v>
      </c>
      <c r="AI234" s="40" t="n">
        <f aca="false">I234*(1+p_ChPct)</f>
        <v>30.1017066372496</v>
      </c>
      <c r="AJ234" s="40" t="n">
        <f aca="false">I234*(1-p_ChPct)</f>
        <v>26.6939662632214</v>
      </c>
      <c r="AK234" s="40" t="n">
        <f aca="false">I234+1*Y234</f>
        <v>29.0870672194662</v>
      </c>
      <c r="AL234" s="40" t="n">
        <f aca="false">I234+2*Y234</f>
        <v>29.776297988697</v>
      </c>
      <c r="AM234" s="40" t="n">
        <f aca="false">I234+3*Y234</f>
        <v>30.4655287579278</v>
      </c>
      <c r="AN234" s="40" t="n">
        <f aca="false">I234-1*Y234</f>
        <v>27.7086056810047</v>
      </c>
      <c r="AO234" s="40" t="n">
        <f aca="false">I234-2*Y234</f>
        <v>27.0193749117739</v>
      </c>
      <c r="AP234" s="40" t="n">
        <f aca="false">I234-3*Y234</f>
        <v>26.3301441425432</v>
      </c>
      <c r="AQ234" s="40" t="n">
        <f aca="true">MAX(OFFSET(C234,1-MIN(p_StochN,ROW()-4),0,MIN(p_StochN,ROW()-4),1))</f>
        <v>30.07</v>
      </c>
      <c r="AR234" s="40" t="n">
        <f aca="true">MIN(OFFSET(D234,1-MIN(p_StochN,ROW()-4),0,MIN(p_StochN,ROW()-4),1))</f>
        <v>28.48</v>
      </c>
      <c r="AS234" s="45" t="n">
        <f aca="false">IF(AQ234=AR234,50,100*(E234-AR234)/(AQ234-AR234))</f>
        <v>91.1949685534591</v>
      </c>
      <c r="AT234" s="45" t="n">
        <f aca="true">AVERAGE(OFFSET(AS234,1-MIN(p_StochSm,ROW()-4),0,MIN(p_StochSm,ROW()-4),1))</f>
        <v>68.4092008620311</v>
      </c>
      <c r="AU234" s="45" t="n">
        <f aca="true">AVERAGE(OFFSET(AT234,1-MIN(p_StochSm,ROW()-4),0,MIN(p_StochSm,ROW()-4),1))</f>
        <v>64.3449509958944</v>
      </c>
      <c r="AV234" s="41" t="n">
        <f aca="false">MAX(0,H234-D234)</f>
        <v>0</v>
      </c>
      <c r="AW234" s="41" t="n">
        <f aca="true">IF(COUNTIF(OFFSET(AV234,1-MIN(p_PenLb,ROW()-4),0,MIN(p_PenLb,ROW()-4),1),"&gt;0")&gt;0,SUM(OFFSET(AV234,1-MIN(p_PenLb,ROW()-4),0,MIN(p_PenLb,ROW()-4),1))/COUNTIF(OFFSET(AV234,1-MIN(p_PenLb,ROW()-4),0,MIN(p_PenLb,ROW()-4),1),"&gt;0"),0.5*Y234)</f>
        <v>0.222464349897086</v>
      </c>
      <c r="AX234" s="41" t="n">
        <f aca="false">2*H234-H233</f>
        <v>29.0781523409986</v>
      </c>
      <c r="AY234" s="40" t="n">
        <f aca="false">ROUND(MAX(AX234-AW234,0.01),2)</f>
        <v>28.86</v>
      </c>
      <c r="AZ234" s="40" t="n">
        <f aca="true">IF(MIN(p_StopLb,ROW()-4)&lt;2,D234,SMALL(OFFSET(D234,1-MIN(p_StopLb,ROW()-4),0,MIN(p_StopLb,ROW()-4),1),2))</f>
        <v>28.04</v>
      </c>
      <c r="BA234" s="40" t="n">
        <f aca="false">IF(MOD(ROUND(ROUNDDOWN(MIN(AZ234-0.01,AY234-p_StopAtr*Y234),2)*100,0),50)=0,ROUNDDOWN(MIN(AZ234-0.01,AY234-p_StopAtr*Y234),2)-0.01,ROUNDDOWN(MIN(AZ234-0.01,AY234-p_StopAtr*Y234),2))</f>
        <v>28.03</v>
      </c>
      <c r="BB234" s="40" t="n">
        <f aca="false">ROUND(AI234,2)</f>
        <v>30.1</v>
      </c>
      <c r="BC234" s="40" t="n">
        <f aca="false">IF(AY234-BA234&gt;0,(BB234-AY234)/(AY234-BA234),0)</f>
        <v>1.49397590361446</v>
      </c>
      <c r="BD234" s="42" t="n">
        <f aca="false">IF(N234&lt;0,1,0)</f>
        <v>0</v>
      </c>
      <c r="BE234" s="41" t="n">
        <f aca="false">IF(AND(BD234=1,BD233=0),N234,IF(BD234=1,MIN(BE233,N234),BE233))</f>
        <v>-0.153190541609803</v>
      </c>
      <c r="BF234" s="40" t="n">
        <f aca="false">IF(AND(BD234=1,BD233=0),D234,IF(BD234=1,MIN(BF233,D234),BF233))</f>
        <v>27.9</v>
      </c>
      <c r="BG234" s="42" t="n">
        <f aca="false">IF(AND(BD234=1,BD233=0),ROW(),IF(BD234=1,IF(N234&lt;BE233,ROW(),BG233),BG233))</f>
        <v>226</v>
      </c>
      <c r="BH234" s="41" t="n">
        <f aca="false">IF(AND(BD234=1,BD233=0),BE233,BH233)</f>
        <v>-0.0514032452662709</v>
      </c>
      <c r="BI234" s="40" t="n">
        <f aca="false">IF(AND(BD234=1,BD233=0),BF233,BI233)</f>
        <v>26.79</v>
      </c>
      <c r="BJ234" s="42" t="n">
        <f aca="false">IF(AND(BD234=1,BD233=0),BG233,BJ233)</f>
        <v>213</v>
      </c>
      <c r="BK234" s="42" t="n">
        <f aca="false">IF(AND(ISNUMBER(BG234),ISNUMBER(BJ234)),BG234-BJ234,"")</f>
        <v>13</v>
      </c>
      <c r="BL234" s="42" t="n">
        <f aca="false">IF(AND(BD234=1,N234&gt;N233,ISNUMBER(BH234),ISNUMBER(BK234)),IF(AND(BE234&gt;BH234,BF234&lt;BI234,BK234&gt;=p_GapMin,BK234&lt;=p_GapMax),1,0),0)</f>
        <v>0</v>
      </c>
      <c r="BM234" s="42" t="n">
        <f aca="false">IF(AND(BL234=1,E234&gt;BI234),1,0)</f>
        <v>0</v>
      </c>
      <c r="BN234" s="42" t="n">
        <f aca="false">IF(BL234=1,IF(BE234&gt;=BH234*0.5,1,0),0)</f>
        <v>0</v>
      </c>
      <c r="BO234" s="42" t="n">
        <f aca="true">IF(V234&gt;MIN(OFFSET(V234,-MIN(p_FiLb-1,ROW()-5),0,MIN(p_FiLb-1,ROW()-5),1)),1,0)</f>
        <v>1</v>
      </c>
      <c r="BP234" s="44" t="n">
        <f aca="true">IF(COUNTIF(OFFSET(V234,1-MIN(100,ROW()-4),0,MIN(100,ROW()-4),1),"&lt;0")&gt;=5,AVERAGEIF(OFFSET(V234,1-MIN(100,ROW()-4),0,MIN(100,ROW()-4),1),"&lt;0"),"")</f>
        <v>-766441.37488373</v>
      </c>
      <c r="BQ234" s="42" t="n">
        <f aca="false">IF(ISNUMBER(BP234),IF(AND(V234&lt;5*BP234,V234&gt;V233,E234&lt;AJ234),1,0),0)</f>
        <v>0</v>
      </c>
      <c r="BR234" s="44" t="n">
        <f aca="true">AVERAGE(OFFSET(F234,1-MIN(5,ROW()-4),0,MIN(5,ROW()-4),1))</f>
        <v>3935540</v>
      </c>
      <c r="BS234" s="42" t="n">
        <f aca="false">IFERROR(IF(MATCH(G234,周线!$A$5:$A$84,0)&lt;=1,"",INDEX(周线!$R$5:$R$84,MATCH(G234,周线!$A$5:$A$84,0)-1)),"")</f>
        <v>1</v>
      </c>
      <c r="BT234" s="42" t="n">
        <f aca="false">IFERROR(IF(MATCH(G234,周线!$A$5:$A$84,0)&lt;=1,"",INDEX(周线!$S$5:$S$84,MATCH(G234,周线!$A$5:$A$84,0)-1)),"")</f>
        <v>0</v>
      </c>
      <c r="BU234" s="42" t="n">
        <f aca="false">IFERROR(IF(MATCH(G234,周线!$A$5:$A$84,0)&lt;=1,"",INDEX(周线!$U$5:$U$84,MATCH(G234,周线!$A$5:$A$84,0)-1)),"")</f>
        <v>0</v>
      </c>
      <c r="BV234" s="42" t="n">
        <f aca="false">IF(AND(BS234=1,S234&lt;&gt;-1,V234&lt;0,BO234=1,E234&lt;=H234,E234&gt;=AJ234),1,0)</f>
        <v>0</v>
      </c>
      <c r="BW234" s="42" t="n">
        <f aca="false">BL234</f>
        <v>0</v>
      </c>
      <c r="BX234" s="42" t="n">
        <f aca="false">BQ234</f>
        <v>0</v>
      </c>
      <c r="BY234" s="42" t="n">
        <f aca="false">IF(BS234=1,10,0)+IF(BU234=1,5,IF(BU234=-1,0,3))+IF(BT234=1,5,0)+IF(AND(AE234&gt;AF234,AH234&gt;AH233),5,0)</f>
        <v>18</v>
      </c>
      <c r="BZ234" s="42" t="n">
        <f aca="false">IF(AND(E234&lt;=H234,E234&gt;=I234),10,IF(AND(E234&gt;=AJ234,E234&lt;I234),6,0))+IF(AND(V234&lt;0,BO234=1),8,0)+IF(AT234&lt;30,7,IF(AT234&lt;50,3,0))</f>
        <v>0</v>
      </c>
      <c r="CA234" s="42" t="n">
        <f aca="false">IF(AND(BV234=1,BW234=1),25,IF(BW234=1,22,IF(BV234=1,15,IF(BX234=1,12,0))))</f>
        <v>0</v>
      </c>
      <c r="CB234" s="42" t="n">
        <f aca="false">IF(W234&gt;0,6,0)+IF(F234&lt;BR234,4,0)</f>
        <v>6</v>
      </c>
      <c r="CC234" s="42" t="n">
        <f aca="false">IF(BC234&gt;=3,15,IF(BC234&gt;=p_RRmin,10,IF(BC234&gt;=1.5,4,0)))</f>
        <v>0</v>
      </c>
      <c r="CD234" s="42" t="n">
        <f aca="false">BY234+BZ234+CA234+CB234+CC234</f>
        <v>24</v>
      </c>
      <c r="CE234" s="42" t="n">
        <f aca="false">IF(AND(BS234&lt;&gt;1,BW234+BX234=0),1,0)</f>
        <v>0</v>
      </c>
      <c r="CF234" s="42" t="n">
        <f aca="false">IF(BU234=-1,1,0)</f>
        <v>0</v>
      </c>
      <c r="CG234" s="42" t="n">
        <f aca="false">IF(S234=-1,1,0)</f>
        <v>0</v>
      </c>
      <c r="CH234" s="42" t="n">
        <f aca="false">IF(BV234+BW234+BX234=0,1,0)</f>
        <v>1</v>
      </c>
      <c r="CI234" s="42" t="n">
        <f aca="false">IF(BC234&lt;p_RRmin,1,0)</f>
        <v>1</v>
      </c>
      <c r="CJ234" s="46" t="str">
        <f aca="false">IF(SUM(CE234:CI234)=0,IF(CD234&gt;=p_GradeA,"A",IF(CD234&gt;=p_GradeB,"B","C")),IF(AND(CI234=1,SUM(CE234:CH234)=0,CD234&gt;=p_GradeB),"B","C"))</f>
        <v>C</v>
      </c>
    </row>
    <row r="235" customFormat="false" ht="15" hidden="false" customHeight="false" outlineLevel="0" collapsed="false">
      <c r="A235" s="36" t="n">
        <v>45981</v>
      </c>
      <c r="B235" s="37" t="n">
        <v>29.93</v>
      </c>
      <c r="C235" s="37" t="n">
        <v>30.23</v>
      </c>
      <c r="D235" s="37" t="n">
        <v>29.69</v>
      </c>
      <c r="E235" s="37" t="n">
        <v>30.15</v>
      </c>
      <c r="F235" s="38" t="n">
        <v>2962000</v>
      </c>
      <c r="G235" s="39" t="n">
        <f aca="false">A235-WEEKDAY(A235,3)</f>
        <v>45978</v>
      </c>
      <c r="H235" s="40" t="n">
        <f aca="false">2/(p_EmaF+1)*E235+(1-2/(p_EmaF+1))*H234</f>
        <v>29.0852424078842</v>
      </c>
      <c r="I235" s="40" t="n">
        <f aca="false">2/(p_EmaS+1)*E235+(1-2/(p_EmaS+1))*I234</f>
        <v>28.5276263428106</v>
      </c>
      <c r="J235" s="41" t="n">
        <f aca="false">2/(p_MacdF+1)*E235+(1-2/(p_MacdF+1))*J234</f>
        <v>29.1300931773808</v>
      </c>
      <c r="K235" s="41" t="n">
        <f aca="false">2/(p_MacdS+1)*E235+(1-2/(p_MacdS+1))*K234</f>
        <v>28.5276263428106</v>
      </c>
      <c r="L235" s="41" t="n">
        <f aca="false">J235-K235</f>
        <v>0.602466834570187</v>
      </c>
      <c r="M235" s="41" t="n">
        <f aca="false">2/(p_MacdSig+1)*L235+(1-2/(p_MacdSig+1))*M234</f>
        <v>0.556691885946365</v>
      </c>
      <c r="N235" s="41" t="n">
        <f aca="false">L235-M235</f>
        <v>0.0457749486238221</v>
      </c>
      <c r="O235" s="42" t="n">
        <f aca="false">IF(H235&gt;H234,1,0)</f>
        <v>1</v>
      </c>
      <c r="P235" s="42" t="n">
        <f aca="false">IF(H235&lt;H234,1,0)</f>
        <v>0</v>
      </c>
      <c r="Q235" s="42" t="n">
        <f aca="false">IF(N235&gt;N234,1,0)</f>
        <v>1</v>
      </c>
      <c r="R235" s="42" t="n">
        <f aca="false">IF(N235&lt;N234,1,0)</f>
        <v>0</v>
      </c>
      <c r="S235" s="42" t="n">
        <f aca="false">IF(AND(O235=1,Q235=1),1,IF(AND(P235=1,R235=1),-1,0))</f>
        <v>1</v>
      </c>
      <c r="T235" s="43" t="str">
        <f aca="false">IF(S235=1,"绿",IF(S235=-1,"红","蓝"))</f>
        <v>绿</v>
      </c>
      <c r="U235" s="44" t="n">
        <f aca="false">F235*(E235-E234)</f>
        <v>651639.999999997</v>
      </c>
      <c r="V235" s="44" t="n">
        <f aca="false">2/(p_FiS+1)*U235+(1-2/(p_FiS+1))*V234</f>
        <v>1116295.76037678</v>
      </c>
      <c r="W235" s="44" t="n">
        <f aca="false">2/(p_FiL+1)*U235+(1-2/(p_FiL+1))*W234</f>
        <v>736697.044955366</v>
      </c>
      <c r="X235" s="41" t="n">
        <f aca="false">MAX(C235-D235,ABS(C235-E234),ABS(D235-E234))</f>
        <v>0.539999999999999</v>
      </c>
      <c r="Y235" s="41" t="n">
        <f aca="true">AVERAGE(OFFSET(X235,1-MIN(p_AtrN,ROW()-4),0,MIN(p_AtrN,ROW()-4),1))</f>
        <v>0.666923076923077</v>
      </c>
      <c r="Z235" s="41" t="n">
        <f aca="false">IF(AND(C235-C234&gt;D234-D235,C235-C234&gt;0),C235-C234,0)</f>
        <v>0.16</v>
      </c>
      <c r="AA235" s="41" t="n">
        <f aca="false">IF(AND(D234-D235&gt;C235-C234,D234-D235&gt;0),D234-D235,0)</f>
        <v>0</v>
      </c>
      <c r="AB235" s="41" t="n">
        <f aca="false">2/(p_AdxN+1)*X235+(1-2/(p_AdxN+1))*AB234</f>
        <v>0.69506148335466</v>
      </c>
      <c r="AC235" s="41" t="n">
        <f aca="false">2/(p_AdxN+1)*Z235+(1-2/(p_AdxN+1))*AC234</f>
        <v>0.194622396541968</v>
      </c>
      <c r="AD235" s="41" t="n">
        <f aca="false">2/(p_AdxN+1)*AA235+(1-2/(p_AdxN+1))*AD234</f>
        <v>0.0367635676155146</v>
      </c>
      <c r="AE235" s="45" t="n">
        <f aca="false">100*AC235/AB235</f>
        <v>28.0007454308413</v>
      </c>
      <c r="AF235" s="45" t="n">
        <f aca="false">100*AD235/AB235</f>
        <v>5.28925404384057</v>
      </c>
      <c r="AG235" s="45" t="n">
        <f aca="false">IFERROR(100*ABS(AE235-AF235)/(AE235+AF235),0)</f>
        <v>68.2231653511246</v>
      </c>
      <c r="AH235" s="45" t="n">
        <f aca="false">2/(p_AdxN+1)*AG235+(1-2/(p_AdxN+1))*AH234</f>
        <v>41.2152907021145</v>
      </c>
      <c r="AI235" s="40" t="n">
        <f aca="false">I235*(1+p_ChPct)</f>
        <v>30.2392839233793</v>
      </c>
      <c r="AJ235" s="40" t="n">
        <f aca="false">I235*(1-p_ChPct)</f>
        <v>26.815968762242</v>
      </c>
      <c r="AK235" s="40" t="n">
        <f aca="false">I235+1*Y235</f>
        <v>29.1945494197337</v>
      </c>
      <c r="AL235" s="40" t="n">
        <f aca="false">I235+2*Y235</f>
        <v>29.8614724966568</v>
      </c>
      <c r="AM235" s="40" t="n">
        <f aca="false">I235+3*Y235</f>
        <v>30.5283955735799</v>
      </c>
      <c r="AN235" s="40" t="n">
        <f aca="false">I235-1*Y235</f>
        <v>27.8607032658876</v>
      </c>
      <c r="AO235" s="40" t="n">
        <f aca="false">I235-2*Y235</f>
        <v>27.1937801889645</v>
      </c>
      <c r="AP235" s="40" t="n">
        <f aca="false">I235-3*Y235</f>
        <v>26.5268571120414</v>
      </c>
      <c r="AQ235" s="40" t="n">
        <f aca="true">MAX(OFFSET(C235,1-MIN(p_StochN,ROW()-4),0,MIN(p_StochN,ROW()-4),1))</f>
        <v>30.23</v>
      </c>
      <c r="AR235" s="40" t="n">
        <f aca="true">MIN(OFFSET(D235,1-MIN(p_StochN,ROW()-4),0,MIN(p_StochN,ROW()-4),1))</f>
        <v>28.49</v>
      </c>
      <c r="AS235" s="45" t="n">
        <f aca="false">IF(AQ235=AR235,50,100*(E235-AR235)/(AQ235-AR235))</f>
        <v>95.4022988505746</v>
      </c>
      <c r="AT235" s="45" t="n">
        <f aca="true">AVERAGE(OFFSET(AS235,1-MIN(p_StochSm,ROW()-4),0,MIN(p_StochSm,ROW()-4),1))</f>
        <v>90.3809073164961</v>
      </c>
      <c r="AU235" s="45" t="n">
        <f aca="true">AVERAGE(OFFSET(AT235,1-MIN(p_StochSm,ROW()-4),0,MIN(p_StochSm,ROW()-4),1))</f>
        <v>73.7352493647224</v>
      </c>
      <c r="AV235" s="41" t="n">
        <f aca="false">MAX(0,H235-D235)</f>
        <v>0</v>
      </c>
      <c r="AW235" s="41" t="n">
        <f aca="true">IF(COUNTIF(OFFSET(AV235,1-MIN(p_PenLb,ROW()-4),0,MIN(p_PenLb,ROW()-4),1),"&gt;0")&gt;0,SUM(OFFSET(AV235,1-MIN(p_PenLb,ROW()-4),0,MIN(p_PenLb,ROW()-4),1))/COUNTIF(OFFSET(AV235,1-MIN(p_PenLb,ROW()-4),0,MIN(p_PenLb,ROW()-4),1),"&gt;0"),0.5*Y235)</f>
        <v>0.222464349897086</v>
      </c>
      <c r="AX235" s="41" t="n">
        <f aca="false">2*H235-H234</f>
        <v>29.2627020065702</v>
      </c>
      <c r="AY235" s="40" t="n">
        <f aca="false">ROUND(MAX(AX235-AW235,0.01),2)</f>
        <v>29.04</v>
      </c>
      <c r="AZ235" s="40" t="n">
        <f aca="true">IF(MIN(p_StopLb,ROW()-4)&lt;2,D235,SMALL(OFFSET(D235,1-MIN(p_StopLb,ROW()-4),0,MIN(p_StopLb,ROW()-4),1),2))</f>
        <v>28.04</v>
      </c>
      <c r="BA235" s="40" t="n">
        <f aca="false">IF(MOD(ROUND(ROUNDDOWN(MIN(AZ235-0.01,AY235-p_StopAtr*Y235),2)*100,0),50)=0,ROUNDDOWN(MIN(AZ235-0.01,AY235-p_StopAtr*Y235),2)-0.01,ROUNDDOWN(MIN(AZ235-0.01,AY235-p_StopAtr*Y235),2))</f>
        <v>28.03</v>
      </c>
      <c r="BB235" s="40" t="n">
        <f aca="false">ROUND(AI235,2)</f>
        <v>30.24</v>
      </c>
      <c r="BC235" s="40" t="n">
        <f aca="false">IF(AY235-BA235&gt;0,(BB235-AY235)/(AY235-BA235),0)</f>
        <v>1.18811881188119</v>
      </c>
      <c r="BD235" s="42" t="n">
        <f aca="false">IF(N235&lt;0,1,0)</f>
        <v>0</v>
      </c>
      <c r="BE235" s="41" t="n">
        <f aca="false">IF(AND(BD235=1,BD234=0),N235,IF(BD235=1,MIN(BE234,N235),BE234))</f>
        <v>-0.153190541609803</v>
      </c>
      <c r="BF235" s="40" t="n">
        <f aca="false">IF(AND(BD235=1,BD234=0),D235,IF(BD235=1,MIN(BF234,D235),BF234))</f>
        <v>27.9</v>
      </c>
      <c r="BG235" s="42" t="n">
        <f aca="false">IF(AND(BD235=1,BD234=0),ROW(),IF(BD235=1,IF(N235&lt;BE234,ROW(),BG234),BG234))</f>
        <v>226</v>
      </c>
      <c r="BH235" s="41" t="n">
        <f aca="false">IF(AND(BD235=1,BD234=0),BE234,BH234)</f>
        <v>-0.0514032452662709</v>
      </c>
      <c r="BI235" s="40" t="n">
        <f aca="false">IF(AND(BD235=1,BD234=0),BF234,BI234)</f>
        <v>26.79</v>
      </c>
      <c r="BJ235" s="42" t="n">
        <f aca="false">IF(AND(BD235=1,BD234=0),BG234,BJ234)</f>
        <v>213</v>
      </c>
      <c r="BK235" s="42" t="n">
        <f aca="false">IF(AND(ISNUMBER(BG235),ISNUMBER(BJ235)),BG235-BJ235,"")</f>
        <v>13</v>
      </c>
      <c r="BL235" s="42" t="n">
        <f aca="false">IF(AND(BD235=1,N235&gt;N234,ISNUMBER(BH235),ISNUMBER(BK235)),IF(AND(BE235&gt;BH235,BF235&lt;BI235,BK235&gt;=p_GapMin,BK235&lt;=p_GapMax),1,0),0)</f>
        <v>0</v>
      </c>
      <c r="BM235" s="42" t="n">
        <f aca="false">IF(AND(BL235=1,E235&gt;BI235),1,0)</f>
        <v>0</v>
      </c>
      <c r="BN235" s="42" t="n">
        <f aca="false">IF(BL235=1,IF(BE235&gt;=BH235*0.5,1,0),0)</f>
        <v>0</v>
      </c>
      <c r="BO235" s="42" t="n">
        <f aca="true">IF(V235&gt;MIN(OFFSET(V235,-MIN(p_FiLb-1,ROW()-5),0,MIN(p_FiLb-1,ROW()-5),1)),1,0)</f>
        <v>1</v>
      </c>
      <c r="BP235" s="44" t="n">
        <f aca="true">IF(COUNTIF(OFFSET(V235,1-MIN(100,ROW()-4),0,MIN(100,ROW()-4),1),"&lt;0")&gt;=5,AVERAGEIF(OFFSET(V235,1-MIN(100,ROW()-4),0,MIN(100,ROW()-4),1),"&lt;0"),"")</f>
        <v>-766441.37488373</v>
      </c>
      <c r="BQ235" s="42" t="n">
        <f aca="false">IF(ISNUMBER(BP235),IF(AND(V235&lt;5*BP235,V235&gt;V234,E235&lt;AJ235),1,0),0)</f>
        <v>0</v>
      </c>
      <c r="BR235" s="44" t="n">
        <f aca="true">AVERAGE(OFFSET(F235,1-MIN(5,ROW()-4),0,MIN(5,ROW()-4),1))</f>
        <v>3665760</v>
      </c>
      <c r="BS235" s="42" t="n">
        <f aca="false">IFERROR(IF(MATCH(G235,周线!$A$5:$A$84,0)&lt;=1,"",INDEX(周线!$R$5:$R$84,MATCH(G235,周线!$A$5:$A$84,0)-1)),"")</f>
        <v>1</v>
      </c>
      <c r="BT235" s="42" t="n">
        <f aca="false">IFERROR(IF(MATCH(G235,周线!$A$5:$A$84,0)&lt;=1,"",INDEX(周线!$S$5:$S$84,MATCH(G235,周线!$A$5:$A$84,0)-1)),"")</f>
        <v>0</v>
      </c>
      <c r="BU235" s="42" t="n">
        <f aca="false">IFERROR(IF(MATCH(G235,周线!$A$5:$A$84,0)&lt;=1,"",INDEX(周线!$U$5:$U$84,MATCH(G235,周线!$A$5:$A$84,0)-1)),"")</f>
        <v>0</v>
      </c>
      <c r="BV235" s="42" t="n">
        <f aca="false">IF(AND(BS235=1,S235&lt;&gt;-1,V235&lt;0,BO235=1,E235&lt;=H235,E235&gt;=AJ235),1,0)</f>
        <v>0</v>
      </c>
      <c r="BW235" s="42" t="n">
        <f aca="false">BL235</f>
        <v>0</v>
      </c>
      <c r="BX235" s="42" t="n">
        <f aca="false">BQ235</f>
        <v>0</v>
      </c>
      <c r="BY235" s="42" t="n">
        <f aca="false">IF(BS235=1,10,0)+IF(BU235=1,5,IF(BU235=-1,0,3))+IF(BT235=1,5,0)+IF(AND(AE235&gt;AF235,AH235&gt;AH234),5,0)</f>
        <v>18</v>
      </c>
      <c r="BZ235" s="42" t="n">
        <f aca="false">IF(AND(E235&lt;=H235,E235&gt;=I235),10,IF(AND(E235&gt;=AJ235,E235&lt;I235),6,0))+IF(AND(V235&lt;0,BO235=1),8,0)+IF(AT235&lt;30,7,IF(AT235&lt;50,3,0))</f>
        <v>0</v>
      </c>
      <c r="CA235" s="42" t="n">
        <f aca="false">IF(AND(BV235=1,BW235=1),25,IF(BW235=1,22,IF(BV235=1,15,IF(BX235=1,12,0))))</f>
        <v>0</v>
      </c>
      <c r="CB235" s="42" t="n">
        <f aca="false">IF(W235&gt;0,6,0)+IF(F235&lt;BR235,4,0)</f>
        <v>10</v>
      </c>
      <c r="CC235" s="42" t="n">
        <f aca="false">IF(BC235&gt;=3,15,IF(BC235&gt;=p_RRmin,10,IF(BC235&gt;=1.5,4,0)))</f>
        <v>0</v>
      </c>
      <c r="CD235" s="42" t="n">
        <f aca="false">BY235+BZ235+CA235+CB235+CC235</f>
        <v>28</v>
      </c>
      <c r="CE235" s="42" t="n">
        <f aca="false">IF(AND(BS235&lt;&gt;1,BW235+BX235=0),1,0)</f>
        <v>0</v>
      </c>
      <c r="CF235" s="42" t="n">
        <f aca="false">IF(BU235=-1,1,0)</f>
        <v>0</v>
      </c>
      <c r="CG235" s="42" t="n">
        <f aca="false">IF(S235=-1,1,0)</f>
        <v>0</v>
      </c>
      <c r="CH235" s="42" t="n">
        <f aca="false">IF(BV235+BW235+BX235=0,1,0)</f>
        <v>1</v>
      </c>
      <c r="CI235" s="42" t="n">
        <f aca="false">IF(BC235&lt;p_RRmin,1,0)</f>
        <v>1</v>
      </c>
      <c r="CJ235" s="46" t="str">
        <f aca="false">IF(SUM(CE235:CI235)=0,IF(CD235&gt;=p_GradeA,"A",IF(CD235&gt;=p_GradeB,"B","C")),IF(AND(CI235=1,SUM(CE235:CH235)=0,CD235&gt;=p_GradeB),"B","C"))</f>
        <v>C</v>
      </c>
    </row>
    <row r="236" customFormat="false" ht="15" hidden="false" customHeight="false" outlineLevel="0" collapsed="false">
      <c r="A236" s="36" t="n">
        <v>45982</v>
      </c>
      <c r="B236" s="37" t="n">
        <v>30.08</v>
      </c>
      <c r="C236" s="37" t="n">
        <v>30.52</v>
      </c>
      <c r="D236" s="37" t="n">
        <v>30.02</v>
      </c>
      <c r="E236" s="37" t="n">
        <v>30.32</v>
      </c>
      <c r="F236" s="38" t="n">
        <v>4089600</v>
      </c>
      <c r="G236" s="39" t="n">
        <f aca="false">A236-WEEKDAY(A236,3)</f>
        <v>45978</v>
      </c>
      <c r="H236" s="40" t="n">
        <f aca="false">2/(p_EmaF+1)*E236+(1-2/(p_EmaF+1))*H235</f>
        <v>29.2616363496151</v>
      </c>
      <c r="I236" s="40" t="n">
        <f aca="false">2/(p_EmaS+1)*E236+(1-2/(p_EmaS+1))*I235</f>
        <v>28.6603947618617</v>
      </c>
      <c r="J236" s="41" t="n">
        <f aca="false">2/(p_MacdF+1)*E236+(1-2/(p_MacdF+1))*J235</f>
        <v>29.3131557654761</v>
      </c>
      <c r="K236" s="41" t="n">
        <f aca="false">2/(p_MacdS+1)*E236+(1-2/(p_MacdS+1))*K235</f>
        <v>28.6603947618617</v>
      </c>
      <c r="L236" s="41" t="n">
        <f aca="false">J236-K236</f>
        <v>0.652761003614376</v>
      </c>
      <c r="M236" s="41" t="n">
        <f aca="false">2/(p_MacdSig+1)*L236+(1-2/(p_MacdSig+1))*M235</f>
        <v>0.575905709479967</v>
      </c>
      <c r="N236" s="41" t="n">
        <f aca="false">L236-M236</f>
        <v>0.0768552941344092</v>
      </c>
      <c r="O236" s="42" t="n">
        <f aca="false">IF(H236&gt;H235,1,0)</f>
        <v>1</v>
      </c>
      <c r="P236" s="42" t="n">
        <f aca="false">IF(H236&lt;H235,1,0)</f>
        <v>0</v>
      </c>
      <c r="Q236" s="42" t="n">
        <f aca="false">IF(N236&gt;N235,1,0)</f>
        <v>1</v>
      </c>
      <c r="R236" s="42" t="n">
        <f aca="false">IF(N236&lt;N235,1,0)</f>
        <v>0</v>
      </c>
      <c r="S236" s="42" t="n">
        <f aca="false">IF(AND(O236=1,Q236=1),1,IF(AND(P236=1,R236=1),-1,0))</f>
        <v>1</v>
      </c>
      <c r="T236" s="43" t="str">
        <f aca="false">IF(S236=1,"绿",IF(S236=-1,"红","蓝"))</f>
        <v>绿</v>
      </c>
      <c r="U236" s="44" t="n">
        <f aca="false">F236*(E236-E235)</f>
        <v>695232.000000007</v>
      </c>
      <c r="V236" s="44" t="n">
        <f aca="false">2/(p_FiS+1)*U236+(1-2/(p_FiS+1))*V235</f>
        <v>835586.586792265</v>
      </c>
      <c r="W236" s="44" t="n">
        <f aca="false">2/(p_FiL+1)*U236+(1-2/(p_FiL+1))*W235</f>
        <v>730773.467104601</v>
      </c>
      <c r="X236" s="41" t="n">
        <f aca="false">MAX(C236-D236,ABS(C236-E235),ABS(D236-E235))</f>
        <v>0.5</v>
      </c>
      <c r="Y236" s="41" t="n">
        <f aca="true">AVERAGE(OFFSET(X236,1-MIN(p_AtrN,ROW()-4),0,MIN(p_AtrN,ROW()-4),1))</f>
        <v>0.66</v>
      </c>
      <c r="Z236" s="41" t="n">
        <f aca="false">IF(AND(C236-C235&gt;D235-D236,C236-C235&gt;0),C236-C235,0)</f>
        <v>0.289999999999999</v>
      </c>
      <c r="AA236" s="41" t="n">
        <f aca="false">IF(AND(D235-D236&gt;C236-C235,D235-D236&gt;0),D235-D236,0)</f>
        <v>0</v>
      </c>
      <c r="AB236" s="41" t="n">
        <f aca="false">2/(p_AdxN+1)*X236+(1-2/(p_AdxN+1))*AB235</f>
        <v>0.667195557161137</v>
      </c>
      <c r="AC236" s="41" t="n">
        <f aca="false">2/(p_AdxN+1)*Z236+(1-2/(p_AdxN+1))*AC235</f>
        <v>0.208247768464544</v>
      </c>
      <c r="AD236" s="41" t="n">
        <f aca="false">2/(p_AdxN+1)*AA236+(1-2/(p_AdxN+1))*AD235</f>
        <v>0.0315116293847268</v>
      </c>
      <c r="AE236" s="45" t="n">
        <f aca="false">100*AC236/AB236</f>
        <v>31.2124033545159</v>
      </c>
      <c r="AF236" s="45" t="n">
        <f aca="false">100*AD236/AB236</f>
        <v>4.72299748499619</v>
      </c>
      <c r="AG236" s="45" t="n">
        <f aca="false">IFERROR(100*ABS(AE236-AF236)/(AE236+AF236),0)</f>
        <v>73.7139568522463</v>
      </c>
      <c r="AH236" s="45" t="n">
        <f aca="false">2/(p_AdxN+1)*AG236+(1-2/(p_AdxN+1))*AH235</f>
        <v>45.8579572949905</v>
      </c>
      <c r="AI236" s="40" t="n">
        <f aca="false">I236*(1+p_ChPct)</f>
        <v>30.3800184475734</v>
      </c>
      <c r="AJ236" s="40" t="n">
        <f aca="false">I236*(1-p_ChPct)</f>
        <v>26.94077107615</v>
      </c>
      <c r="AK236" s="40" t="n">
        <f aca="false">I236+1*Y236</f>
        <v>29.3203947618617</v>
      </c>
      <c r="AL236" s="40" t="n">
        <f aca="false">I236+2*Y236</f>
        <v>29.9803947618617</v>
      </c>
      <c r="AM236" s="40" t="n">
        <f aca="false">I236+3*Y236</f>
        <v>30.6403947618617</v>
      </c>
      <c r="AN236" s="40" t="n">
        <f aca="false">I236-1*Y236</f>
        <v>28.0003947618617</v>
      </c>
      <c r="AO236" s="40" t="n">
        <f aca="false">I236-2*Y236</f>
        <v>27.3403947618617</v>
      </c>
      <c r="AP236" s="40" t="n">
        <f aca="false">I236-3*Y236</f>
        <v>26.6803947618617</v>
      </c>
      <c r="AQ236" s="40" t="n">
        <f aca="true">MAX(OFFSET(C236,1-MIN(p_StochN,ROW()-4),0,MIN(p_StochN,ROW()-4),1))</f>
        <v>30.52</v>
      </c>
      <c r="AR236" s="40" t="n">
        <f aca="true">MIN(OFFSET(D236,1-MIN(p_StochN,ROW()-4),0,MIN(p_StochN,ROW()-4),1))</f>
        <v>28.49</v>
      </c>
      <c r="AS236" s="45" t="n">
        <f aca="false">IF(AQ236=AR236,50,100*(E236-AR236)/(AQ236-AR236))</f>
        <v>90.1477832512316</v>
      </c>
      <c r="AT236" s="45" t="n">
        <f aca="true">AVERAGE(OFFSET(AS236,1-MIN(p_StochSm,ROW()-4),0,MIN(p_StochSm,ROW()-4),1))</f>
        <v>92.2483502184218</v>
      </c>
      <c r="AU236" s="45" t="n">
        <f aca="true">AVERAGE(OFFSET(AT236,1-MIN(p_StochSm,ROW()-4),0,MIN(p_StochSm,ROW()-4),1))</f>
        <v>83.6794861323163</v>
      </c>
      <c r="AV236" s="41" t="n">
        <f aca="false">MAX(0,H236-D236)</f>
        <v>0</v>
      </c>
      <c r="AW236" s="41" t="n">
        <f aca="true">IF(COUNTIF(OFFSET(AV236,1-MIN(p_PenLb,ROW()-4),0,MIN(p_PenLb,ROW()-4),1),"&gt;0")&gt;0,SUM(OFFSET(AV236,1-MIN(p_PenLb,ROW()-4),0,MIN(p_PenLb,ROW()-4),1))/COUNTIF(OFFSET(AV236,1-MIN(p_PenLb,ROW()-4),0,MIN(p_PenLb,ROW()-4),1),"&gt;0"),0.5*Y236)</f>
        <v>0.222464349897086</v>
      </c>
      <c r="AX236" s="41" t="n">
        <f aca="false">2*H236-H235</f>
        <v>29.4380302913459</v>
      </c>
      <c r="AY236" s="40" t="n">
        <f aca="false">ROUND(MAX(AX236-AW236,0.01),2)</f>
        <v>29.22</v>
      </c>
      <c r="AZ236" s="40" t="n">
        <f aca="true">IF(MIN(p_StopLb,ROW()-4)&lt;2,D236,SMALL(OFFSET(D236,1-MIN(p_StopLb,ROW()-4),0,MIN(p_StopLb,ROW()-4),1),2))</f>
        <v>28.47</v>
      </c>
      <c r="BA236" s="40" t="n">
        <f aca="false">IF(MOD(ROUND(ROUNDDOWN(MIN(AZ236-0.01,AY236-p_StopAtr*Y236),2)*100,0),50)=0,ROUNDDOWN(MIN(AZ236-0.01,AY236-p_StopAtr*Y236),2)-0.01,ROUNDDOWN(MIN(AZ236-0.01,AY236-p_StopAtr*Y236),2))</f>
        <v>28.46</v>
      </c>
      <c r="BB236" s="40" t="n">
        <f aca="false">ROUND(AI236,2)</f>
        <v>30.38</v>
      </c>
      <c r="BC236" s="40" t="n">
        <f aca="false">IF(AY236-BA236&gt;0,(BB236-AY236)/(AY236-BA236),0)</f>
        <v>1.52631578947369</v>
      </c>
      <c r="BD236" s="42" t="n">
        <f aca="false">IF(N236&lt;0,1,0)</f>
        <v>0</v>
      </c>
      <c r="BE236" s="41" t="n">
        <f aca="false">IF(AND(BD236=1,BD235=0),N236,IF(BD236=1,MIN(BE235,N236),BE235))</f>
        <v>-0.153190541609803</v>
      </c>
      <c r="BF236" s="40" t="n">
        <f aca="false">IF(AND(BD236=1,BD235=0),D236,IF(BD236=1,MIN(BF235,D236),BF235))</f>
        <v>27.9</v>
      </c>
      <c r="BG236" s="42" t="n">
        <f aca="false">IF(AND(BD236=1,BD235=0),ROW(),IF(BD236=1,IF(N236&lt;BE235,ROW(),BG235),BG235))</f>
        <v>226</v>
      </c>
      <c r="BH236" s="41" t="n">
        <f aca="false">IF(AND(BD236=1,BD235=0),BE235,BH235)</f>
        <v>-0.0514032452662709</v>
      </c>
      <c r="BI236" s="40" t="n">
        <f aca="false">IF(AND(BD236=1,BD235=0),BF235,BI235)</f>
        <v>26.79</v>
      </c>
      <c r="BJ236" s="42" t="n">
        <f aca="false">IF(AND(BD236=1,BD235=0),BG235,BJ235)</f>
        <v>213</v>
      </c>
      <c r="BK236" s="42" t="n">
        <f aca="false">IF(AND(ISNUMBER(BG236),ISNUMBER(BJ236)),BG236-BJ236,"")</f>
        <v>13</v>
      </c>
      <c r="BL236" s="42" t="n">
        <f aca="false">IF(AND(BD236=1,N236&gt;N235,ISNUMBER(BH236),ISNUMBER(BK236)),IF(AND(BE236&gt;BH236,BF236&lt;BI236,BK236&gt;=p_GapMin,BK236&lt;=p_GapMax),1,0),0)</f>
        <v>0</v>
      </c>
      <c r="BM236" s="42" t="n">
        <f aca="false">IF(AND(BL236=1,E236&gt;BI236),1,0)</f>
        <v>0</v>
      </c>
      <c r="BN236" s="42" t="n">
        <f aca="false">IF(BL236=1,IF(BE236&gt;=BH236*0.5,1,0),0)</f>
        <v>0</v>
      </c>
      <c r="BO236" s="42" t="n">
        <f aca="true">IF(V236&gt;MIN(OFFSET(V236,-MIN(p_FiLb-1,ROW()-5),0,MIN(p_FiLb-1,ROW()-5),1)),1,0)</f>
        <v>1</v>
      </c>
      <c r="BP236" s="44" t="n">
        <f aca="true">IF(COUNTIF(OFFSET(V236,1-MIN(100,ROW()-4),0,MIN(100,ROW()-4),1),"&lt;0")&gt;=5,AVERAGEIF(OFFSET(V236,1-MIN(100,ROW()-4),0,MIN(100,ROW()-4),1),"&lt;0"),"")</f>
        <v>-780447.534398982</v>
      </c>
      <c r="BQ236" s="42" t="n">
        <f aca="false">IF(ISNUMBER(BP236),IF(AND(V236&lt;5*BP236,V236&gt;V235,E236&lt;AJ236),1,0),0)</f>
        <v>0</v>
      </c>
      <c r="BR236" s="44" t="n">
        <f aca="true">AVERAGE(OFFSET(F236,1-MIN(5,ROW()-4),0,MIN(5,ROW()-4),1))</f>
        <v>3861040</v>
      </c>
      <c r="BS236" s="42" t="n">
        <f aca="false">IFERROR(IF(MATCH(G236,周线!$A$5:$A$84,0)&lt;=1,"",INDEX(周线!$R$5:$R$84,MATCH(G236,周线!$A$5:$A$84,0)-1)),"")</f>
        <v>1</v>
      </c>
      <c r="BT236" s="42" t="n">
        <f aca="false">IFERROR(IF(MATCH(G236,周线!$A$5:$A$84,0)&lt;=1,"",INDEX(周线!$S$5:$S$84,MATCH(G236,周线!$A$5:$A$84,0)-1)),"")</f>
        <v>0</v>
      </c>
      <c r="BU236" s="42" t="n">
        <f aca="false">IFERROR(IF(MATCH(G236,周线!$A$5:$A$84,0)&lt;=1,"",INDEX(周线!$U$5:$U$84,MATCH(G236,周线!$A$5:$A$84,0)-1)),"")</f>
        <v>0</v>
      </c>
      <c r="BV236" s="42" t="n">
        <f aca="false">IF(AND(BS236=1,S236&lt;&gt;-1,V236&lt;0,BO236=1,E236&lt;=H236,E236&gt;=AJ236),1,0)</f>
        <v>0</v>
      </c>
      <c r="BW236" s="42" t="n">
        <f aca="false">BL236</f>
        <v>0</v>
      </c>
      <c r="BX236" s="42" t="n">
        <f aca="false">BQ236</f>
        <v>0</v>
      </c>
      <c r="BY236" s="42" t="n">
        <f aca="false">IF(BS236=1,10,0)+IF(BU236=1,5,IF(BU236=-1,0,3))+IF(BT236=1,5,0)+IF(AND(AE236&gt;AF236,AH236&gt;AH235),5,0)</f>
        <v>18</v>
      </c>
      <c r="BZ236" s="42" t="n">
        <f aca="false">IF(AND(E236&lt;=H236,E236&gt;=I236),10,IF(AND(E236&gt;=AJ236,E236&lt;I236),6,0))+IF(AND(V236&lt;0,BO236=1),8,0)+IF(AT236&lt;30,7,IF(AT236&lt;50,3,0))</f>
        <v>0</v>
      </c>
      <c r="CA236" s="42" t="n">
        <f aca="false">IF(AND(BV236=1,BW236=1),25,IF(BW236=1,22,IF(BV236=1,15,IF(BX236=1,12,0))))</f>
        <v>0</v>
      </c>
      <c r="CB236" s="42" t="n">
        <f aca="false">IF(W236&gt;0,6,0)+IF(F236&lt;BR236,4,0)</f>
        <v>6</v>
      </c>
      <c r="CC236" s="42" t="n">
        <f aca="false">IF(BC236&gt;=3,15,IF(BC236&gt;=p_RRmin,10,IF(BC236&gt;=1.5,4,0)))</f>
        <v>4</v>
      </c>
      <c r="CD236" s="42" t="n">
        <f aca="false">BY236+BZ236+CA236+CB236+CC236</f>
        <v>28</v>
      </c>
      <c r="CE236" s="42" t="n">
        <f aca="false">IF(AND(BS236&lt;&gt;1,BW236+BX236=0),1,0)</f>
        <v>0</v>
      </c>
      <c r="CF236" s="42" t="n">
        <f aca="false">IF(BU236=-1,1,0)</f>
        <v>0</v>
      </c>
      <c r="CG236" s="42" t="n">
        <f aca="false">IF(S236=-1,1,0)</f>
        <v>0</v>
      </c>
      <c r="CH236" s="42" t="n">
        <f aca="false">IF(BV236+BW236+BX236=0,1,0)</f>
        <v>1</v>
      </c>
      <c r="CI236" s="42" t="n">
        <f aca="false">IF(BC236&lt;p_RRmin,1,0)</f>
        <v>1</v>
      </c>
      <c r="CJ236" s="46" t="str">
        <f aca="false">IF(SUM(CE236:CI236)=0,IF(CD236&gt;=p_GradeA,"A",IF(CD236&gt;=p_GradeB,"B","C")),IF(AND(CI236=1,SUM(CE236:CH236)=0,CD236&gt;=p_GradeB),"B","C"))</f>
        <v>C</v>
      </c>
    </row>
    <row r="237" customFormat="false" ht="15" hidden="false" customHeight="false" outlineLevel="0" collapsed="false">
      <c r="A237" s="36" t="n">
        <v>45985</v>
      </c>
      <c r="B237" s="37" t="n">
        <v>30.42</v>
      </c>
      <c r="C237" s="37" t="n">
        <v>31.48</v>
      </c>
      <c r="D237" s="37" t="n">
        <v>30.29</v>
      </c>
      <c r="E237" s="37" t="n">
        <v>31.33</v>
      </c>
      <c r="F237" s="38" t="n">
        <v>5025200</v>
      </c>
      <c r="G237" s="39" t="n">
        <f aca="false">A237-WEEKDAY(A237,3)</f>
        <v>45985</v>
      </c>
      <c r="H237" s="40" t="n">
        <f aca="false">2/(p_EmaF+1)*E237+(1-2/(p_EmaF+1))*H236</f>
        <v>29.5571168710986</v>
      </c>
      <c r="I237" s="40" t="n">
        <f aca="false">2/(p_EmaS+1)*E237+(1-2/(p_EmaS+1))*I236</f>
        <v>28.8581432980201</v>
      </c>
      <c r="J237" s="41" t="n">
        <f aca="false">2/(p_MacdF+1)*E237+(1-2/(p_MacdF+1))*J236</f>
        <v>29.6234394938644</v>
      </c>
      <c r="K237" s="41" t="n">
        <f aca="false">2/(p_MacdS+1)*E237+(1-2/(p_MacdS+1))*K236</f>
        <v>28.8581432980201</v>
      </c>
      <c r="L237" s="41" t="n">
        <f aca="false">J237-K237</f>
        <v>0.765296195844279</v>
      </c>
      <c r="M237" s="41" t="n">
        <f aca="false">2/(p_MacdSig+1)*L237+(1-2/(p_MacdSig+1))*M236</f>
        <v>0.61378380675283</v>
      </c>
      <c r="N237" s="41" t="n">
        <f aca="false">L237-M237</f>
        <v>0.151512389091449</v>
      </c>
      <c r="O237" s="42" t="n">
        <f aca="false">IF(H237&gt;H236,1,0)</f>
        <v>1</v>
      </c>
      <c r="P237" s="42" t="n">
        <f aca="false">IF(H237&lt;H236,1,0)</f>
        <v>0</v>
      </c>
      <c r="Q237" s="42" t="n">
        <f aca="false">IF(N237&gt;N236,1,0)</f>
        <v>1</v>
      </c>
      <c r="R237" s="42" t="n">
        <f aca="false">IF(N237&lt;N236,1,0)</f>
        <v>0</v>
      </c>
      <c r="S237" s="42" t="n">
        <f aca="false">IF(AND(O237=1,Q237=1),1,IF(AND(P237=1,R237=1),-1,0))</f>
        <v>1</v>
      </c>
      <c r="T237" s="43" t="str">
        <f aca="false">IF(S237=1,"绿",IF(S237=-1,"红","蓝"))</f>
        <v>绿</v>
      </c>
      <c r="U237" s="44" t="n">
        <f aca="false">F237*(E237-E236)</f>
        <v>5075451.99999999</v>
      </c>
      <c r="V237" s="44" t="n">
        <f aca="false">2/(p_FiS+1)*U237+(1-2/(p_FiS+1))*V236</f>
        <v>3662163.52893075</v>
      </c>
      <c r="W237" s="44" t="n">
        <f aca="false">2/(p_FiL+1)*U237+(1-2/(p_FiL+1))*W236</f>
        <v>1351441.8289468</v>
      </c>
      <c r="X237" s="41" t="n">
        <f aca="false">MAX(C237-D237,ABS(C237-E236),ABS(D237-E236))</f>
        <v>1.19</v>
      </c>
      <c r="Y237" s="41" t="n">
        <f aca="true">AVERAGE(OFFSET(X237,1-MIN(p_AtrN,ROW()-4),0,MIN(p_AtrN,ROW()-4),1))</f>
        <v>0.682307692307692</v>
      </c>
      <c r="Z237" s="41" t="n">
        <f aca="false">IF(AND(C237-C236&gt;D236-D237,C237-C236&gt;0),C237-C236,0)</f>
        <v>0.960000000000001</v>
      </c>
      <c r="AA237" s="41" t="n">
        <f aca="false">IF(AND(D236-D237&gt;C237-C236,D236-D237&gt;0),D236-D237,0)</f>
        <v>0</v>
      </c>
      <c r="AB237" s="41" t="n">
        <f aca="false">2/(p_AdxN+1)*X237+(1-2/(p_AdxN+1))*AB236</f>
        <v>0.741881906138117</v>
      </c>
      <c r="AC237" s="41" t="n">
        <f aca="false">2/(p_AdxN+1)*Z237+(1-2/(p_AdxN+1))*AC236</f>
        <v>0.31564094439818</v>
      </c>
      <c r="AD237" s="41" t="n">
        <f aca="false">2/(p_AdxN+1)*AA237+(1-2/(p_AdxN+1))*AD236</f>
        <v>0.0270099680440515</v>
      </c>
      <c r="AE237" s="45" t="n">
        <f aca="false">100*AC237/AB237</f>
        <v>42.5459822899922</v>
      </c>
      <c r="AF237" s="45" t="n">
        <f aca="false">100*AD237/AB237</f>
        <v>3.64073686399127</v>
      </c>
      <c r="AG237" s="45" t="n">
        <f aca="false">IFERROR(100*ABS(AE237-AF237)/(AE237+AF237),0)</f>
        <v>84.2347023963608</v>
      </c>
      <c r="AH237" s="45" t="n">
        <f aca="false">2/(p_AdxN+1)*AG237+(1-2/(p_AdxN+1))*AH236</f>
        <v>51.3403494523291</v>
      </c>
      <c r="AI237" s="40" t="n">
        <f aca="false">I237*(1+p_ChPct)</f>
        <v>30.5896318959013</v>
      </c>
      <c r="AJ237" s="40" t="n">
        <f aca="false">I237*(1-p_ChPct)</f>
        <v>27.1266547001389</v>
      </c>
      <c r="AK237" s="40" t="n">
        <f aca="false">I237+1*Y237</f>
        <v>29.5404509903278</v>
      </c>
      <c r="AL237" s="40" t="n">
        <f aca="false">I237+2*Y237</f>
        <v>30.2227586826355</v>
      </c>
      <c r="AM237" s="40" t="n">
        <f aca="false">I237+3*Y237</f>
        <v>30.9050663749432</v>
      </c>
      <c r="AN237" s="40" t="n">
        <f aca="false">I237-1*Y237</f>
        <v>28.1758356057124</v>
      </c>
      <c r="AO237" s="40" t="n">
        <f aca="false">I237-2*Y237</f>
        <v>27.4935279134047</v>
      </c>
      <c r="AP237" s="40" t="n">
        <f aca="false">I237-3*Y237</f>
        <v>26.811220221097</v>
      </c>
      <c r="AQ237" s="40" t="n">
        <f aca="true">MAX(OFFSET(C237,1-MIN(p_StochN,ROW()-4),0,MIN(p_StochN,ROW()-4),1))</f>
        <v>31.48</v>
      </c>
      <c r="AR237" s="40" t="n">
        <f aca="true">MIN(OFFSET(D237,1-MIN(p_StochN,ROW()-4),0,MIN(p_StochN,ROW()-4),1))</f>
        <v>28.49</v>
      </c>
      <c r="AS237" s="45" t="n">
        <f aca="false">IF(AQ237=AR237,50,100*(E237-AR237)/(AQ237-AR237))</f>
        <v>94.9832775919732</v>
      </c>
      <c r="AT237" s="45" t="n">
        <f aca="true">AVERAGE(OFFSET(AS237,1-MIN(p_StochSm,ROW()-4),0,MIN(p_StochSm,ROW()-4),1))</f>
        <v>93.5111198979265</v>
      </c>
      <c r="AU237" s="45" t="n">
        <f aca="true">AVERAGE(OFFSET(AT237,1-MIN(p_StochSm,ROW()-4),0,MIN(p_StochSm,ROW()-4),1))</f>
        <v>92.0467924776148</v>
      </c>
      <c r="AV237" s="41" t="n">
        <f aca="false">MAX(0,H237-D237)</f>
        <v>0</v>
      </c>
      <c r="AW237" s="41" t="n">
        <f aca="true">IF(COUNTIF(OFFSET(AV237,1-MIN(p_PenLb,ROW()-4),0,MIN(p_PenLb,ROW()-4),1),"&gt;0")&gt;0,SUM(OFFSET(AV237,1-MIN(p_PenLb,ROW()-4),0,MIN(p_PenLb,ROW()-4),1))/COUNTIF(OFFSET(AV237,1-MIN(p_PenLb,ROW()-4),0,MIN(p_PenLb,ROW()-4),1),"&gt;0"),0.5*Y237)</f>
        <v>0.222464349897086</v>
      </c>
      <c r="AX237" s="41" t="n">
        <f aca="false">2*H237-H236</f>
        <v>29.8525973925822</v>
      </c>
      <c r="AY237" s="40" t="n">
        <f aca="false">ROUND(MAX(AX237-AW237,0.01),2)</f>
        <v>29.63</v>
      </c>
      <c r="AZ237" s="40" t="n">
        <f aca="true">IF(MIN(p_StopLb,ROW()-4)&lt;2,D237,SMALL(OFFSET(D237,1-MIN(p_StopLb,ROW()-4),0,MIN(p_StopLb,ROW()-4),1),2))</f>
        <v>28.48</v>
      </c>
      <c r="BA237" s="40" t="n">
        <f aca="false">IF(MOD(ROUND(ROUNDDOWN(MIN(AZ237-0.01,AY237-p_StopAtr*Y237),2)*100,0),50)=0,ROUNDDOWN(MIN(AZ237-0.01,AY237-p_StopAtr*Y237),2)-0.01,ROUNDDOWN(MIN(AZ237-0.01,AY237-p_StopAtr*Y237),2))</f>
        <v>28.47</v>
      </c>
      <c r="BB237" s="40" t="n">
        <f aca="false">ROUND(AI237,2)</f>
        <v>30.59</v>
      </c>
      <c r="BC237" s="40" t="n">
        <f aca="false">IF(AY237-BA237&gt;0,(BB237-AY237)/(AY237-BA237),0)</f>
        <v>0.827586206896552</v>
      </c>
      <c r="BD237" s="42" t="n">
        <f aca="false">IF(N237&lt;0,1,0)</f>
        <v>0</v>
      </c>
      <c r="BE237" s="41" t="n">
        <f aca="false">IF(AND(BD237=1,BD236=0),N237,IF(BD237=1,MIN(BE236,N237),BE236))</f>
        <v>-0.153190541609803</v>
      </c>
      <c r="BF237" s="40" t="n">
        <f aca="false">IF(AND(BD237=1,BD236=0),D237,IF(BD237=1,MIN(BF236,D237),BF236))</f>
        <v>27.9</v>
      </c>
      <c r="BG237" s="42" t="n">
        <f aca="false">IF(AND(BD237=1,BD236=0),ROW(),IF(BD237=1,IF(N237&lt;BE236,ROW(),BG236),BG236))</f>
        <v>226</v>
      </c>
      <c r="BH237" s="41" t="n">
        <f aca="false">IF(AND(BD237=1,BD236=0),BE236,BH236)</f>
        <v>-0.0514032452662709</v>
      </c>
      <c r="BI237" s="40" t="n">
        <f aca="false">IF(AND(BD237=1,BD236=0),BF236,BI236)</f>
        <v>26.79</v>
      </c>
      <c r="BJ237" s="42" t="n">
        <f aca="false">IF(AND(BD237=1,BD236=0),BG236,BJ236)</f>
        <v>213</v>
      </c>
      <c r="BK237" s="42" t="n">
        <f aca="false">IF(AND(ISNUMBER(BG237),ISNUMBER(BJ237)),BG237-BJ237,"")</f>
        <v>13</v>
      </c>
      <c r="BL237" s="42" t="n">
        <f aca="false">IF(AND(BD237=1,N237&gt;N236,ISNUMBER(BH237),ISNUMBER(BK237)),IF(AND(BE237&gt;BH237,BF237&lt;BI237,BK237&gt;=p_GapMin,BK237&lt;=p_GapMax),1,0),0)</f>
        <v>0</v>
      </c>
      <c r="BM237" s="42" t="n">
        <f aca="false">IF(AND(BL237=1,E237&gt;BI237),1,0)</f>
        <v>0</v>
      </c>
      <c r="BN237" s="42" t="n">
        <f aca="false">IF(BL237=1,IF(BE237&gt;=BH237*0.5,1,0),0)</f>
        <v>0</v>
      </c>
      <c r="BO237" s="42" t="n">
        <f aca="true">IF(V237&gt;MIN(OFFSET(V237,-MIN(p_FiLb-1,ROW()-5),0,MIN(p_FiLb-1,ROW()-5),1)),1,0)</f>
        <v>1</v>
      </c>
      <c r="BP237" s="44" t="n">
        <f aca="true">IF(COUNTIF(OFFSET(V237,1-MIN(100,ROW()-4),0,MIN(100,ROW()-4),1),"&lt;0")&gt;=5,AVERAGEIF(OFFSET(V237,1-MIN(100,ROW()-4),0,MIN(100,ROW()-4),1),"&lt;0"),"")</f>
        <v>-780447.534398982</v>
      </c>
      <c r="BQ237" s="42" t="n">
        <f aca="false">IF(ISNUMBER(BP237),IF(AND(V237&lt;5*BP237,V237&gt;V236,E237&lt;AJ237),1,0),0)</f>
        <v>0</v>
      </c>
      <c r="BR237" s="44" t="n">
        <f aca="true">AVERAGE(OFFSET(F237,1-MIN(5,ROW()-4),0,MIN(5,ROW()-4),1))</f>
        <v>4023600</v>
      </c>
      <c r="BS237" s="42" t="n">
        <f aca="false">IFERROR(IF(MATCH(G237,周线!$A$5:$A$84,0)&lt;=1,"",INDEX(周线!$R$5:$R$84,MATCH(G237,周线!$A$5:$A$84,0)-1)),"")</f>
        <v>1</v>
      </c>
      <c r="BT237" s="42" t="n">
        <f aca="false">IFERROR(IF(MATCH(G237,周线!$A$5:$A$84,0)&lt;=1,"",INDEX(周线!$S$5:$S$84,MATCH(G237,周线!$A$5:$A$84,0)-1)),"")</f>
        <v>1</v>
      </c>
      <c r="BU237" s="42" t="n">
        <f aca="false">IFERROR(IF(MATCH(G237,周线!$A$5:$A$84,0)&lt;=1,"",INDEX(周线!$U$5:$U$84,MATCH(G237,周线!$A$5:$A$84,0)-1)),"")</f>
        <v>1</v>
      </c>
      <c r="BV237" s="42" t="n">
        <f aca="false">IF(AND(BS237=1,S237&lt;&gt;-1,V237&lt;0,BO237=1,E237&lt;=H237,E237&gt;=AJ237),1,0)</f>
        <v>0</v>
      </c>
      <c r="BW237" s="42" t="n">
        <f aca="false">BL237</f>
        <v>0</v>
      </c>
      <c r="BX237" s="42" t="n">
        <f aca="false">BQ237</f>
        <v>0</v>
      </c>
      <c r="BY237" s="42" t="n">
        <f aca="false">IF(BS237=1,10,0)+IF(BU237=1,5,IF(BU237=-1,0,3))+IF(BT237=1,5,0)+IF(AND(AE237&gt;AF237,AH237&gt;AH236),5,0)</f>
        <v>25</v>
      </c>
      <c r="BZ237" s="42" t="n">
        <f aca="false">IF(AND(E237&lt;=H237,E237&gt;=I237),10,IF(AND(E237&gt;=AJ237,E237&lt;I237),6,0))+IF(AND(V237&lt;0,BO237=1),8,0)+IF(AT237&lt;30,7,IF(AT237&lt;50,3,0))</f>
        <v>0</v>
      </c>
      <c r="CA237" s="42" t="n">
        <f aca="false">IF(AND(BV237=1,BW237=1),25,IF(BW237=1,22,IF(BV237=1,15,IF(BX237=1,12,0))))</f>
        <v>0</v>
      </c>
      <c r="CB237" s="42" t="n">
        <f aca="false">IF(W237&gt;0,6,0)+IF(F237&lt;BR237,4,0)</f>
        <v>6</v>
      </c>
      <c r="CC237" s="42" t="n">
        <f aca="false">IF(BC237&gt;=3,15,IF(BC237&gt;=p_RRmin,10,IF(BC237&gt;=1.5,4,0)))</f>
        <v>0</v>
      </c>
      <c r="CD237" s="42" t="n">
        <f aca="false">BY237+BZ237+CA237+CB237+CC237</f>
        <v>31</v>
      </c>
      <c r="CE237" s="42" t="n">
        <f aca="false">IF(AND(BS237&lt;&gt;1,BW237+BX237=0),1,0)</f>
        <v>0</v>
      </c>
      <c r="CF237" s="42" t="n">
        <f aca="false">IF(BU237=-1,1,0)</f>
        <v>0</v>
      </c>
      <c r="CG237" s="42" t="n">
        <f aca="false">IF(S237=-1,1,0)</f>
        <v>0</v>
      </c>
      <c r="CH237" s="42" t="n">
        <f aca="false">IF(BV237+BW237+BX237=0,1,0)</f>
        <v>1</v>
      </c>
      <c r="CI237" s="42" t="n">
        <f aca="false">IF(BC237&lt;p_RRmin,1,0)</f>
        <v>1</v>
      </c>
      <c r="CJ237" s="46" t="str">
        <f aca="false">IF(SUM(CE237:CI237)=0,IF(CD237&gt;=p_GradeA,"A",IF(CD237&gt;=p_GradeB,"B","C")),IF(AND(CI237=1,SUM(CE237:CH237)=0,CD237&gt;=p_GradeB),"B","C"))</f>
        <v>C</v>
      </c>
    </row>
    <row r="238" customFormat="false" ht="15" hidden="false" customHeight="false" outlineLevel="0" collapsed="false">
      <c r="A238" s="36" t="n">
        <v>45986</v>
      </c>
      <c r="B238" s="37" t="n">
        <v>31.3</v>
      </c>
      <c r="C238" s="37" t="n">
        <v>32.21</v>
      </c>
      <c r="D238" s="37" t="n">
        <v>31.19</v>
      </c>
      <c r="E238" s="37" t="n">
        <v>32.12</v>
      </c>
      <c r="F238" s="38" t="n">
        <v>4709300</v>
      </c>
      <c r="G238" s="39" t="n">
        <f aca="false">A238-WEEKDAY(A238,3)</f>
        <v>45985</v>
      </c>
      <c r="H238" s="40" t="n">
        <f aca="false">2/(p_EmaF+1)*E238+(1-2/(p_EmaF+1))*H237</f>
        <v>29.9232430323703</v>
      </c>
      <c r="I238" s="40" t="n">
        <f aca="false">2/(p_EmaS+1)*E238+(1-2/(p_EmaS+1))*I237</f>
        <v>29.0997623129816</v>
      </c>
      <c r="J238" s="41" t="n">
        <f aca="false">2/(p_MacdF+1)*E238+(1-2/(p_MacdF+1))*J237</f>
        <v>30.0075257255775</v>
      </c>
      <c r="K238" s="41" t="n">
        <f aca="false">2/(p_MacdS+1)*E238+(1-2/(p_MacdS+1))*K237</f>
        <v>29.0997623129816</v>
      </c>
      <c r="L238" s="41" t="n">
        <f aca="false">J238-K238</f>
        <v>0.90776341259598</v>
      </c>
      <c r="M238" s="41" t="n">
        <f aca="false">2/(p_MacdSig+1)*L238+(1-2/(p_MacdSig+1))*M237</f>
        <v>0.67257972792146</v>
      </c>
      <c r="N238" s="41" t="n">
        <f aca="false">L238-M238</f>
        <v>0.23518368467452</v>
      </c>
      <c r="O238" s="42" t="n">
        <f aca="false">IF(H238&gt;H237,1,0)</f>
        <v>1</v>
      </c>
      <c r="P238" s="42" t="n">
        <f aca="false">IF(H238&lt;H237,1,0)</f>
        <v>0</v>
      </c>
      <c r="Q238" s="42" t="n">
        <f aca="false">IF(N238&gt;N237,1,0)</f>
        <v>1</v>
      </c>
      <c r="R238" s="42" t="n">
        <f aca="false">IF(N238&lt;N237,1,0)</f>
        <v>0</v>
      </c>
      <c r="S238" s="42" t="n">
        <f aca="false">IF(AND(O238=1,Q238=1),1,IF(AND(P238=1,R238=1),-1,0))</f>
        <v>1</v>
      </c>
      <c r="T238" s="43" t="str">
        <f aca="false">IF(S238=1,"绿",IF(S238=-1,"红","蓝"))</f>
        <v>绿</v>
      </c>
      <c r="U238" s="44" t="n">
        <f aca="false">F238*(E238-E237)</f>
        <v>3720347</v>
      </c>
      <c r="V238" s="44" t="n">
        <f aca="false">2/(p_FiS+1)*U238+(1-2/(p_FiS+1))*V237</f>
        <v>3700952.50964358</v>
      </c>
      <c r="W238" s="44" t="n">
        <f aca="false">2/(p_FiL+1)*U238+(1-2/(p_FiL+1))*W237</f>
        <v>1689856.85338297</v>
      </c>
      <c r="X238" s="41" t="n">
        <f aca="false">MAX(C238-D238,ABS(C238-E237),ABS(D238-E237))</f>
        <v>1.02</v>
      </c>
      <c r="Y238" s="41" t="n">
        <f aca="true">AVERAGE(OFFSET(X238,1-MIN(p_AtrN,ROW()-4),0,MIN(p_AtrN,ROW()-4),1))</f>
        <v>0.71</v>
      </c>
      <c r="Z238" s="41" t="n">
        <f aca="false">IF(AND(C238-C237&gt;D237-D238,C238-C237&gt;0),C238-C237,0)</f>
        <v>0.73</v>
      </c>
      <c r="AA238" s="41" t="n">
        <f aca="false">IF(AND(D237-D238&gt;C238-C237,D237-D238&gt;0),D237-D238,0)</f>
        <v>0</v>
      </c>
      <c r="AB238" s="41" t="n">
        <f aca="false">2/(p_AdxN+1)*X238+(1-2/(p_AdxN+1))*AB237</f>
        <v>0.781613062404101</v>
      </c>
      <c r="AC238" s="41" t="n">
        <f aca="false">2/(p_AdxN+1)*Z238+(1-2/(p_AdxN+1))*AC237</f>
        <v>0.37483509519844</v>
      </c>
      <c r="AD238" s="41" t="n">
        <f aca="false">2/(p_AdxN+1)*AA238+(1-2/(p_AdxN+1))*AD237</f>
        <v>0.0231514011806156</v>
      </c>
      <c r="AE238" s="45" t="n">
        <f aca="false">100*AC238/AB238</f>
        <v>47.9566057974409</v>
      </c>
      <c r="AF238" s="45" t="n">
        <f aca="false">100*AD238/AB238</f>
        <v>2.96200284951816</v>
      </c>
      <c r="AG238" s="45" t="n">
        <f aca="false">IFERROR(100*ABS(AE238-AF238)/(AE238+AF238),0)</f>
        <v>88.3657353245647</v>
      </c>
      <c r="AH238" s="45" t="n">
        <f aca="false">2/(p_AdxN+1)*AG238+(1-2/(p_AdxN+1))*AH237</f>
        <v>56.6296902912199</v>
      </c>
      <c r="AI238" s="40" t="n">
        <f aca="false">I238*(1+p_ChPct)</f>
        <v>30.8457480517605</v>
      </c>
      <c r="AJ238" s="40" t="n">
        <f aca="false">I238*(1-p_ChPct)</f>
        <v>27.3537765742027</v>
      </c>
      <c r="AK238" s="40" t="n">
        <f aca="false">I238+1*Y238</f>
        <v>29.8097623129816</v>
      </c>
      <c r="AL238" s="40" t="n">
        <f aca="false">I238+2*Y238</f>
        <v>30.5197623129816</v>
      </c>
      <c r="AM238" s="40" t="n">
        <f aca="false">I238+3*Y238</f>
        <v>31.2297623129816</v>
      </c>
      <c r="AN238" s="40" t="n">
        <f aca="false">I238-1*Y238</f>
        <v>28.3897623129816</v>
      </c>
      <c r="AO238" s="40" t="n">
        <f aca="false">I238-2*Y238</f>
        <v>27.6797623129816</v>
      </c>
      <c r="AP238" s="40" t="n">
        <f aca="false">I238-3*Y238</f>
        <v>26.9697623129816</v>
      </c>
      <c r="AQ238" s="40" t="n">
        <f aca="true">MAX(OFFSET(C238,1-MIN(p_StochN,ROW()-4),0,MIN(p_StochN,ROW()-4),1))</f>
        <v>32.21</v>
      </c>
      <c r="AR238" s="40" t="n">
        <f aca="true">MIN(OFFSET(D238,1-MIN(p_StochN,ROW()-4),0,MIN(p_StochN,ROW()-4),1))</f>
        <v>29.26</v>
      </c>
      <c r="AS238" s="45" t="n">
        <f aca="false">IF(AQ238=AR238,50,100*(E238-AR238)/(AQ238-AR238))</f>
        <v>96.9491525423728</v>
      </c>
      <c r="AT238" s="45" t="n">
        <f aca="true">AVERAGE(OFFSET(AS238,1-MIN(p_StochSm,ROW()-4),0,MIN(p_StochSm,ROW()-4),1))</f>
        <v>94.0267377951925</v>
      </c>
      <c r="AU238" s="45" t="n">
        <f aca="true">AVERAGE(OFFSET(AT238,1-MIN(p_StochSm,ROW()-4),0,MIN(p_StochSm,ROW()-4),1))</f>
        <v>93.2620693038469</v>
      </c>
      <c r="AV238" s="41" t="n">
        <f aca="false">MAX(0,H238-D238)</f>
        <v>0</v>
      </c>
      <c r="AW238" s="41" t="n">
        <f aca="true">IF(COUNTIF(OFFSET(AV238,1-MIN(p_PenLb,ROW()-4),0,MIN(p_PenLb,ROW()-4),1),"&gt;0")&gt;0,SUM(OFFSET(AV238,1-MIN(p_PenLb,ROW()-4),0,MIN(p_PenLb,ROW()-4),1))/COUNTIF(OFFSET(AV238,1-MIN(p_PenLb,ROW()-4),0,MIN(p_PenLb,ROW()-4),1),"&gt;0"),0.5*Y238)</f>
        <v>0.222464349897086</v>
      </c>
      <c r="AX238" s="41" t="n">
        <f aca="false">2*H238-H237</f>
        <v>30.2893691936419</v>
      </c>
      <c r="AY238" s="40" t="n">
        <f aca="false">ROUND(MAX(AX238-AW238,0.01),2)</f>
        <v>30.07</v>
      </c>
      <c r="AZ238" s="40" t="n">
        <f aca="true">IF(MIN(p_StopLb,ROW()-4)&lt;2,D238,SMALL(OFFSET(D238,1-MIN(p_StopLb,ROW()-4),0,MIN(p_StopLb,ROW()-4),1),2))</f>
        <v>28.49</v>
      </c>
      <c r="BA238" s="40" t="n">
        <f aca="false">IF(MOD(ROUND(ROUNDDOWN(MIN(AZ238-0.01,AY238-p_StopAtr*Y238),2)*100,0),50)=0,ROUNDDOWN(MIN(AZ238-0.01,AY238-p_StopAtr*Y238),2)-0.01,ROUNDDOWN(MIN(AZ238-0.01,AY238-p_StopAtr*Y238),2))</f>
        <v>28.48</v>
      </c>
      <c r="BB238" s="40" t="n">
        <f aca="false">ROUND(AI238,2)</f>
        <v>30.85</v>
      </c>
      <c r="BC238" s="40" t="n">
        <f aca="false">IF(AY238-BA238&gt;0,(BB238-AY238)/(AY238-BA238),0)</f>
        <v>0.49056603773585</v>
      </c>
      <c r="BD238" s="42" t="n">
        <f aca="false">IF(N238&lt;0,1,0)</f>
        <v>0</v>
      </c>
      <c r="BE238" s="41" t="n">
        <f aca="false">IF(AND(BD238=1,BD237=0),N238,IF(BD238=1,MIN(BE237,N238),BE237))</f>
        <v>-0.153190541609803</v>
      </c>
      <c r="BF238" s="40" t="n">
        <f aca="false">IF(AND(BD238=1,BD237=0),D238,IF(BD238=1,MIN(BF237,D238),BF237))</f>
        <v>27.9</v>
      </c>
      <c r="BG238" s="42" t="n">
        <f aca="false">IF(AND(BD238=1,BD237=0),ROW(),IF(BD238=1,IF(N238&lt;BE237,ROW(),BG237),BG237))</f>
        <v>226</v>
      </c>
      <c r="BH238" s="41" t="n">
        <f aca="false">IF(AND(BD238=1,BD237=0),BE237,BH237)</f>
        <v>-0.0514032452662709</v>
      </c>
      <c r="BI238" s="40" t="n">
        <f aca="false">IF(AND(BD238=1,BD237=0),BF237,BI237)</f>
        <v>26.79</v>
      </c>
      <c r="BJ238" s="42" t="n">
        <f aca="false">IF(AND(BD238=1,BD237=0),BG237,BJ237)</f>
        <v>213</v>
      </c>
      <c r="BK238" s="42" t="n">
        <f aca="false">IF(AND(ISNUMBER(BG238),ISNUMBER(BJ238)),BG238-BJ238,"")</f>
        <v>13</v>
      </c>
      <c r="BL238" s="42" t="n">
        <f aca="false">IF(AND(BD238=1,N238&gt;N237,ISNUMBER(BH238),ISNUMBER(BK238)),IF(AND(BE238&gt;BH238,BF238&lt;BI238,BK238&gt;=p_GapMin,BK238&lt;=p_GapMax),1,0),0)</f>
        <v>0</v>
      </c>
      <c r="BM238" s="42" t="n">
        <f aca="false">IF(AND(BL238=1,E238&gt;BI238),1,0)</f>
        <v>0</v>
      </c>
      <c r="BN238" s="42" t="n">
        <f aca="false">IF(BL238=1,IF(BE238&gt;=BH238*0.5,1,0),0)</f>
        <v>0</v>
      </c>
      <c r="BO238" s="42" t="n">
        <f aca="true">IF(V238&gt;MIN(OFFSET(V238,-MIN(p_FiLb-1,ROW()-5),0,MIN(p_FiLb-1,ROW()-5),1)),1,0)</f>
        <v>1</v>
      </c>
      <c r="BP238" s="44" t="n">
        <f aca="true">IF(COUNTIF(OFFSET(V238,1-MIN(100,ROW()-4),0,MIN(100,ROW()-4),1),"&lt;0")&gt;=5,AVERAGEIF(OFFSET(V238,1-MIN(100,ROW()-4),0,MIN(100,ROW()-4),1),"&lt;0"),"")</f>
        <v>-802074.982580747</v>
      </c>
      <c r="BQ238" s="42" t="n">
        <f aca="false">IF(ISNUMBER(BP238),IF(AND(V238&lt;5*BP238,V238&gt;V237,E238&lt;AJ238),1,0),0)</f>
        <v>0</v>
      </c>
      <c r="BR238" s="44" t="n">
        <f aca="true">AVERAGE(OFFSET(F238,1-MIN(5,ROW()-4),0,MIN(5,ROW()-4),1))</f>
        <v>4230600</v>
      </c>
      <c r="BS238" s="42" t="n">
        <f aca="false">IFERROR(IF(MATCH(G238,周线!$A$5:$A$84,0)&lt;=1,"",INDEX(周线!$R$5:$R$84,MATCH(G238,周线!$A$5:$A$84,0)-1)),"")</f>
        <v>1</v>
      </c>
      <c r="BT238" s="42" t="n">
        <f aca="false">IFERROR(IF(MATCH(G238,周线!$A$5:$A$84,0)&lt;=1,"",INDEX(周线!$S$5:$S$84,MATCH(G238,周线!$A$5:$A$84,0)-1)),"")</f>
        <v>1</v>
      </c>
      <c r="BU238" s="42" t="n">
        <f aca="false">IFERROR(IF(MATCH(G238,周线!$A$5:$A$84,0)&lt;=1,"",INDEX(周线!$U$5:$U$84,MATCH(G238,周线!$A$5:$A$84,0)-1)),"")</f>
        <v>1</v>
      </c>
      <c r="BV238" s="42" t="n">
        <f aca="false">IF(AND(BS238=1,S238&lt;&gt;-1,V238&lt;0,BO238=1,E238&lt;=H238,E238&gt;=AJ238),1,0)</f>
        <v>0</v>
      </c>
      <c r="BW238" s="42" t="n">
        <f aca="false">BL238</f>
        <v>0</v>
      </c>
      <c r="BX238" s="42" t="n">
        <f aca="false">BQ238</f>
        <v>0</v>
      </c>
      <c r="BY238" s="42" t="n">
        <f aca="false">IF(BS238=1,10,0)+IF(BU238=1,5,IF(BU238=-1,0,3))+IF(BT238=1,5,0)+IF(AND(AE238&gt;AF238,AH238&gt;AH237),5,0)</f>
        <v>25</v>
      </c>
      <c r="BZ238" s="42" t="n">
        <f aca="false">IF(AND(E238&lt;=H238,E238&gt;=I238),10,IF(AND(E238&gt;=AJ238,E238&lt;I238),6,0))+IF(AND(V238&lt;0,BO238=1),8,0)+IF(AT238&lt;30,7,IF(AT238&lt;50,3,0))</f>
        <v>0</v>
      </c>
      <c r="CA238" s="42" t="n">
        <f aca="false">IF(AND(BV238=1,BW238=1),25,IF(BW238=1,22,IF(BV238=1,15,IF(BX238=1,12,0))))</f>
        <v>0</v>
      </c>
      <c r="CB238" s="42" t="n">
        <f aca="false">IF(W238&gt;0,6,0)+IF(F238&lt;BR238,4,0)</f>
        <v>6</v>
      </c>
      <c r="CC238" s="42" t="n">
        <f aca="false">IF(BC238&gt;=3,15,IF(BC238&gt;=p_RRmin,10,IF(BC238&gt;=1.5,4,0)))</f>
        <v>0</v>
      </c>
      <c r="CD238" s="42" t="n">
        <f aca="false">BY238+BZ238+CA238+CB238+CC238</f>
        <v>31</v>
      </c>
      <c r="CE238" s="42" t="n">
        <f aca="false">IF(AND(BS238&lt;&gt;1,BW238+BX238=0),1,0)</f>
        <v>0</v>
      </c>
      <c r="CF238" s="42" t="n">
        <f aca="false">IF(BU238=-1,1,0)</f>
        <v>0</v>
      </c>
      <c r="CG238" s="42" t="n">
        <f aca="false">IF(S238=-1,1,0)</f>
        <v>0</v>
      </c>
      <c r="CH238" s="42" t="n">
        <f aca="false">IF(BV238+BW238+BX238=0,1,0)</f>
        <v>1</v>
      </c>
      <c r="CI238" s="42" t="n">
        <f aca="false">IF(BC238&lt;p_RRmin,1,0)</f>
        <v>1</v>
      </c>
      <c r="CJ238" s="46" t="str">
        <f aca="false">IF(SUM(CE238:CI238)=0,IF(CD238&gt;=p_GradeA,"A",IF(CD238&gt;=p_GradeB,"B","C")),IF(AND(CI238=1,SUM(CE238:CH238)=0,CD238&gt;=p_GradeB),"B","C"))</f>
        <v>C</v>
      </c>
    </row>
    <row r="239" customFormat="false" ht="15" hidden="false" customHeight="false" outlineLevel="0" collapsed="false">
      <c r="A239" s="36" t="n">
        <v>45987</v>
      </c>
      <c r="B239" s="37" t="n">
        <v>32.18</v>
      </c>
      <c r="C239" s="37" t="n">
        <v>32.43</v>
      </c>
      <c r="D239" s="37" t="n">
        <v>31.89</v>
      </c>
      <c r="E239" s="37" t="n">
        <v>31.99</v>
      </c>
      <c r="F239" s="38" t="n">
        <v>3950200</v>
      </c>
      <c r="G239" s="39" t="n">
        <f aca="false">A239-WEEKDAY(A239,3)</f>
        <v>45985</v>
      </c>
      <c r="H239" s="40" t="n">
        <f aca="false">2/(p_EmaF+1)*E239+(1-2/(p_EmaF+1))*H238</f>
        <v>30.2184940277459</v>
      </c>
      <c r="I239" s="40" t="n">
        <f aca="false">2/(p_EmaS+1)*E239+(1-2/(p_EmaS+1))*I238</f>
        <v>29.3138539935014</v>
      </c>
      <c r="J239" s="41" t="n">
        <f aca="false">2/(p_MacdF+1)*E239+(1-2/(p_MacdF+1))*J238</f>
        <v>30.3125217677964</v>
      </c>
      <c r="K239" s="41" t="n">
        <f aca="false">2/(p_MacdS+1)*E239+(1-2/(p_MacdS+1))*K238</f>
        <v>29.3138539935014</v>
      </c>
      <c r="L239" s="41" t="n">
        <f aca="false">J239-K239</f>
        <v>0.998667774294937</v>
      </c>
      <c r="M239" s="41" t="n">
        <f aca="false">2/(p_MacdSig+1)*L239+(1-2/(p_MacdSig+1))*M238</f>
        <v>0.737797337196155</v>
      </c>
      <c r="N239" s="41" t="n">
        <f aca="false">L239-M239</f>
        <v>0.260870437098782</v>
      </c>
      <c r="O239" s="42" t="n">
        <f aca="false">IF(H239&gt;H238,1,0)</f>
        <v>1</v>
      </c>
      <c r="P239" s="42" t="n">
        <f aca="false">IF(H239&lt;H238,1,0)</f>
        <v>0</v>
      </c>
      <c r="Q239" s="42" t="n">
        <f aca="false">IF(N239&gt;N238,1,0)</f>
        <v>1</v>
      </c>
      <c r="R239" s="42" t="n">
        <f aca="false">IF(N239&lt;N238,1,0)</f>
        <v>0</v>
      </c>
      <c r="S239" s="42" t="n">
        <f aca="false">IF(AND(O239=1,Q239=1),1,IF(AND(P239=1,R239=1),-1,0))</f>
        <v>1</v>
      </c>
      <c r="T239" s="43" t="str">
        <f aca="false">IF(S239=1,"绿",IF(S239=-1,"红","蓝"))</f>
        <v>绿</v>
      </c>
      <c r="U239" s="44" t="n">
        <f aca="false">F239*(E239-E238)</f>
        <v>-513525.999999996</v>
      </c>
      <c r="V239" s="44" t="n">
        <f aca="false">2/(p_FiS+1)*U239+(1-2/(p_FiS+1))*V238</f>
        <v>891300.169881196</v>
      </c>
      <c r="W239" s="44" t="n">
        <f aca="false">2/(p_FiL+1)*U239+(1-2/(p_FiL+1))*W238</f>
        <v>1375087.87432826</v>
      </c>
      <c r="X239" s="41" t="n">
        <f aca="false">MAX(C239-D239,ABS(C239-E238),ABS(D239-E238))</f>
        <v>0.539999999999999</v>
      </c>
      <c r="Y239" s="41" t="n">
        <f aca="true">AVERAGE(OFFSET(X239,1-MIN(p_AtrN,ROW()-4),0,MIN(p_AtrN,ROW()-4),1))</f>
        <v>0.736153846153846</v>
      </c>
      <c r="Z239" s="41" t="n">
        <f aca="false">IF(AND(C239-C238&gt;D238-D239,C239-C238&gt;0),C239-C238,0)</f>
        <v>0.219999999999999</v>
      </c>
      <c r="AA239" s="41" t="n">
        <f aca="false">IF(AND(D238-D239&gt;C239-C238,D238-D239&gt;0),D238-D239,0)</f>
        <v>0</v>
      </c>
      <c r="AB239" s="41" t="n">
        <f aca="false">2/(p_AdxN+1)*X239+(1-2/(p_AdxN+1))*AB238</f>
        <v>0.747096910632086</v>
      </c>
      <c r="AC239" s="41" t="n">
        <f aca="false">2/(p_AdxN+1)*Z239+(1-2/(p_AdxN+1))*AC238</f>
        <v>0.352715795884377</v>
      </c>
      <c r="AD239" s="41" t="n">
        <f aca="false">2/(p_AdxN+1)*AA239+(1-2/(p_AdxN+1))*AD238</f>
        <v>0.0198440581548134</v>
      </c>
      <c r="AE239" s="45" t="n">
        <f aca="false">100*AC239/AB239</f>
        <v>47.2115184609664</v>
      </c>
      <c r="AF239" s="45" t="n">
        <f aca="false">100*AD239/AB239</f>
        <v>2.65615583097836</v>
      </c>
      <c r="AG239" s="45" t="n">
        <f aca="false">IFERROR(100*ABS(AE239-AF239)/(AE239+AF239),0)</f>
        <v>89.3471838472828</v>
      </c>
      <c r="AH239" s="45" t="n">
        <f aca="false">2/(p_AdxN+1)*AG239+(1-2/(p_AdxN+1))*AH238</f>
        <v>61.303617942086</v>
      </c>
      <c r="AI239" s="40" t="n">
        <f aca="false">I239*(1+p_ChPct)</f>
        <v>31.0726852331115</v>
      </c>
      <c r="AJ239" s="40" t="n">
        <f aca="false">I239*(1-p_ChPct)</f>
        <v>27.5550227538914</v>
      </c>
      <c r="AK239" s="40" t="n">
        <f aca="false">I239+1*Y239</f>
        <v>30.0500078396553</v>
      </c>
      <c r="AL239" s="40" t="n">
        <f aca="false">I239+2*Y239</f>
        <v>30.7861616858091</v>
      </c>
      <c r="AM239" s="40" t="n">
        <f aca="false">I239+3*Y239</f>
        <v>31.522315531963</v>
      </c>
      <c r="AN239" s="40" t="n">
        <f aca="false">I239-1*Y239</f>
        <v>28.5777001473476</v>
      </c>
      <c r="AO239" s="40" t="n">
        <f aca="false">I239-2*Y239</f>
        <v>27.8415463011938</v>
      </c>
      <c r="AP239" s="40" t="n">
        <f aca="false">I239-3*Y239</f>
        <v>27.1053924550399</v>
      </c>
      <c r="AQ239" s="40" t="n">
        <f aca="true">MAX(OFFSET(C239,1-MIN(p_StochN,ROW()-4),0,MIN(p_StochN,ROW()-4),1))</f>
        <v>32.43</v>
      </c>
      <c r="AR239" s="40" t="n">
        <f aca="true">MIN(OFFSET(D239,1-MIN(p_StochN,ROW()-4),0,MIN(p_StochN,ROW()-4),1))</f>
        <v>29.69</v>
      </c>
      <c r="AS239" s="45" t="n">
        <f aca="false">IF(AQ239=AR239,50,100*(E239-AR239)/(AQ239-AR239))</f>
        <v>83.941605839416</v>
      </c>
      <c r="AT239" s="45" t="n">
        <f aca="true">AVERAGE(OFFSET(AS239,1-MIN(p_StochSm,ROW()-4),0,MIN(p_StochSm,ROW()-4),1))</f>
        <v>91.958011991254</v>
      </c>
      <c r="AU239" s="45" t="n">
        <f aca="true">AVERAGE(OFFSET(AT239,1-MIN(p_StochSm,ROW()-4),0,MIN(p_StochSm,ROW()-4),1))</f>
        <v>93.165289894791</v>
      </c>
      <c r="AV239" s="41" t="n">
        <f aca="false">MAX(0,H239-D239)</f>
        <v>0</v>
      </c>
      <c r="AW239" s="41" t="n">
        <f aca="true">IF(COUNTIF(OFFSET(AV239,1-MIN(p_PenLb,ROW()-4),0,MIN(p_PenLb,ROW()-4),1),"&gt;0")&gt;0,SUM(OFFSET(AV239,1-MIN(p_PenLb,ROW()-4),0,MIN(p_PenLb,ROW()-4),1))/COUNTIF(OFFSET(AV239,1-MIN(p_PenLb,ROW()-4),0,MIN(p_PenLb,ROW()-4),1),"&gt;0"),0.5*Y239)</f>
        <v>0.222464349897086</v>
      </c>
      <c r="AX239" s="41" t="n">
        <f aca="false">2*H239-H238</f>
        <v>30.5137450231216</v>
      </c>
      <c r="AY239" s="40" t="n">
        <f aca="false">ROUND(MAX(AX239-AW239,0.01),2)</f>
        <v>30.29</v>
      </c>
      <c r="AZ239" s="40" t="n">
        <f aca="true">IF(MIN(p_StopLb,ROW()-4)&lt;2,D239,SMALL(OFFSET(D239,1-MIN(p_StopLb,ROW()-4),0,MIN(p_StopLb,ROW()-4),1),2))</f>
        <v>28.49</v>
      </c>
      <c r="BA239" s="40" t="n">
        <f aca="false">IF(MOD(ROUND(ROUNDDOWN(MIN(AZ239-0.01,AY239-p_StopAtr*Y239),2)*100,0),50)=0,ROUNDDOWN(MIN(AZ239-0.01,AY239-p_StopAtr*Y239),2)-0.01,ROUNDDOWN(MIN(AZ239-0.01,AY239-p_StopAtr*Y239),2))</f>
        <v>28.48</v>
      </c>
      <c r="BB239" s="40" t="n">
        <f aca="false">ROUND(AI239,2)</f>
        <v>31.07</v>
      </c>
      <c r="BC239" s="40" t="n">
        <f aca="false">IF(AY239-BA239&gt;0,(BB239-AY239)/(AY239-BA239),0)</f>
        <v>0.430939226519338</v>
      </c>
      <c r="BD239" s="42" t="n">
        <f aca="false">IF(N239&lt;0,1,0)</f>
        <v>0</v>
      </c>
      <c r="BE239" s="41" t="n">
        <f aca="false">IF(AND(BD239=1,BD238=0),N239,IF(BD239=1,MIN(BE238,N239),BE238))</f>
        <v>-0.153190541609803</v>
      </c>
      <c r="BF239" s="40" t="n">
        <f aca="false">IF(AND(BD239=1,BD238=0),D239,IF(BD239=1,MIN(BF238,D239),BF238))</f>
        <v>27.9</v>
      </c>
      <c r="BG239" s="42" t="n">
        <f aca="false">IF(AND(BD239=1,BD238=0),ROW(),IF(BD239=1,IF(N239&lt;BE238,ROW(),BG238),BG238))</f>
        <v>226</v>
      </c>
      <c r="BH239" s="41" t="n">
        <f aca="false">IF(AND(BD239=1,BD238=0),BE238,BH238)</f>
        <v>-0.0514032452662709</v>
      </c>
      <c r="BI239" s="40" t="n">
        <f aca="false">IF(AND(BD239=1,BD238=0),BF238,BI238)</f>
        <v>26.79</v>
      </c>
      <c r="BJ239" s="42" t="n">
        <f aca="false">IF(AND(BD239=1,BD238=0),BG238,BJ238)</f>
        <v>213</v>
      </c>
      <c r="BK239" s="42" t="n">
        <f aca="false">IF(AND(ISNUMBER(BG239),ISNUMBER(BJ239)),BG239-BJ239,"")</f>
        <v>13</v>
      </c>
      <c r="BL239" s="42" t="n">
        <f aca="false">IF(AND(BD239=1,N239&gt;N238,ISNUMBER(BH239),ISNUMBER(BK239)),IF(AND(BE239&gt;BH239,BF239&lt;BI239,BK239&gt;=p_GapMin,BK239&lt;=p_GapMax),1,0),0)</f>
        <v>0</v>
      </c>
      <c r="BM239" s="42" t="n">
        <f aca="false">IF(AND(BL239=1,E239&gt;BI239),1,0)</f>
        <v>0</v>
      </c>
      <c r="BN239" s="42" t="n">
        <f aca="false">IF(BL239=1,IF(BE239&gt;=BH239*0.5,1,0),0)</f>
        <v>0</v>
      </c>
      <c r="BO239" s="42" t="n">
        <f aca="true">IF(V239&gt;MIN(OFFSET(V239,-MIN(p_FiLb-1,ROW()-5),0,MIN(p_FiLb-1,ROW()-5),1)),1,0)</f>
        <v>1</v>
      </c>
      <c r="BP239" s="44" t="n">
        <f aca="true">IF(COUNTIF(OFFSET(V239,1-MIN(100,ROW()-4),0,MIN(100,ROW()-4),1),"&lt;0")&gt;=5,AVERAGEIF(OFFSET(V239,1-MIN(100,ROW()-4),0,MIN(100,ROW()-4),1),"&lt;0"),"")</f>
        <v>-802074.982580747</v>
      </c>
      <c r="BQ239" s="42" t="n">
        <f aca="false">IF(ISNUMBER(BP239),IF(AND(V239&lt;5*BP239,V239&gt;V238,E239&lt;AJ239),1,0),0)</f>
        <v>0</v>
      </c>
      <c r="BR239" s="44" t="n">
        <f aca="true">AVERAGE(OFFSET(F239,1-MIN(5,ROW()-4),0,MIN(5,ROW()-4),1))</f>
        <v>4147260</v>
      </c>
      <c r="BS239" s="42" t="n">
        <f aca="false">IFERROR(IF(MATCH(G239,周线!$A$5:$A$84,0)&lt;=1,"",INDEX(周线!$R$5:$R$84,MATCH(G239,周线!$A$5:$A$84,0)-1)),"")</f>
        <v>1</v>
      </c>
      <c r="BT239" s="42" t="n">
        <f aca="false">IFERROR(IF(MATCH(G239,周线!$A$5:$A$84,0)&lt;=1,"",INDEX(周线!$S$5:$S$84,MATCH(G239,周线!$A$5:$A$84,0)-1)),"")</f>
        <v>1</v>
      </c>
      <c r="BU239" s="42" t="n">
        <f aca="false">IFERROR(IF(MATCH(G239,周线!$A$5:$A$84,0)&lt;=1,"",INDEX(周线!$U$5:$U$84,MATCH(G239,周线!$A$5:$A$84,0)-1)),"")</f>
        <v>1</v>
      </c>
      <c r="BV239" s="42" t="n">
        <f aca="false">IF(AND(BS239=1,S239&lt;&gt;-1,V239&lt;0,BO239=1,E239&lt;=H239,E239&gt;=AJ239),1,0)</f>
        <v>0</v>
      </c>
      <c r="BW239" s="42" t="n">
        <f aca="false">BL239</f>
        <v>0</v>
      </c>
      <c r="BX239" s="42" t="n">
        <f aca="false">BQ239</f>
        <v>0</v>
      </c>
      <c r="BY239" s="42" t="n">
        <f aca="false">IF(BS239=1,10,0)+IF(BU239=1,5,IF(BU239=-1,0,3))+IF(BT239=1,5,0)+IF(AND(AE239&gt;AF239,AH239&gt;AH238),5,0)</f>
        <v>25</v>
      </c>
      <c r="BZ239" s="42" t="n">
        <f aca="false">IF(AND(E239&lt;=H239,E239&gt;=I239),10,IF(AND(E239&gt;=AJ239,E239&lt;I239),6,0))+IF(AND(V239&lt;0,BO239=1),8,0)+IF(AT239&lt;30,7,IF(AT239&lt;50,3,0))</f>
        <v>0</v>
      </c>
      <c r="CA239" s="42" t="n">
        <f aca="false">IF(AND(BV239=1,BW239=1),25,IF(BW239=1,22,IF(BV239=1,15,IF(BX239=1,12,0))))</f>
        <v>0</v>
      </c>
      <c r="CB239" s="42" t="n">
        <f aca="false">IF(W239&gt;0,6,0)+IF(F239&lt;BR239,4,0)</f>
        <v>10</v>
      </c>
      <c r="CC239" s="42" t="n">
        <f aca="false">IF(BC239&gt;=3,15,IF(BC239&gt;=p_RRmin,10,IF(BC239&gt;=1.5,4,0)))</f>
        <v>0</v>
      </c>
      <c r="CD239" s="42" t="n">
        <f aca="false">BY239+BZ239+CA239+CB239+CC239</f>
        <v>35</v>
      </c>
      <c r="CE239" s="42" t="n">
        <f aca="false">IF(AND(BS239&lt;&gt;1,BW239+BX239=0),1,0)</f>
        <v>0</v>
      </c>
      <c r="CF239" s="42" t="n">
        <f aca="false">IF(BU239=-1,1,0)</f>
        <v>0</v>
      </c>
      <c r="CG239" s="42" t="n">
        <f aca="false">IF(S239=-1,1,0)</f>
        <v>0</v>
      </c>
      <c r="CH239" s="42" t="n">
        <f aca="false">IF(BV239+BW239+BX239=0,1,0)</f>
        <v>1</v>
      </c>
      <c r="CI239" s="42" t="n">
        <f aca="false">IF(BC239&lt;p_RRmin,1,0)</f>
        <v>1</v>
      </c>
      <c r="CJ239" s="46" t="str">
        <f aca="false">IF(SUM(CE239:CI239)=0,IF(CD239&gt;=p_GradeA,"A",IF(CD239&gt;=p_GradeB,"B","C")),IF(AND(CI239=1,SUM(CE239:CH239)=0,CD239&gt;=p_GradeB),"B","C"))</f>
        <v>C</v>
      </c>
    </row>
    <row r="240" customFormat="false" ht="15" hidden="false" customHeight="false" outlineLevel="0" collapsed="false">
      <c r="A240" s="36" t="n">
        <v>45988</v>
      </c>
      <c r="B240" s="37" t="n">
        <v>31.93</v>
      </c>
      <c r="C240" s="37" t="n">
        <v>32.83</v>
      </c>
      <c r="D240" s="37" t="n">
        <v>31.74</v>
      </c>
      <c r="E240" s="37" t="n">
        <v>32.6</v>
      </c>
      <c r="F240" s="38" t="n">
        <v>3539600</v>
      </c>
      <c r="G240" s="39" t="n">
        <f aca="false">A240-WEEKDAY(A240,3)</f>
        <v>45985</v>
      </c>
      <c r="H240" s="40" t="n">
        <f aca="false">2/(p_EmaF+1)*E240+(1-2/(p_EmaF+1))*H239</f>
        <v>30.5587091666394</v>
      </c>
      <c r="I240" s="40" t="n">
        <f aca="false">2/(p_EmaS+1)*E240+(1-2/(p_EmaS+1))*I239</f>
        <v>29.557272216205</v>
      </c>
      <c r="J240" s="41" t="n">
        <f aca="false">2/(p_MacdF+1)*E240+(1-2/(p_MacdF+1))*J239</f>
        <v>30.6644414958277</v>
      </c>
      <c r="K240" s="41" t="n">
        <f aca="false">2/(p_MacdS+1)*E240+(1-2/(p_MacdS+1))*K239</f>
        <v>29.557272216205</v>
      </c>
      <c r="L240" s="41" t="n">
        <f aca="false">J240-K240</f>
        <v>1.10716927962267</v>
      </c>
      <c r="M240" s="41" t="n">
        <f aca="false">2/(p_MacdSig+1)*L240+(1-2/(p_MacdSig+1))*M239</f>
        <v>0.811671725681458</v>
      </c>
      <c r="N240" s="41" t="n">
        <f aca="false">L240-M240</f>
        <v>0.29549755394121</v>
      </c>
      <c r="O240" s="42" t="n">
        <f aca="false">IF(H240&gt;H239,1,0)</f>
        <v>1</v>
      </c>
      <c r="P240" s="42" t="n">
        <f aca="false">IF(H240&lt;H239,1,0)</f>
        <v>0</v>
      </c>
      <c r="Q240" s="42" t="n">
        <f aca="false">IF(N240&gt;N239,1,0)</f>
        <v>1</v>
      </c>
      <c r="R240" s="42" t="n">
        <f aca="false">IF(N240&lt;N239,1,0)</f>
        <v>0</v>
      </c>
      <c r="S240" s="42" t="n">
        <f aca="false">IF(AND(O240=1,Q240=1),1,IF(AND(P240=1,R240=1),-1,0))</f>
        <v>1</v>
      </c>
      <c r="T240" s="43" t="str">
        <f aca="false">IF(S240=1,"绿",IF(S240=-1,"红","蓝"))</f>
        <v>绿</v>
      </c>
      <c r="U240" s="44" t="n">
        <f aca="false">F240*(E240-E239)</f>
        <v>2159156.00000001</v>
      </c>
      <c r="V240" s="44" t="n">
        <f aca="false">2/(p_FiS+1)*U240+(1-2/(p_FiS+1))*V239</f>
        <v>1736537.38996041</v>
      </c>
      <c r="W240" s="44" t="n">
        <f aca="false">2/(p_FiL+1)*U240+(1-2/(p_FiL+1))*W239</f>
        <v>1487097.60656708</v>
      </c>
      <c r="X240" s="41" t="n">
        <f aca="false">MAX(C240-D240,ABS(C240-E239),ABS(D240-E239))</f>
        <v>1.09</v>
      </c>
      <c r="Y240" s="41" t="n">
        <f aca="true">AVERAGE(OFFSET(X240,1-MIN(p_AtrN,ROW()-4),0,MIN(p_AtrN,ROW()-4),1))</f>
        <v>0.747692307692307</v>
      </c>
      <c r="Z240" s="41" t="n">
        <f aca="false">IF(AND(C240-C239&gt;D239-D240,C240-C239&gt;0),C240-C239,0)</f>
        <v>0.399999999999999</v>
      </c>
      <c r="AA240" s="41" t="n">
        <f aca="false">IF(AND(D239-D240&gt;C240-C239,D239-D240&gt;0),D239-D240,0)</f>
        <v>0</v>
      </c>
      <c r="AB240" s="41" t="n">
        <f aca="false">2/(p_AdxN+1)*X240+(1-2/(p_AdxN+1))*AB239</f>
        <v>0.796083066256074</v>
      </c>
      <c r="AC240" s="41" t="n">
        <f aca="false">2/(p_AdxN+1)*Z240+(1-2/(p_AdxN+1))*AC239</f>
        <v>0.359470682186609</v>
      </c>
      <c r="AD240" s="41" t="n">
        <f aca="false">2/(p_AdxN+1)*AA240+(1-2/(p_AdxN+1))*AD239</f>
        <v>0.0170091927041258</v>
      </c>
      <c r="AE240" s="45" t="n">
        <f aca="false">100*AC240/AB240</f>
        <v>45.1549213170902</v>
      </c>
      <c r="AF240" s="45" t="n">
        <f aca="false">100*AD240/AB240</f>
        <v>2.1366102891899</v>
      </c>
      <c r="AG240" s="45" t="n">
        <f aca="false">IFERROR(100*ABS(AE240-AF240)/(AE240+AF240),0)</f>
        <v>90.9640892708742</v>
      </c>
      <c r="AH240" s="45" t="n">
        <f aca="false">2/(p_AdxN+1)*AG240+(1-2/(p_AdxN+1))*AH239</f>
        <v>65.5408281319129</v>
      </c>
      <c r="AI240" s="40" t="n">
        <f aca="false">I240*(1+p_ChPct)</f>
        <v>31.3307085491773</v>
      </c>
      <c r="AJ240" s="40" t="n">
        <f aca="false">I240*(1-p_ChPct)</f>
        <v>27.7838358832327</v>
      </c>
      <c r="AK240" s="40" t="n">
        <f aca="false">I240+1*Y240</f>
        <v>30.3049645238973</v>
      </c>
      <c r="AL240" s="40" t="n">
        <f aca="false">I240+2*Y240</f>
        <v>31.0526568315897</v>
      </c>
      <c r="AM240" s="40" t="n">
        <f aca="false">I240+3*Y240</f>
        <v>31.800349139282</v>
      </c>
      <c r="AN240" s="40" t="n">
        <f aca="false">I240-1*Y240</f>
        <v>28.8095799085127</v>
      </c>
      <c r="AO240" s="40" t="n">
        <f aca="false">I240-2*Y240</f>
        <v>28.0618876008204</v>
      </c>
      <c r="AP240" s="40" t="n">
        <f aca="false">I240-3*Y240</f>
        <v>27.3141952931281</v>
      </c>
      <c r="AQ240" s="40" t="n">
        <f aca="true">MAX(OFFSET(C240,1-MIN(p_StochN,ROW()-4),0,MIN(p_StochN,ROW()-4),1))</f>
        <v>32.83</v>
      </c>
      <c r="AR240" s="40" t="n">
        <f aca="true">MIN(OFFSET(D240,1-MIN(p_StochN,ROW()-4),0,MIN(p_StochN,ROW()-4),1))</f>
        <v>30.02</v>
      </c>
      <c r="AS240" s="45" t="n">
        <f aca="false">IF(AQ240=AR240,50,100*(E240-AR240)/(AQ240-AR240))</f>
        <v>91.8149466192172</v>
      </c>
      <c r="AT240" s="45" t="n">
        <f aca="true">AVERAGE(OFFSET(AS240,1-MIN(p_StochSm,ROW()-4),0,MIN(p_StochSm,ROW()-4),1))</f>
        <v>90.901901667002</v>
      </c>
      <c r="AU240" s="45" t="n">
        <f aca="true">AVERAGE(OFFSET(AT240,1-MIN(p_StochSm,ROW()-4),0,MIN(p_StochSm,ROW()-4),1))</f>
        <v>92.2955504844828</v>
      </c>
      <c r="AV240" s="41" t="n">
        <f aca="false">MAX(0,H240-D240)</f>
        <v>0</v>
      </c>
      <c r="AW240" s="41" t="n">
        <f aca="true">IF(COUNTIF(OFFSET(AV240,1-MIN(p_PenLb,ROW()-4),0,MIN(p_PenLb,ROW()-4),1),"&gt;0")&gt;0,SUM(OFFSET(AV240,1-MIN(p_PenLb,ROW()-4),0,MIN(p_PenLb,ROW()-4),1))/COUNTIF(OFFSET(AV240,1-MIN(p_PenLb,ROW()-4),0,MIN(p_PenLb,ROW()-4),1),"&gt;0"),0.5*Y240)</f>
        <v>0.222464349897086</v>
      </c>
      <c r="AX240" s="41" t="n">
        <f aca="false">2*H240-H239</f>
        <v>30.8989243055328</v>
      </c>
      <c r="AY240" s="40" t="n">
        <f aca="false">ROUND(MAX(AX240-AW240,0.01),2)</f>
        <v>30.68</v>
      </c>
      <c r="AZ240" s="40" t="n">
        <f aca="true">IF(MIN(p_StopLb,ROW()-4)&lt;2,D240,SMALL(OFFSET(D240,1-MIN(p_StopLb,ROW()-4),0,MIN(p_StopLb,ROW()-4),1),2))</f>
        <v>28.53</v>
      </c>
      <c r="BA240" s="40" t="n">
        <f aca="false">IF(MOD(ROUND(ROUNDDOWN(MIN(AZ240-0.01,AY240-p_StopAtr*Y240),2)*100,0),50)=0,ROUNDDOWN(MIN(AZ240-0.01,AY240-p_StopAtr*Y240),2)-0.01,ROUNDDOWN(MIN(AZ240-0.01,AY240-p_StopAtr*Y240),2))</f>
        <v>28.52</v>
      </c>
      <c r="BB240" s="40" t="n">
        <f aca="false">ROUND(AI240,2)</f>
        <v>31.33</v>
      </c>
      <c r="BC240" s="40" t="n">
        <f aca="false">IF(AY240-BA240&gt;0,(BB240-AY240)/(AY240-BA240),0)</f>
        <v>0.300925925925925</v>
      </c>
      <c r="BD240" s="42" t="n">
        <f aca="false">IF(N240&lt;0,1,0)</f>
        <v>0</v>
      </c>
      <c r="BE240" s="41" t="n">
        <f aca="false">IF(AND(BD240=1,BD239=0),N240,IF(BD240=1,MIN(BE239,N240),BE239))</f>
        <v>-0.153190541609803</v>
      </c>
      <c r="BF240" s="40" t="n">
        <f aca="false">IF(AND(BD240=1,BD239=0),D240,IF(BD240=1,MIN(BF239,D240),BF239))</f>
        <v>27.9</v>
      </c>
      <c r="BG240" s="42" t="n">
        <f aca="false">IF(AND(BD240=1,BD239=0),ROW(),IF(BD240=1,IF(N240&lt;BE239,ROW(),BG239),BG239))</f>
        <v>226</v>
      </c>
      <c r="BH240" s="41" t="n">
        <f aca="false">IF(AND(BD240=1,BD239=0),BE239,BH239)</f>
        <v>-0.0514032452662709</v>
      </c>
      <c r="BI240" s="40" t="n">
        <f aca="false">IF(AND(BD240=1,BD239=0),BF239,BI239)</f>
        <v>26.79</v>
      </c>
      <c r="BJ240" s="42" t="n">
        <f aca="false">IF(AND(BD240=1,BD239=0),BG239,BJ239)</f>
        <v>213</v>
      </c>
      <c r="BK240" s="42" t="n">
        <f aca="false">IF(AND(ISNUMBER(BG240),ISNUMBER(BJ240)),BG240-BJ240,"")</f>
        <v>13</v>
      </c>
      <c r="BL240" s="42" t="n">
        <f aca="false">IF(AND(BD240=1,N240&gt;N239,ISNUMBER(BH240),ISNUMBER(BK240)),IF(AND(BE240&gt;BH240,BF240&lt;BI240,BK240&gt;=p_GapMin,BK240&lt;=p_GapMax),1,0),0)</f>
        <v>0</v>
      </c>
      <c r="BM240" s="42" t="n">
        <f aca="false">IF(AND(BL240=1,E240&gt;BI240),1,0)</f>
        <v>0</v>
      </c>
      <c r="BN240" s="42" t="n">
        <f aca="false">IF(BL240=1,IF(BE240&gt;=BH240*0.5,1,0),0)</f>
        <v>0</v>
      </c>
      <c r="BO240" s="42" t="n">
        <f aca="true">IF(V240&gt;MIN(OFFSET(V240,-MIN(p_FiLb-1,ROW()-5),0,MIN(p_FiLb-1,ROW()-5),1)),1,0)</f>
        <v>1</v>
      </c>
      <c r="BP240" s="44" t="n">
        <f aca="true">IF(COUNTIF(OFFSET(V240,1-MIN(100,ROW()-4),0,MIN(100,ROW()-4),1),"&lt;0")&gt;=5,AVERAGEIF(OFFSET(V240,1-MIN(100,ROW()-4),0,MIN(100,ROW()-4),1),"&lt;0"),"")</f>
        <v>-802074.982580747</v>
      </c>
      <c r="BQ240" s="42" t="n">
        <f aca="false">IF(ISNUMBER(BP240),IF(AND(V240&lt;5*BP240,V240&gt;V239,E240&lt;AJ240),1,0),0)</f>
        <v>0</v>
      </c>
      <c r="BR240" s="44" t="n">
        <f aca="true">AVERAGE(OFFSET(F240,1-MIN(5,ROW()-4),0,MIN(5,ROW()-4),1))</f>
        <v>4262780</v>
      </c>
      <c r="BS240" s="42" t="n">
        <f aca="false">IFERROR(IF(MATCH(G240,周线!$A$5:$A$84,0)&lt;=1,"",INDEX(周线!$R$5:$R$84,MATCH(G240,周线!$A$5:$A$84,0)-1)),"")</f>
        <v>1</v>
      </c>
      <c r="BT240" s="42" t="n">
        <f aca="false">IFERROR(IF(MATCH(G240,周线!$A$5:$A$84,0)&lt;=1,"",INDEX(周线!$S$5:$S$84,MATCH(G240,周线!$A$5:$A$84,0)-1)),"")</f>
        <v>1</v>
      </c>
      <c r="BU240" s="42" t="n">
        <f aca="false">IFERROR(IF(MATCH(G240,周线!$A$5:$A$84,0)&lt;=1,"",INDEX(周线!$U$5:$U$84,MATCH(G240,周线!$A$5:$A$84,0)-1)),"")</f>
        <v>1</v>
      </c>
      <c r="BV240" s="42" t="n">
        <f aca="false">IF(AND(BS240=1,S240&lt;&gt;-1,V240&lt;0,BO240=1,E240&lt;=H240,E240&gt;=AJ240),1,0)</f>
        <v>0</v>
      </c>
      <c r="BW240" s="42" t="n">
        <f aca="false">BL240</f>
        <v>0</v>
      </c>
      <c r="BX240" s="42" t="n">
        <f aca="false">BQ240</f>
        <v>0</v>
      </c>
      <c r="BY240" s="42" t="n">
        <f aca="false">IF(BS240=1,10,0)+IF(BU240=1,5,IF(BU240=-1,0,3))+IF(BT240=1,5,0)+IF(AND(AE240&gt;AF240,AH240&gt;AH239),5,0)</f>
        <v>25</v>
      </c>
      <c r="BZ240" s="42" t="n">
        <f aca="false">IF(AND(E240&lt;=H240,E240&gt;=I240),10,IF(AND(E240&gt;=AJ240,E240&lt;I240),6,0))+IF(AND(V240&lt;0,BO240=1),8,0)+IF(AT240&lt;30,7,IF(AT240&lt;50,3,0))</f>
        <v>0</v>
      </c>
      <c r="CA240" s="42" t="n">
        <f aca="false">IF(AND(BV240=1,BW240=1),25,IF(BW240=1,22,IF(BV240=1,15,IF(BX240=1,12,0))))</f>
        <v>0</v>
      </c>
      <c r="CB240" s="42" t="n">
        <f aca="false">IF(W240&gt;0,6,0)+IF(F240&lt;BR240,4,0)</f>
        <v>10</v>
      </c>
      <c r="CC240" s="42" t="n">
        <f aca="false">IF(BC240&gt;=3,15,IF(BC240&gt;=p_RRmin,10,IF(BC240&gt;=1.5,4,0)))</f>
        <v>0</v>
      </c>
      <c r="CD240" s="42" t="n">
        <f aca="false">BY240+BZ240+CA240+CB240+CC240</f>
        <v>35</v>
      </c>
      <c r="CE240" s="42" t="n">
        <f aca="false">IF(AND(BS240&lt;&gt;1,BW240+BX240=0),1,0)</f>
        <v>0</v>
      </c>
      <c r="CF240" s="42" t="n">
        <f aca="false">IF(BU240=-1,1,0)</f>
        <v>0</v>
      </c>
      <c r="CG240" s="42" t="n">
        <f aca="false">IF(S240=-1,1,0)</f>
        <v>0</v>
      </c>
      <c r="CH240" s="42" t="n">
        <f aca="false">IF(BV240+BW240+BX240=0,1,0)</f>
        <v>1</v>
      </c>
      <c r="CI240" s="42" t="n">
        <f aca="false">IF(BC240&lt;p_RRmin,1,0)</f>
        <v>1</v>
      </c>
      <c r="CJ240" s="46" t="str">
        <f aca="false">IF(SUM(CE240:CI240)=0,IF(CD240&gt;=p_GradeA,"A",IF(CD240&gt;=p_GradeB,"B","C")),IF(AND(CI240=1,SUM(CE240:CH240)=0,CD240&gt;=p_GradeB),"B","C"))</f>
        <v>C</v>
      </c>
    </row>
    <row r="241" customFormat="false" ht="15" hidden="false" customHeight="false" outlineLevel="0" collapsed="false">
      <c r="A241" s="36" t="n">
        <v>45989</v>
      </c>
      <c r="B241" s="37" t="n">
        <v>32.93</v>
      </c>
      <c r="C241" s="37" t="n">
        <v>33.08</v>
      </c>
      <c r="D241" s="37" t="n">
        <v>32.25</v>
      </c>
      <c r="E241" s="37" t="n">
        <v>32.64</v>
      </c>
      <c r="F241" s="38" t="n">
        <v>3352800</v>
      </c>
      <c r="G241" s="39" t="n">
        <f aca="false">A241-WEEKDAY(A241,3)</f>
        <v>45985</v>
      </c>
      <c r="H241" s="40" t="n">
        <f aca="false">2/(p_EmaF+1)*E241+(1-2/(p_EmaF+1))*H240</f>
        <v>30.856036428548</v>
      </c>
      <c r="I241" s="40" t="n">
        <f aca="false">2/(p_EmaS+1)*E241+(1-2/(p_EmaS+1))*I240</f>
        <v>29.7856224224121</v>
      </c>
      <c r="J241" s="41" t="n">
        <f aca="false">2/(p_MacdF+1)*E241+(1-2/(p_MacdF+1))*J240</f>
        <v>30.9683735733927</v>
      </c>
      <c r="K241" s="41" t="n">
        <f aca="false">2/(p_MacdS+1)*E241+(1-2/(p_MacdS+1))*K240</f>
        <v>29.7856224224121</v>
      </c>
      <c r="L241" s="41" t="n">
        <f aca="false">J241-K241</f>
        <v>1.1827511509806</v>
      </c>
      <c r="M241" s="41" t="n">
        <f aca="false">2/(p_MacdSig+1)*L241+(1-2/(p_MacdSig+1))*M240</f>
        <v>0.885887610741286</v>
      </c>
      <c r="N241" s="41" t="n">
        <f aca="false">L241-M241</f>
        <v>0.296863540239314</v>
      </c>
      <c r="O241" s="42" t="n">
        <f aca="false">IF(H241&gt;H240,1,0)</f>
        <v>1</v>
      </c>
      <c r="P241" s="42" t="n">
        <f aca="false">IF(H241&lt;H240,1,0)</f>
        <v>0</v>
      </c>
      <c r="Q241" s="42" t="n">
        <f aca="false">IF(N241&gt;N240,1,0)</f>
        <v>1</v>
      </c>
      <c r="R241" s="42" t="n">
        <f aca="false">IF(N241&lt;N240,1,0)</f>
        <v>0</v>
      </c>
      <c r="S241" s="42" t="n">
        <f aca="false">IF(AND(O241=1,Q241=1),1,IF(AND(P241=1,R241=1),-1,0))</f>
        <v>1</v>
      </c>
      <c r="T241" s="43" t="str">
        <f aca="false">IF(S241=1,"绿",IF(S241=-1,"红","蓝"))</f>
        <v>绿</v>
      </c>
      <c r="U241" s="44" t="n">
        <f aca="false">F241*(E241-E240)</f>
        <v>134111.999999997</v>
      </c>
      <c r="V241" s="44" t="n">
        <f aca="false">2/(p_FiS+1)*U241+(1-2/(p_FiS+1))*V240</f>
        <v>668253.796653467</v>
      </c>
      <c r="W241" s="44" t="n">
        <f aca="false">2/(p_FiL+1)*U241+(1-2/(p_FiL+1))*W240</f>
        <v>1293813.94848607</v>
      </c>
      <c r="X241" s="41" t="n">
        <f aca="false">MAX(C241-D241,ABS(C241-E240),ABS(D241-E240))</f>
        <v>0.829999999999998</v>
      </c>
      <c r="Y241" s="41" t="n">
        <f aca="true">AVERAGE(OFFSET(X241,1-MIN(p_AtrN,ROW()-4),0,MIN(p_AtrN,ROW()-4),1))</f>
        <v>0.766153846153846</v>
      </c>
      <c r="Z241" s="41" t="n">
        <f aca="false">IF(AND(C241-C240&gt;D240-D241,C241-C240&gt;0),C241-C240,0)</f>
        <v>0.25</v>
      </c>
      <c r="AA241" s="41" t="n">
        <f aca="false">IF(AND(D240-D241&gt;C241-C240,D240-D241&gt;0),D240-D241,0)</f>
        <v>0</v>
      </c>
      <c r="AB241" s="41" t="n">
        <f aca="false">2/(p_AdxN+1)*X241+(1-2/(p_AdxN+1))*AB240</f>
        <v>0.800928342505206</v>
      </c>
      <c r="AC241" s="41" t="n">
        <f aca="false">2/(p_AdxN+1)*Z241+(1-2/(p_AdxN+1))*AC240</f>
        <v>0.343832013302808</v>
      </c>
      <c r="AD241" s="41" t="n">
        <f aca="false">2/(p_AdxN+1)*AA241+(1-2/(p_AdxN+1))*AD240</f>
        <v>0.0145793080321078</v>
      </c>
      <c r="AE241" s="45" t="n">
        <f aca="false">100*AC241/AB241</f>
        <v>42.9291854284171</v>
      </c>
      <c r="AF241" s="45" t="n">
        <f aca="false">100*AD241/AB241</f>
        <v>1.82030117532181</v>
      </c>
      <c r="AG241" s="45" t="n">
        <f aca="false">IFERROR(100*ABS(AE241-AF241)/(AE241+AF241),0)</f>
        <v>91.8644824176833</v>
      </c>
      <c r="AH241" s="45" t="n">
        <f aca="false">2/(p_AdxN+1)*AG241+(1-2/(p_AdxN+1))*AH240</f>
        <v>69.3013501727372</v>
      </c>
      <c r="AI241" s="40" t="n">
        <f aca="false">I241*(1+p_ChPct)</f>
        <v>31.5727597677568</v>
      </c>
      <c r="AJ241" s="40" t="n">
        <f aca="false">I241*(1-p_ChPct)</f>
        <v>27.9984850770674</v>
      </c>
      <c r="AK241" s="40" t="n">
        <f aca="false">I241+1*Y241</f>
        <v>30.5517762685659</v>
      </c>
      <c r="AL241" s="40" t="n">
        <f aca="false">I241+2*Y241</f>
        <v>31.3179301147198</v>
      </c>
      <c r="AM241" s="40" t="n">
        <f aca="false">I241+3*Y241</f>
        <v>32.0840839608736</v>
      </c>
      <c r="AN241" s="40" t="n">
        <f aca="false">I241-1*Y241</f>
        <v>29.0194685762582</v>
      </c>
      <c r="AO241" s="40" t="n">
        <f aca="false">I241-2*Y241</f>
        <v>28.2533147301044</v>
      </c>
      <c r="AP241" s="40" t="n">
        <f aca="false">I241-3*Y241</f>
        <v>27.4871608839505</v>
      </c>
      <c r="AQ241" s="40" t="n">
        <f aca="true">MAX(OFFSET(C241,1-MIN(p_StochN,ROW()-4),0,MIN(p_StochN,ROW()-4),1))</f>
        <v>33.08</v>
      </c>
      <c r="AR241" s="40" t="n">
        <f aca="true">MIN(OFFSET(D241,1-MIN(p_StochN,ROW()-4),0,MIN(p_StochN,ROW()-4),1))</f>
        <v>30.29</v>
      </c>
      <c r="AS241" s="45" t="n">
        <f aca="false">IF(AQ241=AR241,50,100*(E241-AR241)/(AQ241-AR241))</f>
        <v>84.2293906810037</v>
      </c>
      <c r="AT241" s="45" t="n">
        <f aca="true">AVERAGE(OFFSET(AS241,1-MIN(p_StochSm,ROW()-4),0,MIN(p_StochSm,ROW()-4),1))</f>
        <v>86.6619810465456</v>
      </c>
      <c r="AU241" s="45" t="n">
        <f aca="true">AVERAGE(OFFSET(AT241,1-MIN(p_StochSm,ROW()-4),0,MIN(p_StochSm,ROW()-4),1))</f>
        <v>89.8406315682672</v>
      </c>
      <c r="AV241" s="41" t="n">
        <f aca="false">MAX(0,H241-D241)</f>
        <v>0</v>
      </c>
      <c r="AW241" s="41" t="n">
        <f aca="true">IF(COUNTIF(OFFSET(AV241,1-MIN(p_PenLb,ROW()-4),0,MIN(p_PenLb,ROW()-4),1),"&gt;0")&gt;0,SUM(OFFSET(AV241,1-MIN(p_PenLb,ROW()-4),0,MIN(p_PenLb,ROW()-4),1))/COUNTIF(OFFSET(AV241,1-MIN(p_PenLb,ROW()-4),0,MIN(p_PenLb,ROW()-4),1),"&gt;0"),0.5*Y241)</f>
        <v>0.222464349897086</v>
      </c>
      <c r="AX241" s="41" t="n">
        <f aca="false">2*H241-H240</f>
        <v>31.1533636904567</v>
      </c>
      <c r="AY241" s="40" t="n">
        <f aca="false">ROUND(MAX(AX241-AW241,0.01),2)</f>
        <v>30.93</v>
      </c>
      <c r="AZ241" s="40" t="n">
        <f aca="true">IF(MIN(p_StopLb,ROW()-4)&lt;2,D241,SMALL(OFFSET(D241,1-MIN(p_StopLb,ROW()-4),0,MIN(p_StopLb,ROW()-4),1),2))</f>
        <v>28.53</v>
      </c>
      <c r="BA241" s="40" t="n">
        <f aca="false">IF(MOD(ROUND(ROUNDDOWN(MIN(AZ241-0.01,AY241-p_StopAtr*Y241),2)*100,0),50)=0,ROUNDDOWN(MIN(AZ241-0.01,AY241-p_StopAtr*Y241),2)-0.01,ROUNDDOWN(MIN(AZ241-0.01,AY241-p_StopAtr*Y241),2))</f>
        <v>28.52</v>
      </c>
      <c r="BB241" s="40" t="n">
        <f aca="false">ROUND(AI241,2)</f>
        <v>31.57</v>
      </c>
      <c r="BC241" s="40" t="n">
        <f aca="false">IF(AY241-BA241&gt;0,(BB241-AY241)/(AY241-BA241),0)</f>
        <v>0.265560165975104</v>
      </c>
      <c r="BD241" s="42" t="n">
        <f aca="false">IF(N241&lt;0,1,0)</f>
        <v>0</v>
      </c>
      <c r="BE241" s="41" t="n">
        <f aca="false">IF(AND(BD241=1,BD240=0),N241,IF(BD241=1,MIN(BE240,N241),BE240))</f>
        <v>-0.153190541609803</v>
      </c>
      <c r="BF241" s="40" t="n">
        <f aca="false">IF(AND(BD241=1,BD240=0),D241,IF(BD241=1,MIN(BF240,D241),BF240))</f>
        <v>27.9</v>
      </c>
      <c r="BG241" s="42" t="n">
        <f aca="false">IF(AND(BD241=1,BD240=0),ROW(),IF(BD241=1,IF(N241&lt;BE240,ROW(),BG240),BG240))</f>
        <v>226</v>
      </c>
      <c r="BH241" s="41" t="n">
        <f aca="false">IF(AND(BD241=1,BD240=0),BE240,BH240)</f>
        <v>-0.0514032452662709</v>
      </c>
      <c r="BI241" s="40" t="n">
        <f aca="false">IF(AND(BD241=1,BD240=0),BF240,BI240)</f>
        <v>26.79</v>
      </c>
      <c r="BJ241" s="42" t="n">
        <f aca="false">IF(AND(BD241=1,BD240=0),BG240,BJ240)</f>
        <v>213</v>
      </c>
      <c r="BK241" s="42" t="n">
        <f aca="false">IF(AND(ISNUMBER(BG241),ISNUMBER(BJ241)),BG241-BJ241,"")</f>
        <v>13</v>
      </c>
      <c r="BL241" s="42" t="n">
        <f aca="false">IF(AND(BD241=1,N241&gt;N240,ISNUMBER(BH241),ISNUMBER(BK241)),IF(AND(BE241&gt;BH241,BF241&lt;BI241,BK241&gt;=p_GapMin,BK241&lt;=p_GapMax),1,0),0)</f>
        <v>0</v>
      </c>
      <c r="BM241" s="42" t="n">
        <f aca="false">IF(AND(BL241=1,E241&gt;BI241),1,0)</f>
        <v>0</v>
      </c>
      <c r="BN241" s="42" t="n">
        <f aca="false">IF(BL241=1,IF(BE241&gt;=BH241*0.5,1,0),0)</f>
        <v>0</v>
      </c>
      <c r="BO241" s="42" t="n">
        <f aca="true">IF(V241&gt;MIN(OFFSET(V241,-MIN(p_FiLb-1,ROW()-5),0,MIN(p_FiLb-1,ROW()-5),1)),1,0)</f>
        <v>1</v>
      </c>
      <c r="BP241" s="44" t="n">
        <f aca="true">IF(COUNTIF(OFFSET(V241,1-MIN(100,ROW()-4),0,MIN(100,ROW()-4),1),"&lt;0")&gt;=5,AVERAGEIF(OFFSET(V241,1-MIN(100,ROW()-4),0,MIN(100,ROW()-4),1),"&lt;0"),"")</f>
        <v>-821649.241493213</v>
      </c>
      <c r="BQ241" s="42" t="n">
        <f aca="false">IF(ISNUMBER(BP241),IF(AND(V241&lt;5*BP241,V241&gt;V240,E241&lt;AJ241),1,0),0)</f>
        <v>0</v>
      </c>
      <c r="BR241" s="44" t="n">
        <f aca="true">AVERAGE(OFFSET(F241,1-MIN(5,ROW()-4),0,MIN(5,ROW()-4),1))</f>
        <v>4115420</v>
      </c>
      <c r="BS241" s="42" t="n">
        <f aca="false">IFERROR(IF(MATCH(G241,周线!$A$5:$A$84,0)&lt;=1,"",INDEX(周线!$R$5:$R$84,MATCH(G241,周线!$A$5:$A$84,0)-1)),"")</f>
        <v>1</v>
      </c>
      <c r="BT241" s="42" t="n">
        <f aca="false">IFERROR(IF(MATCH(G241,周线!$A$5:$A$84,0)&lt;=1,"",INDEX(周线!$S$5:$S$84,MATCH(G241,周线!$A$5:$A$84,0)-1)),"")</f>
        <v>1</v>
      </c>
      <c r="BU241" s="42" t="n">
        <f aca="false">IFERROR(IF(MATCH(G241,周线!$A$5:$A$84,0)&lt;=1,"",INDEX(周线!$U$5:$U$84,MATCH(G241,周线!$A$5:$A$84,0)-1)),"")</f>
        <v>1</v>
      </c>
      <c r="BV241" s="42" t="n">
        <f aca="false">IF(AND(BS241=1,S241&lt;&gt;-1,V241&lt;0,BO241=1,E241&lt;=H241,E241&gt;=AJ241),1,0)</f>
        <v>0</v>
      </c>
      <c r="BW241" s="42" t="n">
        <f aca="false">BL241</f>
        <v>0</v>
      </c>
      <c r="BX241" s="42" t="n">
        <f aca="false">BQ241</f>
        <v>0</v>
      </c>
      <c r="BY241" s="42" t="n">
        <f aca="false">IF(BS241=1,10,0)+IF(BU241=1,5,IF(BU241=-1,0,3))+IF(BT241=1,5,0)+IF(AND(AE241&gt;AF241,AH241&gt;AH240),5,0)</f>
        <v>25</v>
      </c>
      <c r="BZ241" s="42" t="n">
        <f aca="false">IF(AND(E241&lt;=H241,E241&gt;=I241),10,IF(AND(E241&gt;=AJ241,E241&lt;I241),6,0))+IF(AND(V241&lt;0,BO241=1),8,0)+IF(AT241&lt;30,7,IF(AT241&lt;50,3,0))</f>
        <v>0</v>
      </c>
      <c r="CA241" s="42" t="n">
        <f aca="false">IF(AND(BV241=1,BW241=1),25,IF(BW241=1,22,IF(BV241=1,15,IF(BX241=1,12,0))))</f>
        <v>0</v>
      </c>
      <c r="CB241" s="42" t="n">
        <f aca="false">IF(W241&gt;0,6,0)+IF(F241&lt;BR241,4,0)</f>
        <v>10</v>
      </c>
      <c r="CC241" s="42" t="n">
        <f aca="false">IF(BC241&gt;=3,15,IF(BC241&gt;=p_RRmin,10,IF(BC241&gt;=1.5,4,0)))</f>
        <v>0</v>
      </c>
      <c r="CD241" s="42" t="n">
        <f aca="false">BY241+BZ241+CA241+CB241+CC241</f>
        <v>35</v>
      </c>
      <c r="CE241" s="42" t="n">
        <f aca="false">IF(AND(BS241&lt;&gt;1,BW241+BX241=0),1,0)</f>
        <v>0</v>
      </c>
      <c r="CF241" s="42" t="n">
        <f aca="false">IF(BU241=-1,1,0)</f>
        <v>0</v>
      </c>
      <c r="CG241" s="42" t="n">
        <f aca="false">IF(S241=-1,1,0)</f>
        <v>0</v>
      </c>
      <c r="CH241" s="42" t="n">
        <f aca="false">IF(BV241+BW241+BX241=0,1,0)</f>
        <v>1</v>
      </c>
      <c r="CI241" s="42" t="n">
        <f aca="false">IF(BC241&lt;p_RRmin,1,0)</f>
        <v>1</v>
      </c>
      <c r="CJ241" s="46" t="str">
        <f aca="false">IF(SUM(CE241:CI241)=0,IF(CD241&gt;=p_GradeA,"A",IF(CD241&gt;=p_GradeB,"B","C")),IF(AND(CI241=1,SUM(CE241:CH241)=0,CD241&gt;=p_GradeB),"B","C"))</f>
        <v>C</v>
      </c>
    </row>
    <row r="242" customFormat="false" ht="15" hidden="false" customHeight="false" outlineLevel="0" collapsed="false">
      <c r="A242" s="36" t="n">
        <v>45992</v>
      </c>
      <c r="B242" s="37" t="n">
        <v>32.72</v>
      </c>
      <c r="C242" s="37" t="n">
        <v>32.89</v>
      </c>
      <c r="D242" s="37" t="n">
        <v>31.75</v>
      </c>
      <c r="E242" s="37" t="n">
        <v>32.04</v>
      </c>
      <c r="F242" s="38" t="n">
        <v>4272000</v>
      </c>
      <c r="G242" s="39" t="n">
        <f aca="false">A242-WEEKDAY(A242,3)</f>
        <v>45992</v>
      </c>
      <c r="H242" s="40" t="n">
        <f aca="false">2/(p_EmaF+1)*E242+(1-2/(p_EmaF+1))*H241</f>
        <v>31.0251740816126</v>
      </c>
      <c r="I242" s="40" t="n">
        <f aca="false">2/(p_EmaS+1)*E242+(1-2/(p_EmaS+1))*I241</f>
        <v>29.9526133540853</v>
      </c>
      <c r="J242" s="41" t="n">
        <f aca="false">2/(p_MacdF+1)*E242+(1-2/(p_MacdF+1))*J241</f>
        <v>31.1332391774861</v>
      </c>
      <c r="K242" s="41" t="n">
        <f aca="false">2/(p_MacdS+1)*E242+(1-2/(p_MacdS+1))*K241</f>
        <v>29.9526133540853</v>
      </c>
      <c r="L242" s="41" t="n">
        <f aca="false">J242-K242</f>
        <v>1.18062582340086</v>
      </c>
      <c r="M242" s="41" t="n">
        <f aca="false">2/(p_MacdSig+1)*L242+(1-2/(p_MacdSig+1))*M241</f>
        <v>0.944835253273201</v>
      </c>
      <c r="N242" s="41" t="n">
        <f aca="false">L242-M242</f>
        <v>0.235790570127659</v>
      </c>
      <c r="O242" s="42" t="n">
        <f aca="false">IF(H242&gt;H241,1,0)</f>
        <v>1</v>
      </c>
      <c r="P242" s="42" t="n">
        <f aca="false">IF(H242&lt;H241,1,0)</f>
        <v>0</v>
      </c>
      <c r="Q242" s="42" t="n">
        <f aca="false">IF(N242&gt;N241,1,0)</f>
        <v>0</v>
      </c>
      <c r="R242" s="42" t="n">
        <f aca="false">IF(N242&lt;N241,1,0)</f>
        <v>1</v>
      </c>
      <c r="S242" s="42" t="n">
        <f aca="false">IF(AND(O242=1,Q242=1),1,IF(AND(P242=1,R242=1),-1,0))</f>
        <v>0</v>
      </c>
      <c r="T242" s="43" t="str">
        <f aca="false">IF(S242=1,"绿",IF(S242=-1,"红","蓝"))</f>
        <v>蓝</v>
      </c>
      <c r="U242" s="44" t="n">
        <f aca="false">F242*(E242-E241)</f>
        <v>-2563200.00000001</v>
      </c>
      <c r="V242" s="44" t="n">
        <f aca="false">2/(p_FiS+1)*U242+(1-2/(p_FiS+1))*V241</f>
        <v>-1486048.73444885</v>
      </c>
      <c r="W242" s="44" t="n">
        <f aca="false">2/(p_FiL+1)*U242+(1-2/(p_FiL+1))*W241</f>
        <v>742811.955845202</v>
      </c>
      <c r="X242" s="41" t="n">
        <f aca="false">MAX(C242-D242,ABS(C242-E241),ABS(D242-E241))</f>
        <v>1.14</v>
      </c>
      <c r="Y242" s="41" t="n">
        <f aca="true">AVERAGE(OFFSET(X242,1-MIN(p_AtrN,ROW()-4),0,MIN(p_AtrN,ROW()-4),1))</f>
        <v>0.803076923076923</v>
      </c>
      <c r="Z242" s="41" t="n">
        <f aca="false">IF(AND(C242-C241&gt;D241-D242,C242-C241&gt;0),C242-C241,0)</f>
        <v>0</v>
      </c>
      <c r="AA242" s="41" t="n">
        <f aca="false">IF(AND(D241-D242&gt;C242-C241,D241-D242&gt;0),D241-D242,0)</f>
        <v>0.5</v>
      </c>
      <c r="AB242" s="41" t="n">
        <f aca="false">2/(p_AdxN+1)*X242+(1-2/(p_AdxN+1))*AB241</f>
        <v>0.849367150718748</v>
      </c>
      <c r="AC242" s="41" t="n">
        <f aca="false">2/(p_AdxN+1)*Z242+(1-2/(p_AdxN+1))*AC241</f>
        <v>0.294713154259549</v>
      </c>
      <c r="AD242" s="41" t="n">
        <f aca="false">2/(p_AdxN+1)*AA242+(1-2/(p_AdxN+1))*AD241</f>
        <v>0.0839251211703781</v>
      </c>
      <c r="AE242" s="45" t="n">
        <f aca="false">100*AC242/AB242</f>
        <v>34.6979694246662</v>
      </c>
      <c r="AF242" s="45" t="n">
        <f aca="false">100*AD242/AB242</f>
        <v>9.88090027962105</v>
      </c>
      <c r="AG242" s="45" t="n">
        <f aca="false">IFERROR(100*ABS(AE242-AF242)/(AE242+AF242),0)</f>
        <v>55.6700277725041</v>
      </c>
      <c r="AH242" s="45" t="n">
        <f aca="false">2/(p_AdxN+1)*AG242+(1-2/(p_AdxN+1))*AH241</f>
        <v>67.3540184012754</v>
      </c>
      <c r="AI242" s="40" t="n">
        <f aca="false">I242*(1+p_ChPct)</f>
        <v>31.7497701553304</v>
      </c>
      <c r="AJ242" s="40" t="n">
        <f aca="false">I242*(1-p_ChPct)</f>
        <v>28.1554565528401</v>
      </c>
      <c r="AK242" s="40" t="n">
        <f aca="false">I242+1*Y242</f>
        <v>30.7556902771622</v>
      </c>
      <c r="AL242" s="40" t="n">
        <f aca="false">I242+2*Y242</f>
        <v>31.5587672002391</v>
      </c>
      <c r="AM242" s="40" t="n">
        <f aca="false">I242+3*Y242</f>
        <v>32.361844123316</v>
      </c>
      <c r="AN242" s="40" t="n">
        <f aca="false">I242-1*Y242</f>
        <v>29.1495364310083</v>
      </c>
      <c r="AO242" s="40" t="n">
        <f aca="false">I242-2*Y242</f>
        <v>28.3464595079314</v>
      </c>
      <c r="AP242" s="40" t="n">
        <f aca="false">I242-3*Y242</f>
        <v>27.5433825848545</v>
      </c>
      <c r="AQ242" s="40" t="n">
        <f aca="true">MAX(OFFSET(C242,1-MIN(p_StochN,ROW()-4),0,MIN(p_StochN,ROW()-4),1))</f>
        <v>33.08</v>
      </c>
      <c r="AR242" s="40" t="n">
        <f aca="true">MIN(OFFSET(D242,1-MIN(p_StochN,ROW()-4),0,MIN(p_StochN,ROW()-4),1))</f>
        <v>31.19</v>
      </c>
      <c r="AS242" s="45" t="n">
        <f aca="false">IF(AQ242=AR242,50,100*(E242-AR242)/(AQ242-AR242))</f>
        <v>44.9735449735449</v>
      </c>
      <c r="AT242" s="45" t="n">
        <f aca="true">AVERAGE(OFFSET(AS242,1-MIN(p_StochSm,ROW()-4),0,MIN(p_StochSm,ROW()-4),1))</f>
        <v>73.6726274245886</v>
      </c>
      <c r="AU242" s="45" t="n">
        <f aca="true">AVERAGE(OFFSET(AT242,1-MIN(p_StochSm,ROW()-4),0,MIN(p_StochSm,ROW()-4),1))</f>
        <v>83.7455033793788</v>
      </c>
      <c r="AV242" s="41" t="n">
        <f aca="false">MAX(0,H242-D242)</f>
        <v>0</v>
      </c>
      <c r="AW242" s="41" t="n">
        <f aca="true">IF(COUNTIF(OFFSET(AV242,1-MIN(p_PenLb,ROW()-4),0,MIN(p_PenLb,ROW()-4),1),"&gt;0")&gt;0,SUM(OFFSET(AV242,1-MIN(p_PenLb,ROW()-4),0,MIN(p_PenLb,ROW()-4),1))/COUNTIF(OFFSET(AV242,1-MIN(p_PenLb,ROW()-4),0,MIN(p_PenLb,ROW()-4),1),"&gt;0"),0.5*Y242)</f>
        <v>0.212552912259614</v>
      </c>
      <c r="AX242" s="41" t="n">
        <f aca="false">2*H242-H241</f>
        <v>31.1943117346772</v>
      </c>
      <c r="AY242" s="40" t="n">
        <f aca="false">ROUND(MAX(AX242-AW242,0.01),2)</f>
        <v>30.98</v>
      </c>
      <c r="AZ242" s="40" t="n">
        <f aca="true">IF(MIN(p_StopLb,ROW()-4)&lt;2,D242,SMALL(OFFSET(D242,1-MIN(p_StopLb,ROW()-4),0,MIN(p_StopLb,ROW()-4),1),2))</f>
        <v>29.26</v>
      </c>
      <c r="BA242" s="40" t="n">
        <f aca="false">IF(MOD(ROUND(ROUNDDOWN(MIN(AZ242-0.01,AY242-p_StopAtr*Y242),2)*100,0),50)=0,ROUNDDOWN(MIN(AZ242-0.01,AY242-p_StopAtr*Y242),2)-0.01,ROUNDDOWN(MIN(AZ242-0.01,AY242-p_StopAtr*Y242),2))</f>
        <v>29.25</v>
      </c>
      <c r="BB242" s="40" t="n">
        <f aca="false">ROUND(AI242,2)</f>
        <v>31.75</v>
      </c>
      <c r="BC242" s="40" t="n">
        <f aca="false">IF(AY242-BA242&gt;0,(BB242-AY242)/(AY242-BA242),0)</f>
        <v>0.445086705202312</v>
      </c>
      <c r="BD242" s="42" t="n">
        <f aca="false">IF(N242&lt;0,1,0)</f>
        <v>0</v>
      </c>
      <c r="BE242" s="41" t="n">
        <f aca="false">IF(AND(BD242=1,BD241=0),N242,IF(BD242=1,MIN(BE241,N242),BE241))</f>
        <v>-0.153190541609803</v>
      </c>
      <c r="BF242" s="40" t="n">
        <f aca="false">IF(AND(BD242=1,BD241=0),D242,IF(BD242=1,MIN(BF241,D242),BF241))</f>
        <v>27.9</v>
      </c>
      <c r="BG242" s="42" t="n">
        <f aca="false">IF(AND(BD242=1,BD241=0),ROW(),IF(BD242=1,IF(N242&lt;BE241,ROW(),BG241),BG241))</f>
        <v>226</v>
      </c>
      <c r="BH242" s="41" t="n">
        <f aca="false">IF(AND(BD242=1,BD241=0),BE241,BH241)</f>
        <v>-0.0514032452662709</v>
      </c>
      <c r="BI242" s="40" t="n">
        <f aca="false">IF(AND(BD242=1,BD241=0),BF241,BI241)</f>
        <v>26.79</v>
      </c>
      <c r="BJ242" s="42" t="n">
        <f aca="false">IF(AND(BD242=1,BD241=0),BG241,BJ241)</f>
        <v>213</v>
      </c>
      <c r="BK242" s="42" t="n">
        <f aca="false">IF(AND(ISNUMBER(BG242),ISNUMBER(BJ242)),BG242-BJ242,"")</f>
        <v>13</v>
      </c>
      <c r="BL242" s="42" t="n">
        <f aca="false">IF(AND(BD242=1,N242&gt;N241,ISNUMBER(BH242),ISNUMBER(BK242)),IF(AND(BE242&gt;BH242,BF242&lt;BI242,BK242&gt;=p_GapMin,BK242&lt;=p_GapMax),1,0),0)</f>
        <v>0</v>
      </c>
      <c r="BM242" s="42" t="n">
        <f aca="false">IF(AND(BL242=1,E242&gt;BI242),1,0)</f>
        <v>0</v>
      </c>
      <c r="BN242" s="42" t="n">
        <f aca="false">IF(BL242=1,IF(BE242&gt;=BH242*0.5,1,0),0)</f>
        <v>0</v>
      </c>
      <c r="BO242" s="42" t="n">
        <f aca="true">IF(V242&gt;MIN(OFFSET(V242,-MIN(p_FiLb-1,ROW()-5),0,MIN(p_FiLb-1,ROW()-5),1)),1,0)</f>
        <v>1</v>
      </c>
      <c r="BP242" s="44" t="n">
        <f aca="true">IF(COUNTIF(OFFSET(V242,1-MIN(100,ROW()-4),0,MIN(100,ROW()-4),1),"&lt;0")&gt;=5,AVERAGEIF(OFFSET(V242,1-MIN(100,ROW()-4),0,MIN(100,ROW()-4),1),"&lt;0"),"")</f>
        <v>-840632.084149088</v>
      </c>
      <c r="BQ242" s="42" t="n">
        <f aca="false">IF(ISNUMBER(BP242),IF(AND(V242&lt;5*BP242,V242&gt;V241,E242&lt;AJ242),1,0),0)</f>
        <v>0</v>
      </c>
      <c r="BR242" s="44" t="n">
        <f aca="true">AVERAGE(OFFSET(F242,1-MIN(5,ROW()-4),0,MIN(5,ROW()-4),1))</f>
        <v>3964780</v>
      </c>
      <c r="BS242" s="42" t="n">
        <f aca="false">IFERROR(IF(MATCH(G242,周线!$A$5:$A$84,0)&lt;=1,"",INDEX(周线!$R$5:$R$84,MATCH(G242,周线!$A$5:$A$84,0)-1)),"")</f>
        <v>1</v>
      </c>
      <c r="BT242" s="42" t="n">
        <f aca="false">IFERROR(IF(MATCH(G242,周线!$A$5:$A$84,0)&lt;=1,"",INDEX(周线!$S$5:$S$84,MATCH(G242,周线!$A$5:$A$84,0)-1)),"")</f>
        <v>1</v>
      </c>
      <c r="BU242" s="42" t="n">
        <f aca="false">IFERROR(IF(MATCH(G242,周线!$A$5:$A$84,0)&lt;=1,"",INDEX(周线!$U$5:$U$84,MATCH(G242,周线!$A$5:$A$84,0)-1)),"")</f>
        <v>1</v>
      </c>
      <c r="BV242" s="42" t="n">
        <f aca="false">IF(AND(BS242=1,S242&lt;&gt;-1,V242&lt;0,BO242=1,E242&lt;=H242,E242&gt;=AJ242),1,0)</f>
        <v>0</v>
      </c>
      <c r="BW242" s="42" t="n">
        <f aca="false">BL242</f>
        <v>0</v>
      </c>
      <c r="BX242" s="42" t="n">
        <f aca="false">BQ242</f>
        <v>0</v>
      </c>
      <c r="BY242" s="42" t="n">
        <f aca="false">IF(BS242=1,10,0)+IF(BU242=1,5,IF(BU242=-1,0,3))+IF(BT242=1,5,0)+IF(AND(AE242&gt;AF242,AH242&gt;AH241),5,0)</f>
        <v>20</v>
      </c>
      <c r="BZ242" s="42" t="n">
        <f aca="false">IF(AND(E242&lt;=H242,E242&gt;=I242),10,IF(AND(E242&gt;=AJ242,E242&lt;I242),6,0))+IF(AND(V242&lt;0,BO242=1),8,0)+IF(AT242&lt;30,7,IF(AT242&lt;50,3,0))</f>
        <v>8</v>
      </c>
      <c r="CA242" s="42" t="n">
        <f aca="false">IF(AND(BV242=1,BW242=1),25,IF(BW242=1,22,IF(BV242=1,15,IF(BX242=1,12,0))))</f>
        <v>0</v>
      </c>
      <c r="CB242" s="42" t="n">
        <f aca="false">IF(W242&gt;0,6,0)+IF(F242&lt;BR242,4,0)</f>
        <v>6</v>
      </c>
      <c r="CC242" s="42" t="n">
        <f aca="false">IF(BC242&gt;=3,15,IF(BC242&gt;=p_RRmin,10,IF(BC242&gt;=1.5,4,0)))</f>
        <v>0</v>
      </c>
      <c r="CD242" s="42" t="n">
        <f aca="false">BY242+BZ242+CA242+CB242+CC242</f>
        <v>34</v>
      </c>
      <c r="CE242" s="42" t="n">
        <f aca="false">IF(AND(BS242&lt;&gt;1,BW242+BX242=0),1,0)</f>
        <v>0</v>
      </c>
      <c r="CF242" s="42" t="n">
        <f aca="false">IF(BU242=-1,1,0)</f>
        <v>0</v>
      </c>
      <c r="CG242" s="42" t="n">
        <f aca="false">IF(S242=-1,1,0)</f>
        <v>0</v>
      </c>
      <c r="CH242" s="42" t="n">
        <f aca="false">IF(BV242+BW242+BX242=0,1,0)</f>
        <v>1</v>
      </c>
      <c r="CI242" s="42" t="n">
        <f aca="false">IF(BC242&lt;p_RRmin,1,0)</f>
        <v>1</v>
      </c>
      <c r="CJ242" s="46" t="str">
        <f aca="false">IF(SUM(CE242:CI242)=0,IF(CD242&gt;=p_GradeA,"A",IF(CD242&gt;=p_GradeB,"B","C")),IF(AND(CI242=1,SUM(CE242:CH242)=0,CD242&gt;=p_GradeB),"B","C"))</f>
        <v>C</v>
      </c>
    </row>
    <row r="243" customFormat="false" ht="15" hidden="false" customHeight="false" outlineLevel="0" collapsed="false">
      <c r="A243" s="36" t="n">
        <v>45993</v>
      </c>
      <c r="B243" s="37" t="n">
        <v>31.92</v>
      </c>
      <c r="C243" s="37" t="n">
        <v>32.13</v>
      </c>
      <c r="D243" s="37" t="n">
        <v>31.84</v>
      </c>
      <c r="E243" s="37" t="n">
        <v>32.04</v>
      </c>
      <c r="F243" s="38" t="n">
        <v>2984500</v>
      </c>
      <c r="G243" s="39" t="n">
        <f aca="false">A243-WEEKDAY(A243,3)</f>
        <v>45992</v>
      </c>
      <c r="H243" s="40" t="n">
        <f aca="false">2/(p_EmaF+1)*E243+(1-2/(p_EmaF+1))*H242</f>
        <v>31.1701492128108</v>
      </c>
      <c r="I243" s="40" t="n">
        <f aca="false">2/(p_EmaS+1)*E243+(1-2/(p_EmaS+1))*I242</f>
        <v>30.107234587116</v>
      </c>
      <c r="J243" s="41" t="n">
        <f aca="false">2/(p_MacdF+1)*E243+(1-2/(p_MacdF+1))*J242</f>
        <v>31.2727408424882</v>
      </c>
      <c r="K243" s="41" t="n">
        <f aca="false">2/(p_MacdS+1)*E243+(1-2/(p_MacdS+1))*K242</f>
        <v>30.107234587116</v>
      </c>
      <c r="L243" s="41" t="n">
        <f aca="false">J243-K243</f>
        <v>1.16550625537227</v>
      </c>
      <c r="M243" s="41" t="n">
        <f aca="false">2/(p_MacdSig+1)*L243+(1-2/(p_MacdSig+1))*M242</f>
        <v>0.988969453693015</v>
      </c>
      <c r="N243" s="41" t="n">
        <f aca="false">L243-M243</f>
        <v>0.176536801679257</v>
      </c>
      <c r="O243" s="42" t="n">
        <f aca="false">IF(H243&gt;H242,1,0)</f>
        <v>1</v>
      </c>
      <c r="P243" s="42" t="n">
        <f aca="false">IF(H243&lt;H242,1,0)</f>
        <v>0</v>
      </c>
      <c r="Q243" s="42" t="n">
        <f aca="false">IF(N243&gt;N242,1,0)</f>
        <v>0</v>
      </c>
      <c r="R243" s="42" t="n">
        <f aca="false">IF(N243&lt;N242,1,0)</f>
        <v>1</v>
      </c>
      <c r="S243" s="42" t="n">
        <f aca="false">IF(AND(O243=1,Q243=1),1,IF(AND(P243=1,R243=1),-1,0))</f>
        <v>0</v>
      </c>
      <c r="T243" s="43" t="str">
        <f aca="false">IF(S243=1,"绿",IF(S243=-1,"红","蓝"))</f>
        <v>蓝</v>
      </c>
      <c r="U243" s="44" t="n">
        <f aca="false">F243*(E243-E242)</f>
        <v>0</v>
      </c>
      <c r="V243" s="44" t="n">
        <f aca="false">2/(p_FiS+1)*U243+(1-2/(p_FiS+1))*V242</f>
        <v>-495349.578149616</v>
      </c>
      <c r="W243" s="44" t="n">
        <f aca="false">2/(p_FiL+1)*U243+(1-2/(p_FiL+1))*W242</f>
        <v>636695.962153031</v>
      </c>
      <c r="X243" s="41" t="n">
        <f aca="false">MAX(C243-D243,ABS(C243-E242),ABS(D243-E242))</f>
        <v>0.290000000000003</v>
      </c>
      <c r="Y243" s="41" t="n">
        <f aca="true">AVERAGE(OFFSET(X243,1-MIN(p_AtrN,ROW()-4),0,MIN(p_AtrN,ROW()-4),1))</f>
        <v>0.784615384615384</v>
      </c>
      <c r="Z243" s="41" t="n">
        <f aca="false">IF(AND(C243-C242&gt;D242-D243,C243-C242&gt;0),C243-C242,0)</f>
        <v>0</v>
      </c>
      <c r="AA243" s="41" t="n">
        <f aca="false">IF(AND(D242-D243&gt;C243-C242,D242-D243&gt;0),D242-D243,0)</f>
        <v>0</v>
      </c>
      <c r="AB243" s="41" t="n">
        <f aca="false">2/(p_AdxN+1)*X243+(1-2/(p_AdxN+1))*AB242</f>
        <v>0.769457557758927</v>
      </c>
      <c r="AC243" s="41" t="n">
        <f aca="false">2/(p_AdxN+1)*Z243+(1-2/(p_AdxN+1))*AC242</f>
        <v>0.252611275079614</v>
      </c>
      <c r="AD243" s="41" t="n">
        <f aca="false">2/(p_AdxN+1)*AA243+(1-2/(p_AdxN+1))*AD242</f>
        <v>0.0719358181460384</v>
      </c>
      <c r="AE243" s="45" t="n">
        <f aca="false">100*AC243/AB243</f>
        <v>32.8297867156381</v>
      </c>
      <c r="AF243" s="45" t="n">
        <f aca="false">100*AD243/AB243</f>
        <v>9.34890006871257</v>
      </c>
      <c r="AG243" s="45" t="n">
        <f aca="false">IFERROR(100*ABS(AE243-AF243)/(AE243+AF243),0)</f>
        <v>55.6700277725041</v>
      </c>
      <c r="AH243" s="45" t="n">
        <f aca="false">2/(p_AdxN+1)*AG243+(1-2/(p_AdxN+1))*AH242</f>
        <v>65.6848768828795</v>
      </c>
      <c r="AI243" s="40" t="n">
        <f aca="false">I243*(1+p_ChPct)</f>
        <v>31.9136686623429</v>
      </c>
      <c r="AJ243" s="40" t="n">
        <f aca="false">I243*(1-p_ChPct)</f>
        <v>28.300800511889</v>
      </c>
      <c r="AK243" s="40" t="n">
        <f aca="false">I243+1*Y243</f>
        <v>30.8918499717314</v>
      </c>
      <c r="AL243" s="40" t="n">
        <f aca="false">I243+2*Y243</f>
        <v>31.6764653563467</v>
      </c>
      <c r="AM243" s="40" t="n">
        <f aca="false">I243+3*Y243</f>
        <v>32.4610807409621</v>
      </c>
      <c r="AN243" s="40" t="n">
        <f aca="false">I243-1*Y243</f>
        <v>29.3226192025006</v>
      </c>
      <c r="AO243" s="40" t="n">
        <f aca="false">I243-2*Y243</f>
        <v>28.5380038178852</v>
      </c>
      <c r="AP243" s="40" t="n">
        <f aca="false">I243-3*Y243</f>
        <v>27.7533884332698</v>
      </c>
      <c r="AQ243" s="40" t="n">
        <f aca="true">MAX(OFFSET(C243,1-MIN(p_StochN,ROW()-4),0,MIN(p_StochN,ROW()-4),1))</f>
        <v>33.08</v>
      </c>
      <c r="AR243" s="40" t="n">
        <f aca="true">MIN(OFFSET(D243,1-MIN(p_StochN,ROW()-4),0,MIN(p_StochN,ROW()-4),1))</f>
        <v>31.74</v>
      </c>
      <c r="AS243" s="45" t="n">
        <f aca="false">IF(AQ243=AR243,50,100*(E243-AR243)/(AQ243-AR243))</f>
        <v>22.3880597014926</v>
      </c>
      <c r="AT243" s="45" t="n">
        <f aca="true">AVERAGE(OFFSET(AS243,1-MIN(p_StochSm,ROW()-4),0,MIN(p_StochSm,ROW()-4),1))</f>
        <v>50.5303317853471</v>
      </c>
      <c r="AU243" s="45" t="n">
        <f aca="true">AVERAGE(OFFSET(AT243,1-MIN(p_StochSm,ROW()-4),0,MIN(p_StochSm,ROW()-4),1))</f>
        <v>70.2883134188271</v>
      </c>
      <c r="AV243" s="41" t="n">
        <f aca="false">MAX(0,H243-D243)</f>
        <v>0</v>
      </c>
      <c r="AW243" s="41" t="n">
        <f aca="true">IF(COUNTIF(OFFSET(AV243,1-MIN(p_PenLb,ROW()-4),0,MIN(p_PenLb,ROW()-4),1),"&gt;0")&gt;0,SUM(OFFSET(AV243,1-MIN(p_PenLb,ROW()-4),0,MIN(p_PenLb,ROW()-4),1))/COUNTIF(OFFSET(AV243,1-MIN(p_PenLb,ROW()-4),0,MIN(p_PenLb,ROW()-4),1),"&gt;0"),0.5*Y243)</f>
        <v>0.222051293659398</v>
      </c>
      <c r="AX243" s="41" t="n">
        <f aca="false">2*H243-H242</f>
        <v>31.315124344009</v>
      </c>
      <c r="AY243" s="40" t="n">
        <f aca="false">ROUND(MAX(AX243-AW243,0.01),2)</f>
        <v>31.09</v>
      </c>
      <c r="AZ243" s="40" t="n">
        <f aca="true">IF(MIN(p_StopLb,ROW()-4)&lt;2,D243,SMALL(OFFSET(D243,1-MIN(p_StopLb,ROW()-4),0,MIN(p_StopLb,ROW()-4),1),2))</f>
        <v>29.69</v>
      </c>
      <c r="BA243" s="40" t="n">
        <f aca="false">IF(MOD(ROUND(ROUNDDOWN(MIN(AZ243-0.01,AY243-p_StopAtr*Y243),2)*100,0),50)=0,ROUNDDOWN(MIN(AZ243-0.01,AY243-p_StopAtr*Y243),2)-0.01,ROUNDDOWN(MIN(AZ243-0.01,AY243-p_StopAtr*Y243),2))</f>
        <v>29.68</v>
      </c>
      <c r="BB243" s="40" t="n">
        <f aca="false">ROUND(AI243,2)</f>
        <v>31.91</v>
      </c>
      <c r="BC243" s="40" t="n">
        <f aca="false">IF(AY243-BA243&gt;0,(BB243-AY243)/(AY243-BA243),0)</f>
        <v>0.581560283687943</v>
      </c>
      <c r="BD243" s="42" t="n">
        <f aca="false">IF(N243&lt;0,1,0)</f>
        <v>0</v>
      </c>
      <c r="BE243" s="41" t="n">
        <f aca="false">IF(AND(BD243=1,BD242=0),N243,IF(BD243=1,MIN(BE242,N243),BE242))</f>
        <v>-0.153190541609803</v>
      </c>
      <c r="BF243" s="40" t="n">
        <f aca="false">IF(AND(BD243=1,BD242=0),D243,IF(BD243=1,MIN(BF242,D243),BF242))</f>
        <v>27.9</v>
      </c>
      <c r="BG243" s="42" t="n">
        <f aca="false">IF(AND(BD243=1,BD242=0),ROW(),IF(BD243=1,IF(N243&lt;BE242,ROW(),BG242),BG242))</f>
        <v>226</v>
      </c>
      <c r="BH243" s="41" t="n">
        <f aca="false">IF(AND(BD243=1,BD242=0),BE242,BH242)</f>
        <v>-0.0514032452662709</v>
      </c>
      <c r="BI243" s="40" t="n">
        <f aca="false">IF(AND(BD243=1,BD242=0),BF242,BI242)</f>
        <v>26.79</v>
      </c>
      <c r="BJ243" s="42" t="n">
        <f aca="false">IF(AND(BD243=1,BD242=0),BG242,BJ242)</f>
        <v>213</v>
      </c>
      <c r="BK243" s="42" t="n">
        <f aca="false">IF(AND(ISNUMBER(BG243),ISNUMBER(BJ243)),BG243-BJ243,"")</f>
        <v>13</v>
      </c>
      <c r="BL243" s="42" t="n">
        <f aca="false">IF(AND(BD243=1,N243&gt;N242,ISNUMBER(BH243),ISNUMBER(BK243)),IF(AND(BE243&gt;BH243,BF243&lt;BI243,BK243&gt;=p_GapMin,BK243&lt;=p_GapMax),1,0),0)</f>
        <v>0</v>
      </c>
      <c r="BM243" s="42" t="n">
        <f aca="false">IF(AND(BL243=1,E243&gt;BI243),1,0)</f>
        <v>0</v>
      </c>
      <c r="BN243" s="42" t="n">
        <f aca="false">IF(BL243=1,IF(BE243&gt;=BH243*0.5,1,0),0)</f>
        <v>0</v>
      </c>
      <c r="BO243" s="42" t="n">
        <f aca="true">IF(V243&gt;MIN(OFFSET(V243,-MIN(p_FiLb-1,ROW()-5),0,MIN(p_FiLb-1,ROW()-5),1)),1,0)</f>
        <v>1</v>
      </c>
      <c r="BP243" s="44" t="n">
        <f aca="true">IF(COUNTIF(OFFSET(V243,1-MIN(100,ROW()-4),0,MIN(100,ROW()-4),1),"&lt;0")&gt;=5,AVERAGEIF(OFFSET(V243,1-MIN(100,ROW()-4),0,MIN(100,ROW()-4),1),"&lt;0"),"")</f>
        <v>-830290.992161118</v>
      </c>
      <c r="BQ243" s="42" t="n">
        <f aca="false">IF(ISNUMBER(BP243),IF(AND(V243&lt;5*BP243,V243&gt;V242,E243&lt;AJ243),1,0),0)</f>
        <v>0</v>
      </c>
      <c r="BR243" s="44" t="n">
        <f aca="true">AVERAGE(OFFSET(F243,1-MIN(5,ROW()-4),0,MIN(5,ROW()-4),1))</f>
        <v>3619820</v>
      </c>
      <c r="BS243" s="42" t="n">
        <f aca="false">IFERROR(IF(MATCH(G243,周线!$A$5:$A$84,0)&lt;=1,"",INDEX(周线!$R$5:$R$84,MATCH(G243,周线!$A$5:$A$84,0)-1)),"")</f>
        <v>1</v>
      </c>
      <c r="BT243" s="42" t="n">
        <f aca="false">IFERROR(IF(MATCH(G243,周线!$A$5:$A$84,0)&lt;=1,"",INDEX(周线!$S$5:$S$84,MATCH(G243,周线!$A$5:$A$84,0)-1)),"")</f>
        <v>1</v>
      </c>
      <c r="BU243" s="42" t="n">
        <f aca="false">IFERROR(IF(MATCH(G243,周线!$A$5:$A$84,0)&lt;=1,"",INDEX(周线!$U$5:$U$84,MATCH(G243,周线!$A$5:$A$84,0)-1)),"")</f>
        <v>1</v>
      </c>
      <c r="BV243" s="42" t="n">
        <f aca="false">IF(AND(BS243=1,S243&lt;&gt;-1,V243&lt;0,BO243=1,E243&lt;=H243,E243&gt;=AJ243),1,0)</f>
        <v>0</v>
      </c>
      <c r="BW243" s="42" t="n">
        <f aca="false">BL243</f>
        <v>0</v>
      </c>
      <c r="BX243" s="42" t="n">
        <f aca="false">BQ243</f>
        <v>0</v>
      </c>
      <c r="BY243" s="42" t="n">
        <f aca="false">IF(BS243=1,10,0)+IF(BU243=1,5,IF(BU243=-1,0,3))+IF(BT243=1,5,0)+IF(AND(AE243&gt;AF243,AH243&gt;AH242),5,0)</f>
        <v>20</v>
      </c>
      <c r="BZ243" s="42" t="n">
        <f aca="false">IF(AND(E243&lt;=H243,E243&gt;=I243),10,IF(AND(E243&gt;=AJ243,E243&lt;I243),6,0))+IF(AND(V243&lt;0,BO243=1),8,0)+IF(AT243&lt;30,7,IF(AT243&lt;50,3,0))</f>
        <v>8</v>
      </c>
      <c r="CA243" s="42" t="n">
        <f aca="false">IF(AND(BV243=1,BW243=1),25,IF(BW243=1,22,IF(BV243=1,15,IF(BX243=1,12,0))))</f>
        <v>0</v>
      </c>
      <c r="CB243" s="42" t="n">
        <f aca="false">IF(W243&gt;0,6,0)+IF(F243&lt;BR243,4,0)</f>
        <v>10</v>
      </c>
      <c r="CC243" s="42" t="n">
        <f aca="false">IF(BC243&gt;=3,15,IF(BC243&gt;=p_RRmin,10,IF(BC243&gt;=1.5,4,0)))</f>
        <v>0</v>
      </c>
      <c r="CD243" s="42" t="n">
        <f aca="false">BY243+BZ243+CA243+CB243+CC243</f>
        <v>38</v>
      </c>
      <c r="CE243" s="42" t="n">
        <f aca="false">IF(AND(BS243&lt;&gt;1,BW243+BX243=0),1,0)</f>
        <v>0</v>
      </c>
      <c r="CF243" s="42" t="n">
        <f aca="false">IF(BU243=-1,1,0)</f>
        <v>0</v>
      </c>
      <c r="CG243" s="42" t="n">
        <f aca="false">IF(S243=-1,1,0)</f>
        <v>0</v>
      </c>
      <c r="CH243" s="42" t="n">
        <f aca="false">IF(BV243+BW243+BX243=0,1,0)</f>
        <v>1</v>
      </c>
      <c r="CI243" s="42" t="n">
        <f aca="false">IF(BC243&lt;p_RRmin,1,0)</f>
        <v>1</v>
      </c>
      <c r="CJ243" s="46" t="str">
        <f aca="false">IF(SUM(CE243:CI243)=0,IF(CD243&gt;=p_GradeA,"A",IF(CD243&gt;=p_GradeB,"B","C")),IF(AND(CI243=1,SUM(CE243:CH243)=0,CD243&gt;=p_GradeB),"B","C"))</f>
        <v>C</v>
      </c>
    </row>
    <row r="244" customFormat="false" ht="15" hidden="false" customHeight="false" outlineLevel="0" collapsed="false">
      <c r="A244" s="36" t="n">
        <v>45994</v>
      </c>
      <c r="B244" s="37" t="n">
        <v>31.94</v>
      </c>
      <c r="C244" s="37" t="n">
        <v>32.64</v>
      </c>
      <c r="D244" s="37" t="n">
        <v>31.87</v>
      </c>
      <c r="E244" s="37" t="n">
        <v>32.54</v>
      </c>
      <c r="F244" s="38" t="n">
        <v>2993700</v>
      </c>
      <c r="G244" s="39" t="n">
        <f aca="false">A244-WEEKDAY(A244,3)</f>
        <v>45992</v>
      </c>
      <c r="H244" s="40" t="n">
        <f aca="false">2/(p_EmaF+1)*E244+(1-2/(p_EmaF+1))*H243</f>
        <v>31.3658421824093</v>
      </c>
      <c r="I244" s="40" t="n">
        <f aca="false">2/(p_EmaS+1)*E244+(1-2/(p_EmaS+1))*I243</f>
        <v>30.2874394325148</v>
      </c>
      <c r="J244" s="41" t="n">
        <f aca="false">2/(p_MacdF+1)*E244+(1-2/(p_MacdF+1))*J243</f>
        <v>31.4677037897978</v>
      </c>
      <c r="K244" s="41" t="n">
        <f aca="false">2/(p_MacdS+1)*E244+(1-2/(p_MacdS+1))*K243</f>
        <v>30.2874394325148</v>
      </c>
      <c r="L244" s="41" t="n">
        <f aca="false">J244-K244</f>
        <v>1.18026435728296</v>
      </c>
      <c r="M244" s="41" t="n">
        <f aca="false">2/(p_MacdSig+1)*L244+(1-2/(p_MacdSig+1))*M243</f>
        <v>1.027228434411</v>
      </c>
      <c r="N244" s="41" t="n">
        <f aca="false">L244-M244</f>
        <v>0.153035922871954</v>
      </c>
      <c r="O244" s="42" t="n">
        <f aca="false">IF(H244&gt;H243,1,0)</f>
        <v>1</v>
      </c>
      <c r="P244" s="42" t="n">
        <f aca="false">IF(H244&lt;H243,1,0)</f>
        <v>0</v>
      </c>
      <c r="Q244" s="42" t="n">
        <f aca="false">IF(N244&gt;N243,1,0)</f>
        <v>0</v>
      </c>
      <c r="R244" s="42" t="n">
        <f aca="false">IF(N244&lt;N243,1,0)</f>
        <v>1</v>
      </c>
      <c r="S244" s="42" t="n">
        <f aca="false">IF(AND(O244=1,Q244=1),1,IF(AND(P244=1,R244=1),-1,0))</f>
        <v>0</v>
      </c>
      <c r="T244" s="43" t="str">
        <f aca="false">IF(S244=1,"绿",IF(S244=-1,"红","蓝"))</f>
        <v>蓝</v>
      </c>
      <c r="U244" s="44" t="n">
        <f aca="false">F244*(E244-E243)</f>
        <v>1496850</v>
      </c>
      <c r="V244" s="44" t="n">
        <f aca="false">2/(p_FiS+1)*U244+(1-2/(p_FiS+1))*V243</f>
        <v>832783.473950128</v>
      </c>
      <c r="W244" s="44" t="n">
        <f aca="false">2/(p_FiL+1)*U244+(1-2/(p_FiL+1))*W243</f>
        <v>759575.110416883</v>
      </c>
      <c r="X244" s="41" t="n">
        <f aca="false">MAX(C244-D244,ABS(C244-E243),ABS(D244-E243))</f>
        <v>0.77</v>
      </c>
      <c r="Y244" s="41" t="n">
        <f aca="true">AVERAGE(OFFSET(X244,1-MIN(p_AtrN,ROW()-4),0,MIN(p_AtrN,ROW()-4),1))</f>
        <v>0.81</v>
      </c>
      <c r="Z244" s="41" t="n">
        <f aca="false">IF(AND(C244-C243&gt;D243-D244,C244-C243&gt;0),C244-C243,0)</f>
        <v>0.509999999999998</v>
      </c>
      <c r="AA244" s="41" t="n">
        <f aca="false">IF(AND(D243-D244&gt;C244-C243,D243-D244&gt;0),D243-D244,0)</f>
        <v>0</v>
      </c>
      <c r="AB244" s="41" t="n">
        <f aca="false">2/(p_AdxN+1)*X244+(1-2/(p_AdxN+1))*AB243</f>
        <v>0.769535049507652</v>
      </c>
      <c r="AC244" s="41" t="n">
        <f aca="false">2/(p_AdxN+1)*Z244+(1-2/(p_AdxN+1))*AC243</f>
        <v>0.289381092925383</v>
      </c>
      <c r="AD244" s="41" t="n">
        <f aca="false">2/(p_AdxN+1)*AA244+(1-2/(p_AdxN+1))*AD243</f>
        <v>0.0616592726966043</v>
      </c>
      <c r="AE244" s="45" t="n">
        <f aca="false">100*AC244/AB244</f>
        <v>37.6046670142613</v>
      </c>
      <c r="AF244" s="45" t="n">
        <f aca="false">100*AD244/AB244</f>
        <v>8.01253597689331</v>
      </c>
      <c r="AG244" s="45" t="n">
        <f aca="false">IFERROR(100*ABS(AE244-AF244)/(AE244+AF244),0)</f>
        <v>64.8705512328453</v>
      </c>
      <c r="AH244" s="45" t="n">
        <f aca="false">2/(p_AdxN+1)*AG244+(1-2/(p_AdxN+1))*AH243</f>
        <v>65.5685446471603</v>
      </c>
      <c r="AI244" s="40" t="n">
        <f aca="false">I244*(1+p_ChPct)</f>
        <v>32.1046857984657</v>
      </c>
      <c r="AJ244" s="40" t="n">
        <f aca="false">I244*(1-p_ChPct)</f>
        <v>28.4701930665639</v>
      </c>
      <c r="AK244" s="40" t="n">
        <f aca="false">I244+1*Y244</f>
        <v>31.0974394325148</v>
      </c>
      <c r="AL244" s="40" t="n">
        <f aca="false">I244+2*Y244</f>
        <v>31.9074394325148</v>
      </c>
      <c r="AM244" s="40" t="n">
        <f aca="false">I244+3*Y244</f>
        <v>32.7174394325148</v>
      </c>
      <c r="AN244" s="40" t="n">
        <f aca="false">I244-1*Y244</f>
        <v>29.4774394325148</v>
      </c>
      <c r="AO244" s="40" t="n">
        <f aca="false">I244-2*Y244</f>
        <v>28.6674394325148</v>
      </c>
      <c r="AP244" s="40" t="n">
        <f aca="false">I244-3*Y244</f>
        <v>27.8574394325148</v>
      </c>
      <c r="AQ244" s="40" t="n">
        <f aca="true">MAX(OFFSET(C244,1-MIN(p_StochN,ROW()-4),0,MIN(p_StochN,ROW()-4),1))</f>
        <v>33.08</v>
      </c>
      <c r="AR244" s="40" t="n">
        <f aca="true">MIN(OFFSET(D244,1-MIN(p_StochN,ROW()-4),0,MIN(p_StochN,ROW()-4),1))</f>
        <v>31.74</v>
      </c>
      <c r="AS244" s="45" t="n">
        <f aca="false">IF(AQ244=AR244,50,100*(E244-AR244)/(AQ244-AR244))</f>
        <v>59.7014925373135</v>
      </c>
      <c r="AT244" s="45" t="n">
        <f aca="true">AVERAGE(OFFSET(AS244,1-MIN(p_StochSm,ROW()-4),0,MIN(p_StochSm,ROW()-4),1))</f>
        <v>42.3543657374503</v>
      </c>
      <c r="AU244" s="45" t="n">
        <f aca="true">AVERAGE(OFFSET(AT244,1-MIN(p_StochSm,ROW()-4),0,MIN(p_StochSm,ROW()-4),1))</f>
        <v>55.5191083157953</v>
      </c>
      <c r="AV244" s="41" t="n">
        <f aca="false">MAX(0,H244-D244)</f>
        <v>0</v>
      </c>
      <c r="AW244" s="41" t="n">
        <f aca="true">IF(COUNTIF(OFFSET(AV244,1-MIN(p_PenLb,ROW()-4),0,MIN(p_PenLb,ROW()-4),1),"&gt;0")&gt;0,SUM(OFFSET(AV244,1-MIN(p_PenLb,ROW()-4),0,MIN(p_PenLb,ROW()-4),1))/COUNTIF(OFFSET(AV244,1-MIN(p_PenLb,ROW()-4),0,MIN(p_PenLb,ROW()-4),1),"&gt;0"),0.5*Y244)</f>
        <v>0.222051293659398</v>
      </c>
      <c r="AX244" s="41" t="n">
        <f aca="false">2*H244-H243</f>
        <v>31.5615351520077</v>
      </c>
      <c r="AY244" s="40" t="n">
        <f aca="false">ROUND(MAX(AX244-AW244,0.01),2)</f>
        <v>31.34</v>
      </c>
      <c r="AZ244" s="40" t="n">
        <f aca="true">IF(MIN(p_StopLb,ROW()-4)&lt;2,D244,SMALL(OFFSET(D244,1-MIN(p_StopLb,ROW()-4),0,MIN(p_StopLb,ROW()-4),1),2))</f>
        <v>30.02</v>
      </c>
      <c r="BA244" s="40" t="n">
        <f aca="false">IF(MOD(ROUND(ROUNDDOWN(MIN(AZ244-0.01,AY244-p_StopAtr*Y244),2)*100,0),50)=0,ROUNDDOWN(MIN(AZ244-0.01,AY244-p_StopAtr*Y244),2)-0.01,ROUNDDOWN(MIN(AZ244-0.01,AY244-p_StopAtr*Y244),2))</f>
        <v>30.01</v>
      </c>
      <c r="BB244" s="40" t="n">
        <f aca="false">ROUND(AI244,2)</f>
        <v>32.1</v>
      </c>
      <c r="BC244" s="40" t="n">
        <f aca="false">IF(AY244-BA244&gt;0,(BB244-AY244)/(AY244-BA244),0)</f>
        <v>0.571428571428573</v>
      </c>
      <c r="BD244" s="42" t="n">
        <f aca="false">IF(N244&lt;0,1,0)</f>
        <v>0</v>
      </c>
      <c r="BE244" s="41" t="n">
        <f aca="false">IF(AND(BD244=1,BD243=0),N244,IF(BD244=1,MIN(BE243,N244),BE243))</f>
        <v>-0.153190541609803</v>
      </c>
      <c r="BF244" s="40" t="n">
        <f aca="false">IF(AND(BD244=1,BD243=0),D244,IF(BD244=1,MIN(BF243,D244),BF243))</f>
        <v>27.9</v>
      </c>
      <c r="BG244" s="42" t="n">
        <f aca="false">IF(AND(BD244=1,BD243=0),ROW(),IF(BD244=1,IF(N244&lt;BE243,ROW(),BG243),BG243))</f>
        <v>226</v>
      </c>
      <c r="BH244" s="41" t="n">
        <f aca="false">IF(AND(BD244=1,BD243=0),BE243,BH243)</f>
        <v>-0.0514032452662709</v>
      </c>
      <c r="BI244" s="40" t="n">
        <f aca="false">IF(AND(BD244=1,BD243=0),BF243,BI243)</f>
        <v>26.79</v>
      </c>
      <c r="BJ244" s="42" t="n">
        <f aca="false">IF(AND(BD244=1,BD243=0),BG243,BJ243)</f>
        <v>213</v>
      </c>
      <c r="BK244" s="42" t="n">
        <f aca="false">IF(AND(ISNUMBER(BG244),ISNUMBER(BJ244)),BG244-BJ244,"")</f>
        <v>13</v>
      </c>
      <c r="BL244" s="42" t="n">
        <f aca="false">IF(AND(BD244=1,N244&gt;N243,ISNUMBER(BH244),ISNUMBER(BK244)),IF(AND(BE244&gt;BH244,BF244&lt;BI244,BK244&gt;=p_GapMin,BK244&lt;=p_GapMax),1,0),0)</f>
        <v>0</v>
      </c>
      <c r="BM244" s="42" t="n">
        <f aca="false">IF(AND(BL244=1,E244&gt;BI244),1,0)</f>
        <v>0</v>
      </c>
      <c r="BN244" s="42" t="n">
        <f aca="false">IF(BL244=1,IF(BE244&gt;=BH244*0.5,1,0),0)</f>
        <v>0</v>
      </c>
      <c r="BO244" s="42" t="n">
        <f aca="true">IF(V244&gt;MIN(OFFSET(V244,-MIN(p_FiLb-1,ROW()-5),0,MIN(p_FiLb-1,ROW()-5),1)),1,0)</f>
        <v>1</v>
      </c>
      <c r="BP244" s="44" t="n">
        <f aca="true">IF(COUNTIF(OFFSET(V244,1-MIN(100,ROW()-4),0,MIN(100,ROW()-4),1),"&lt;0")&gt;=5,AVERAGEIF(OFFSET(V244,1-MIN(100,ROW()-4),0,MIN(100,ROW()-4),1),"&lt;0"),"")</f>
        <v>-834556.258619499</v>
      </c>
      <c r="BQ244" s="42" t="n">
        <f aca="false">IF(ISNUMBER(BP244),IF(AND(V244&lt;5*BP244,V244&gt;V243,E244&lt;AJ244),1,0),0)</f>
        <v>0</v>
      </c>
      <c r="BR244" s="44" t="n">
        <f aca="true">AVERAGE(OFFSET(F244,1-MIN(5,ROW()-4),0,MIN(5,ROW()-4),1))</f>
        <v>3428520</v>
      </c>
      <c r="BS244" s="42" t="n">
        <f aca="false">IFERROR(IF(MATCH(G244,周线!$A$5:$A$84,0)&lt;=1,"",INDEX(周线!$R$5:$R$84,MATCH(G244,周线!$A$5:$A$84,0)-1)),"")</f>
        <v>1</v>
      </c>
      <c r="BT244" s="42" t="n">
        <f aca="false">IFERROR(IF(MATCH(G244,周线!$A$5:$A$84,0)&lt;=1,"",INDEX(周线!$S$5:$S$84,MATCH(G244,周线!$A$5:$A$84,0)-1)),"")</f>
        <v>1</v>
      </c>
      <c r="BU244" s="42" t="n">
        <f aca="false">IFERROR(IF(MATCH(G244,周线!$A$5:$A$84,0)&lt;=1,"",INDEX(周线!$U$5:$U$84,MATCH(G244,周线!$A$5:$A$84,0)-1)),"")</f>
        <v>1</v>
      </c>
      <c r="BV244" s="42" t="n">
        <f aca="false">IF(AND(BS244=1,S244&lt;&gt;-1,V244&lt;0,BO244=1,E244&lt;=H244,E244&gt;=AJ244),1,0)</f>
        <v>0</v>
      </c>
      <c r="BW244" s="42" t="n">
        <f aca="false">BL244</f>
        <v>0</v>
      </c>
      <c r="BX244" s="42" t="n">
        <f aca="false">BQ244</f>
        <v>0</v>
      </c>
      <c r="BY244" s="42" t="n">
        <f aca="false">IF(BS244=1,10,0)+IF(BU244=1,5,IF(BU244=-1,0,3))+IF(BT244=1,5,0)+IF(AND(AE244&gt;AF244,AH244&gt;AH243),5,0)</f>
        <v>20</v>
      </c>
      <c r="BZ244" s="42" t="n">
        <f aca="false">IF(AND(E244&lt;=H244,E244&gt;=I244),10,IF(AND(E244&gt;=AJ244,E244&lt;I244),6,0))+IF(AND(V244&lt;0,BO244=1),8,0)+IF(AT244&lt;30,7,IF(AT244&lt;50,3,0))</f>
        <v>3</v>
      </c>
      <c r="CA244" s="42" t="n">
        <f aca="false">IF(AND(BV244=1,BW244=1),25,IF(BW244=1,22,IF(BV244=1,15,IF(BX244=1,12,0))))</f>
        <v>0</v>
      </c>
      <c r="CB244" s="42" t="n">
        <f aca="false">IF(W244&gt;0,6,0)+IF(F244&lt;BR244,4,0)</f>
        <v>10</v>
      </c>
      <c r="CC244" s="42" t="n">
        <f aca="false">IF(BC244&gt;=3,15,IF(BC244&gt;=p_RRmin,10,IF(BC244&gt;=1.5,4,0)))</f>
        <v>0</v>
      </c>
      <c r="CD244" s="42" t="n">
        <f aca="false">BY244+BZ244+CA244+CB244+CC244</f>
        <v>33</v>
      </c>
      <c r="CE244" s="42" t="n">
        <f aca="false">IF(AND(BS244&lt;&gt;1,BW244+BX244=0),1,0)</f>
        <v>0</v>
      </c>
      <c r="CF244" s="42" t="n">
        <f aca="false">IF(BU244=-1,1,0)</f>
        <v>0</v>
      </c>
      <c r="CG244" s="42" t="n">
        <f aca="false">IF(S244=-1,1,0)</f>
        <v>0</v>
      </c>
      <c r="CH244" s="42" t="n">
        <f aca="false">IF(BV244+BW244+BX244=0,1,0)</f>
        <v>1</v>
      </c>
      <c r="CI244" s="42" t="n">
        <f aca="false">IF(BC244&lt;p_RRmin,1,0)</f>
        <v>1</v>
      </c>
      <c r="CJ244" s="46" t="str">
        <f aca="false">IF(SUM(CE244:CI244)=0,IF(CD244&gt;=p_GradeA,"A",IF(CD244&gt;=p_GradeB,"B","C")),IF(AND(CI244=1,SUM(CE244:CH244)=0,CD244&gt;=p_GradeB),"B","C"))</f>
        <v>C</v>
      </c>
    </row>
    <row r="245" customFormat="false" ht="15" hidden="false" customHeight="false" outlineLevel="0" collapsed="false">
      <c r="A245" s="36" t="n">
        <v>45995</v>
      </c>
      <c r="B245" s="37" t="n">
        <v>32.45</v>
      </c>
      <c r="C245" s="37" t="n">
        <v>32.58</v>
      </c>
      <c r="D245" s="37" t="n">
        <v>31.65</v>
      </c>
      <c r="E245" s="37" t="n">
        <v>31.92</v>
      </c>
      <c r="F245" s="38" t="n">
        <v>3347800</v>
      </c>
      <c r="G245" s="39" t="n">
        <f aca="false">A245-WEEKDAY(A245,3)</f>
        <v>45992</v>
      </c>
      <c r="H245" s="40" t="n">
        <f aca="false">2/(p_EmaF+1)*E245+(1-2/(p_EmaF+1))*H244</f>
        <v>31.4450075849222</v>
      </c>
      <c r="I245" s="40" t="n">
        <f aca="false">2/(p_EmaS+1)*E245+(1-2/(p_EmaS+1))*I244</f>
        <v>30.4083698449211</v>
      </c>
      <c r="J245" s="41" t="n">
        <f aca="false">2/(p_MacdF+1)*E245+(1-2/(p_MacdF+1))*J244</f>
        <v>31.5372878221366</v>
      </c>
      <c r="K245" s="41" t="n">
        <f aca="false">2/(p_MacdS+1)*E245+(1-2/(p_MacdS+1))*K244</f>
        <v>30.4083698449211</v>
      </c>
      <c r="L245" s="41" t="n">
        <f aca="false">J245-K245</f>
        <v>1.12891797721545</v>
      </c>
      <c r="M245" s="41" t="n">
        <f aca="false">2/(p_MacdSig+1)*L245+(1-2/(p_MacdSig+1))*M244</f>
        <v>1.04756634297189</v>
      </c>
      <c r="N245" s="41" t="n">
        <f aca="false">L245-M245</f>
        <v>0.0813516342435579</v>
      </c>
      <c r="O245" s="42" t="n">
        <f aca="false">IF(H245&gt;H244,1,0)</f>
        <v>1</v>
      </c>
      <c r="P245" s="42" t="n">
        <f aca="false">IF(H245&lt;H244,1,0)</f>
        <v>0</v>
      </c>
      <c r="Q245" s="42" t="n">
        <f aca="false">IF(N245&gt;N244,1,0)</f>
        <v>0</v>
      </c>
      <c r="R245" s="42" t="n">
        <f aca="false">IF(N245&lt;N244,1,0)</f>
        <v>1</v>
      </c>
      <c r="S245" s="42" t="n">
        <f aca="false">IF(AND(O245=1,Q245=1),1,IF(AND(P245=1,R245=1),-1,0))</f>
        <v>0</v>
      </c>
      <c r="T245" s="43" t="str">
        <f aca="false">IF(S245=1,"绿",IF(S245=-1,"红","蓝"))</f>
        <v>蓝</v>
      </c>
      <c r="U245" s="44" t="n">
        <f aca="false">F245*(E245-E244)</f>
        <v>-2075635.99999999</v>
      </c>
      <c r="V245" s="44" t="n">
        <f aca="false">2/(p_FiS+1)*U245+(1-2/(p_FiS+1))*V244</f>
        <v>-1106162.84201662</v>
      </c>
      <c r="W245" s="44" t="n">
        <f aca="false">2/(p_FiL+1)*U245+(1-2/(p_FiL+1))*W244</f>
        <v>354544.951785901</v>
      </c>
      <c r="X245" s="41" t="n">
        <f aca="false">MAX(C245-D245,ABS(C245-E244),ABS(D245-E244))</f>
        <v>0.93</v>
      </c>
      <c r="Y245" s="41" t="n">
        <f aca="true">AVERAGE(OFFSET(X245,1-MIN(p_AtrN,ROW()-4),0,MIN(p_AtrN,ROW()-4),1))</f>
        <v>0.826153846153846</v>
      </c>
      <c r="Z245" s="41" t="n">
        <f aca="false">IF(AND(C245-C244&gt;D244-D245,C245-C244&gt;0),C245-C244,0)</f>
        <v>0</v>
      </c>
      <c r="AA245" s="41" t="n">
        <f aca="false">IF(AND(D244-D245&gt;C245-C244,D244-D245&gt;0),D244-D245,0)</f>
        <v>0.220000000000002</v>
      </c>
      <c r="AB245" s="41" t="n">
        <f aca="false">2/(p_AdxN+1)*X245+(1-2/(p_AdxN+1))*AB244</f>
        <v>0.792458613863702</v>
      </c>
      <c r="AC245" s="41" t="n">
        <f aca="false">2/(p_AdxN+1)*Z245+(1-2/(p_AdxN+1))*AC244</f>
        <v>0.248040936793186</v>
      </c>
      <c r="AD245" s="41" t="n">
        <f aca="false">2/(p_AdxN+1)*AA245+(1-2/(p_AdxN+1))*AD244</f>
        <v>0.0842793765970898</v>
      </c>
      <c r="AE245" s="45" t="n">
        <f aca="false">100*AC245/AB245</f>
        <v>31.3001754859904</v>
      </c>
      <c r="AF245" s="45" t="n">
        <f aca="false">100*AD245/AB245</f>
        <v>10.6351770455467</v>
      </c>
      <c r="AG245" s="45" t="n">
        <f aca="false">IFERROR(100*ABS(AE245-AF245)/(AE245+AF245),0)</f>
        <v>49.2782275406003</v>
      </c>
      <c r="AH245" s="45" t="n">
        <f aca="false">2/(p_AdxN+1)*AG245+(1-2/(p_AdxN+1))*AH244</f>
        <v>63.2413564890803</v>
      </c>
      <c r="AI245" s="40" t="n">
        <f aca="false">I245*(1+p_ChPct)</f>
        <v>32.2328720356164</v>
      </c>
      <c r="AJ245" s="40" t="n">
        <f aca="false">I245*(1-p_ChPct)</f>
        <v>28.5838676542258</v>
      </c>
      <c r="AK245" s="40" t="n">
        <f aca="false">I245+1*Y245</f>
        <v>31.234523691075</v>
      </c>
      <c r="AL245" s="40" t="n">
        <f aca="false">I245+2*Y245</f>
        <v>32.0606775372288</v>
      </c>
      <c r="AM245" s="40" t="n">
        <f aca="false">I245+3*Y245</f>
        <v>32.8868313833826</v>
      </c>
      <c r="AN245" s="40" t="n">
        <f aca="false">I245-1*Y245</f>
        <v>29.5822159987673</v>
      </c>
      <c r="AO245" s="40" t="n">
        <f aca="false">I245-2*Y245</f>
        <v>28.7560621526134</v>
      </c>
      <c r="AP245" s="40" t="n">
        <f aca="false">I245-3*Y245</f>
        <v>27.9299083064596</v>
      </c>
      <c r="AQ245" s="40" t="n">
        <f aca="true">MAX(OFFSET(C245,1-MIN(p_StochN,ROW()-4),0,MIN(p_StochN,ROW()-4),1))</f>
        <v>33.08</v>
      </c>
      <c r="AR245" s="40" t="n">
        <f aca="true">MIN(OFFSET(D245,1-MIN(p_StochN,ROW()-4),0,MIN(p_StochN,ROW()-4),1))</f>
        <v>31.65</v>
      </c>
      <c r="AS245" s="45" t="n">
        <f aca="false">IF(AQ245=AR245,50,100*(E245-AR245)/(AQ245-AR245))</f>
        <v>18.8811188811191</v>
      </c>
      <c r="AT245" s="45" t="n">
        <f aca="true">AVERAGE(OFFSET(AS245,1-MIN(p_StochSm,ROW()-4),0,MIN(p_StochSm,ROW()-4),1))</f>
        <v>33.6568903733084</v>
      </c>
      <c r="AU245" s="45" t="n">
        <f aca="true">AVERAGE(OFFSET(AT245,1-MIN(p_StochSm,ROW()-4),0,MIN(p_StochSm,ROW()-4),1))</f>
        <v>42.1805292987019</v>
      </c>
      <c r="AV245" s="41" t="n">
        <f aca="false">MAX(0,H245-D245)</f>
        <v>0</v>
      </c>
      <c r="AW245" s="41" t="n">
        <f aca="true">IF(COUNTIF(OFFSET(AV245,1-MIN(p_PenLb,ROW()-4),0,MIN(p_PenLb,ROW()-4),1),"&gt;0")&gt;0,SUM(OFFSET(AV245,1-MIN(p_PenLb,ROW()-4),0,MIN(p_PenLb,ROW()-4),1))/COUNTIF(OFFSET(AV245,1-MIN(p_PenLb,ROW()-4),0,MIN(p_PenLb,ROW()-4),1),"&gt;0"),0.5*Y245)</f>
        <v>0.222051293659398</v>
      </c>
      <c r="AX245" s="41" t="n">
        <f aca="false">2*H245-H244</f>
        <v>31.5241729874352</v>
      </c>
      <c r="AY245" s="40" t="n">
        <f aca="false">ROUND(MAX(AX245-AW245,0.01),2)</f>
        <v>31.3</v>
      </c>
      <c r="AZ245" s="40" t="n">
        <f aca="true">IF(MIN(p_StopLb,ROW()-4)&lt;2,D245,SMALL(OFFSET(D245,1-MIN(p_StopLb,ROW()-4),0,MIN(p_StopLb,ROW()-4),1),2))</f>
        <v>30.29</v>
      </c>
      <c r="BA245" s="40" t="n">
        <f aca="false">IF(MOD(ROUND(ROUNDDOWN(MIN(AZ245-0.01,AY245-p_StopAtr*Y245),2)*100,0),50)=0,ROUNDDOWN(MIN(AZ245-0.01,AY245-p_StopAtr*Y245),2)-0.01,ROUNDDOWN(MIN(AZ245-0.01,AY245-p_StopAtr*Y245),2))</f>
        <v>30.28</v>
      </c>
      <c r="BB245" s="40" t="n">
        <f aca="false">ROUND(AI245,2)</f>
        <v>32.23</v>
      </c>
      <c r="BC245" s="40" t="n">
        <f aca="false">IF(AY245-BA245&gt;0,(BB245-AY245)/(AY245-BA245),0)</f>
        <v>0.91176470588235</v>
      </c>
      <c r="BD245" s="42" t="n">
        <f aca="false">IF(N245&lt;0,1,0)</f>
        <v>0</v>
      </c>
      <c r="BE245" s="41" t="n">
        <f aca="false">IF(AND(BD245=1,BD244=0),N245,IF(BD245=1,MIN(BE244,N245),BE244))</f>
        <v>-0.153190541609803</v>
      </c>
      <c r="BF245" s="40" t="n">
        <f aca="false">IF(AND(BD245=1,BD244=0),D245,IF(BD245=1,MIN(BF244,D245),BF244))</f>
        <v>27.9</v>
      </c>
      <c r="BG245" s="42" t="n">
        <f aca="false">IF(AND(BD245=1,BD244=0),ROW(),IF(BD245=1,IF(N245&lt;BE244,ROW(),BG244),BG244))</f>
        <v>226</v>
      </c>
      <c r="BH245" s="41" t="n">
        <f aca="false">IF(AND(BD245=1,BD244=0),BE244,BH244)</f>
        <v>-0.0514032452662709</v>
      </c>
      <c r="BI245" s="40" t="n">
        <f aca="false">IF(AND(BD245=1,BD244=0),BF244,BI244)</f>
        <v>26.79</v>
      </c>
      <c r="BJ245" s="42" t="n">
        <f aca="false">IF(AND(BD245=1,BD244=0),BG244,BJ244)</f>
        <v>213</v>
      </c>
      <c r="BK245" s="42" t="n">
        <f aca="false">IF(AND(ISNUMBER(BG245),ISNUMBER(BJ245)),BG245-BJ245,"")</f>
        <v>13</v>
      </c>
      <c r="BL245" s="42" t="n">
        <f aca="false">IF(AND(BD245=1,N245&gt;N244,ISNUMBER(BH245),ISNUMBER(BK245)),IF(AND(BE245&gt;BH245,BF245&lt;BI245,BK245&gt;=p_GapMin,BK245&lt;=p_GapMax),1,0),0)</f>
        <v>0</v>
      </c>
      <c r="BM245" s="42" t="n">
        <f aca="false">IF(AND(BL245=1,E245&gt;BI245),1,0)</f>
        <v>0</v>
      </c>
      <c r="BN245" s="42" t="n">
        <f aca="false">IF(BL245=1,IF(BE245&gt;=BH245*0.5,1,0),0)</f>
        <v>0</v>
      </c>
      <c r="BO245" s="42" t="n">
        <f aca="true">IF(V245&gt;MIN(OFFSET(V245,-MIN(p_FiLb-1,ROW()-5),0,MIN(p_FiLb-1,ROW()-5),1)),1,0)</f>
        <v>1</v>
      </c>
      <c r="BP245" s="44" t="n">
        <f aca="true">IF(COUNTIF(OFFSET(V245,1-MIN(100,ROW()-4),0,MIN(100,ROW()-4),1),"&lt;0")&gt;=5,AVERAGEIF(OFFSET(V245,1-MIN(100,ROW()-4),0,MIN(100,ROW()-4),1),"&lt;0"),"")</f>
        <v>-842316.446716559</v>
      </c>
      <c r="BQ245" s="42" t="n">
        <f aca="false">IF(ISNUMBER(BP245),IF(AND(V245&lt;5*BP245,V245&gt;V244,E245&lt;AJ245),1,0),0)</f>
        <v>0</v>
      </c>
      <c r="BR245" s="44" t="n">
        <f aca="true">AVERAGE(OFFSET(F245,1-MIN(5,ROW()-4),0,MIN(5,ROW()-4),1))</f>
        <v>3390160</v>
      </c>
      <c r="BS245" s="42" t="n">
        <f aca="false">IFERROR(IF(MATCH(G245,周线!$A$5:$A$84,0)&lt;=1,"",INDEX(周线!$R$5:$R$84,MATCH(G245,周线!$A$5:$A$84,0)-1)),"")</f>
        <v>1</v>
      </c>
      <c r="BT245" s="42" t="n">
        <f aca="false">IFERROR(IF(MATCH(G245,周线!$A$5:$A$84,0)&lt;=1,"",INDEX(周线!$S$5:$S$84,MATCH(G245,周线!$A$5:$A$84,0)-1)),"")</f>
        <v>1</v>
      </c>
      <c r="BU245" s="42" t="n">
        <f aca="false">IFERROR(IF(MATCH(G245,周线!$A$5:$A$84,0)&lt;=1,"",INDEX(周线!$U$5:$U$84,MATCH(G245,周线!$A$5:$A$84,0)-1)),"")</f>
        <v>1</v>
      </c>
      <c r="BV245" s="42" t="n">
        <f aca="false">IF(AND(BS245=1,S245&lt;&gt;-1,V245&lt;0,BO245=1,E245&lt;=H245,E245&gt;=AJ245),1,0)</f>
        <v>0</v>
      </c>
      <c r="BW245" s="42" t="n">
        <f aca="false">BL245</f>
        <v>0</v>
      </c>
      <c r="BX245" s="42" t="n">
        <f aca="false">BQ245</f>
        <v>0</v>
      </c>
      <c r="BY245" s="42" t="n">
        <f aca="false">IF(BS245=1,10,0)+IF(BU245=1,5,IF(BU245=-1,0,3))+IF(BT245=1,5,0)+IF(AND(AE245&gt;AF245,AH245&gt;AH244),5,0)</f>
        <v>20</v>
      </c>
      <c r="BZ245" s="42" t="n">
        <f aca="false">IF(AND(E245&lt;=H245,E245&gt;=I245),10,IF(AND(E245&gt;=AJ245,E245&lt;I245),6,0))+IF(AND(V245&lt;0,BO245=1),8,0)+IF(AT245&lt;30,7,IF(AT245&lt;50,3,0))</f>
        <v>11</v>
      </c>
      <c r="CA245" s="42" t="n">
        <f aca="false">IF(AND(BV245=1,BW245=1),25,IF(BW245=1,22,IF(BV245=1,15,IF(BX245=1,12,0))))</f>
        <v>0</v>
      </c>
      <c r="CB245" s="42" t="n">
        <f aca="false">IF(W245&gt;0,6,0)+IF(F245&lt;BR245,4,0)</f>
        <v>10</v>
      </c>
      <c r="CC245" s="42" t="n">
        <f aca="false">IF(BC245&gt;=3,15,IF(BC245&gt;=p_RRmin,10,IF(BC245&gt;=1.5,4,0)))</f>
        <v>0</v>
      </c>
      <c r="CD245" s="42" t="n">
        <f aca="false">BY245+BZ245+CA245+CB245+CC245</f>
        <v>41</v>
      </c>
      <c r="CE245" s="42" t="n">
        <f aca="false">IF(AND(BS245&lt;&gt;1,BW245+BX245=0),1,0)</f>
        <v>0</v>
      </c>
      <c r="CF245" s="42" t="n">
        <f aca="false">IF(BU245=-1,1,0)</f>
        <v>0</v>
      </c>
      <c r="CG245" s="42" t="n">
        <f aca="false">IF(S245=-1,1,0)</f>
        <v>0</v>
      </c>
      <c r="CH245" s="42" t="n">
        <f aca="false">IF(BV245+BW245+BX245=0,1,0)</f>
        <v>1</v>
      </c>
      <c r="CI245" s="42" t="n">
        <f aca="false">IF(BC245&lt;p_RRmin,1,0)</f>
        <v>1</v>
      </c>
      <c r="CJ245" s="46" t="str">
        <f aca="false">IF(SUM(CE245:CI245)=0,IF(CD245&gt;=p_GradeA,"A",IF(CD245&gt;=p_GradeB,"B","C")),IF(AND(CI245=1,SUM(CE245:CH245)=0,CD245&gt;=p_GradeB),"B","C"))</f>
        <v>C</v>
      </c>
    </row>
    <row r="246" customFormat="false" ht="15" hidden="false" customHeight="false" outlineLevel="0" collapsed="false">
      <c r="A246" s="36" t="n">
        <v>45996</v>
      </c>
      <c r="B246" s="37" t="n">
        <v>32.05</v>
      </c>
      <c r="C246" s="37" t="n">
        <v>32.15</v>
      </c>
      <c r="D246" s="37" t="n">
        <v>30.79</v>
      </c>
      <c r="E246" s="37" t="n">
        <v>31.04</v>
      </c>
      <c r="F246" s="38" t="n">
        <v>5603100</v>
      </c>
      <c r="G246" s="39" t="n">
        <f aca="false">A246-WEEKDAY(A246,3)</f>
        <v>45992</v>
      </c>
      <c r="H246" s="40" t="n">
        <f aca="false">2/(p_EmaF+1)*E246+(1-2/(p_EmaF+1))*H245</f>
        <v>31.3871493585048</v>
      </c>
      <c r="I246" s="40" t="n">
        <f aca="false">2/(p_EmaS+1)*E246+(1-2/(p_EmaS+1))*I245</f>
        <v>30.4551572638158</v>
      </c>
      <c r="J246" s="41" t="n">
        <f aca="false">2/(p_MacdF+1)*E246+(1-2/(p_MacdF+1))*J245</f>
        <v>31.4607820033463</v>
      </c>
      <c r="K246" s="41" t="n">
        <f aca="false">2/(p_MacdS+1)*E246+(1-2/(p_MacdS+1))*K245</f>
        <v>30.4551572638158</v>
      </c>
      <c r="L246" s="41" t="n">
        <f aca="false">J246-K246</f>
        <v>1.00562473953048</v>
      </c>
      <c r="M246" s="41" t="n">
        <f aca="false">2/(p_MacdSig+1)*L246+(1-2/(p_MacdSig+1))*M245</f>
        <v>1.03917802228361</v>
      </c>
      <c r="N246" s="41" t="n">
        <f aca="false">L246-M246</f>
        <v>-0.0335532827531317</v>
      </c>
      <c r="O246" s="42" t="n">
        <f aca="false">IF(H246&gt;H245,1,0)</f>
        <v>0</v>
      </c>
      <c r="P246" s="42" t="n">
        <f aca="false">IF(H246&lt;H245,1,0)</f>
        <v>1</v>
      </c>
      <c r="Q246" s="42" t="n">
        <f aca="false">IF(N246&gt;N245,1,0)</f>
        <v>0</v>
      </c>
      <c r="R246" s="42" t="n">
        <f aca="false">IF(N246&lt;N245,1,0)</f>
        <v>1</v>
      </c>
      <c r="S246" s="42" t="n">
        <f aca="false">IF(AND(O246=1,Q246=1),1,IF(AND(P246=1,R246=1),-1,0))</f>
        <v>-1</v>
      </c>
      <c r="T246" s="43" t="str">
        <f aca="false">IF(S246=1,"绿",IF(S246=-1,"红","蓝"))</f>
        <v>红</v>
      </c>
      <c r="U246" s="44" t="n">
        <f aca="false">F246*(E246-E245)</f>
        <v>-4930728.00000001</v>
      </c>
      <c r="V246" s="44" t="n">
        <f aca="false">2/(p_FiS+1)*U246+(1-2/(p_FiS+1))*V245</f>
        <v>-3655872.94733888</v>
      </c>
      <c r="W246" s="44" t="n">
        <f aca="false">2/(p_FiL+1)*U246+(1-2/(p_FiL+1))*W245</f>
        <v>-400494.041326372</v>
      </c>
      <c r="X246" s="41" t="n">
        <f aca="false">MAX(C246-D246,ABS(C246-E245),ABS(D246-E245))</f>
        <v>1.36</v>
      </c>
      <c r="Y246" s="41" t="n">
        <f aca="true">AVERAGE(OFFSET(X246,1-MIN(p_AtrN,ROW()-4),0,MIN(p_AtrN,ROW()-4),1))</f>
        <v>0.846923076923077</v>
      </c>
      <c r="Z246" s="41" t="n">
        <f aca="false">IF(AND(C246-C245&gt;D245-D246,C246-C245&gt;0),C246-C245,0)</f>
        <v>0</v>
      </c>
      <c r="AA246" s="41" t="n">
        <f aca="false">IF(AND(D245-D246&gt;C246-C245,D245-D246&gt;0),D245-D246,0)</f>
        <v>0.859999999999999</v>
      </c>
      <c r="AB246" s="41" t="n">
        <f aca="false">2/(p_AdxN+1)*X246+(1-2/(p_AdxN+1))*AB245</f>
        <v>0.873535954740316</v>
      </c>
      <c r="AC246" s="41" t="n">
        <f aca="false">2/(p_AdxN+1)*Z246+(1-2/(p_AdxN+1))*AC245</f>
        <v>0.212606517251302</v>
      </c>
      <c r="AD246" s="41" t="n">
        <f aca="false">2/(p_AdxN+1)*AA246+(1-2/(p_AdxN+1))*AD245</f>
        <v>0.195096608511791</v>
      </c>
      <c r="AE246" s="45" t="n">
        <f aca="false">100*AC246/AB246</f>
        <v>24.3386109177962</v>
      </c>
      <c r="AF246" s="45" t="n">
        <f aca="false">100*AD246/AB246</f>
        <v>22.3341245947672</v>
      </c>
      <c r="AG246" s="45" t="n">
        <f aca="false">IFERROR(100*ABS(AE246-AF246)/(AE246+AF246),0)</f>
        <v>4.29476931449511</v>
      </c>
      <c r="AH246" s="45" t="n">
        <f aca="false">2/(p_AdxN+1)*AG246+(1-2/(p_AdxN+1))*AH245</f>
        <v>54.8204154641396</v>
      </c>
      <c r="AI246" s="40" t="n">
        <f aca="false">I246*(1+p_ChPct)</f>
        <v>32.2824666996448</v>
      </c>
      <c r="AJ246" s="40" t="n">
        <f aca="false">I246*(1-p_ChPct)</f>
        <v>28.6278478279869</v>
      </c>
      <c r="AK246" s="40" t="n">
        <f aca="false">I246+1*Y246</f>
        <v>31.3020803407389</v>
      </c>
      <c r="AL246" s="40" t="n">
        <f aca="false">I246+2*Y246</f>
        <v>32.149003417662</v>
      </c>
      <c r="AM246" s="40" t="n">
        <f aca="false">I246+3*Y246</f>
        <v>32.9959264945851</v>
      </c>
      <c r="AN246" s="40" t="n">
        <f aca="false">I246-1*Y246</f>
        <v>29.6082341868928</v>
      </c>
      <c r="AO246" s="40" t="n">
        <f aca="false">I246-2*Y246</f>
        <v>28.7613111099697</v>
      </c>
      <c r="AP246" s="40" t="n">
        <f aca="false">I246-3*Y246</f>
        <v>27.9143880330466</v>
      </c>
      <c r="AQ246" s="40" t="n">
        <f aca="true">MAX(OFFSET(C246,1-MIN(p_StochN,ROW()-4),0,MIN(p_StochN,ROW()-4),1))</f>
        <v>32.89</v>
      </c>
      <c r="AR246" s="40" t="n">
        <f aca="true">MIN(OFFSET(D246,1-MIN(p_StochN,ROW()-4),0,MIN(p_StochN,ROW()-4),1))</f>
        <v>30.79</v>
      </c>
      <c r="AS246" s="45" t="n">
        <f aca="false">IF(AQ246=AR246,50,100*(E246-AR246)/(AQ246-AR246))</f>
        <v>11.9047619047619</v>
      </c>
      <c r="AT246" s="45" t="n">
        <f aca="true">AVERAGE(OFFSET(AS246,1-MIN(p_StochSm,ROW()-4),0,MIN(p_StochSm,ROW()-4),1))</f>
        <v>30.1624577743982</v>
      </c>
      <c r="AU246" s="45" t="n">
        <f aca="true">AVERAGE(OFFSET(AT246,1-MIN(p_StochSm,ROW()-4),0,MIN(p_StochSm,ROW()-4),1))</f>
        <v>35.391237961719</v>
      </c>
      <c r="AV246" s="41" t="n">
        <f aca="false">MAX(0,H246-D246)</f>
        <v>0.597149358504773</v>
      </c>
      <c r="AW246" s="41" t="n">
        <f aca="true">IF(COUNTIF(OFFSET(AV246,1-MIN(p_PenLb,ROW()-4),0,MIN(p_PenLb,ROW()-4),1),"&gt;0")&gt;0,SUM(OFFSET(AV246,1-MIN(p_PenLb,ROW()-4),0,MIN(p_PenLb,ROW()-4),1))/COUNTIF(OFFSET(AV246,1-MIN(p_PenLb,ROW()-4),0,MIN(p_PenLb,ROW()-4),1),"&gt;0"),0.5*Y246)</f>
        <v>0.259561100143936</v>
      </c>
      <c r="AX246" s="41" t="n">
        <f aca="false">2*H246-H245</f>
        <v>31.3292911320873</v>
      </c>
      <c r="AY246" s="40" t="n">
        <f aca="false">ROUND(MAX(AX246-AW246,0.01),2)</f>
        <v>31.07</v>
      </c>
      <c r="AZ246" s="40" t="n">
        <f aca="true">IF(MIN(p_StopLb,ROW()-4)&lt;2,D246,SMALL(OFFSET(D246,1-MIN(p_StopLb,ROW()-4),0,MIN(p_StopLb,ROW()-4),1),2))</f>
        <v>30.79</v>
      </c>
      <c r="BA246" s="40" t="n">
        <f aca="false">IF(MOD(ROUND(ROUNDDOWN(MIN(AZ246-0.01,AY246-p_StopAtr*Y246),2)*100,0),50)=0,ROUNDDOWN(MIN(AZ246-0.01,AY246-p_StopAtr*Y246),2)-0.01,ROUNDDOWN(MIN(AZ246-0.01,AY246-p_StopAtr*Y246),2))</f>
        <v>30.22</v>
      </c>
      <c r="BB246" s="40" t="n">
        <f aca="false">ROUND(AI246,2)</f>
        <v>32.28</v>
      </c>
      <c r="BC246" s="40" t="n">
        <f aca="false">IF(AY246-BA246&gt;0,(BB246-AY246)/(AY246-BA246),0)</f>
        <v>1.4235294117647</v>
      </c>
      <c r="BD246" s="42" t="n">
        <f aca="false">IF(N246&lt;0,1,0)</f>
        <v>1</v>
      </c>
      <c r="BE246" s="41" t="n">
        <f aca="false">IF(AND(BD246=1,BD245=0),N246,IF(BD246=1,MIN(BE245,N246),BE245))</f>
        <v>-0.0335532827531317</v>
      </c>
      <c r="BF246" s="40" t="n">
        <f aca="false">IF(AND(BD246=1,BD245=0),D246,IF(BD246=1,MIN(BF245,D246),BF245))</f>
        <v>30.79</v>
      </c>
      <c r="BG246" s="42" t="n">
        <f aca="false">IF(AND(BD246=1,BD245=0),ROW(),IF(BD246=1,IF(N246&lt;BE245,ROW(),BG245),BG245))</f>
        <v>246</v>
      </c>
      <c r="BH246" s="41" t="n">
        <f aca="false">IF(AND(BD246=1,BD245=0),BE245,BH245)</f>
        <v>-0.153190541609803</v>
      </c>
      <c r="BI246" s="40" t="n">
        <f aca="false">IF(AND(BD246=1,BD245=0),BF245,BI245)</f>
        <v>27.9</v>
      </c>
      <c r="BJ246" s="42" t="n">
        <f aca="false">IF(AND(BD246=1,BD245=0),BG245,BJ245)</f>
        <v>226</v>
      </c>
      <c r="BK246" s="42" t="n">
        <f aca="false">IF(AND(ISNUMBER(BG246),ISNUMBER(BJ246)),BG246-BJ246,"")</f>
        <v>20</v>
      </c>
      <c r="BL246" s="42" t="n">
        <f aca="false">IF(AND(BD246=1,N246&gt;N245,ISNUMBER(BH246),ISNUMBER(BK246)),IF(AND(BE246&gt;BH246,BF246&lt;BI246,BK246&gt;=p_GapMin,BK246&lt;=p_GapMax),1,0),0)</f>
        <v>0</v>
      </c>
      <c r="BM246" s="42" t="n">
        <f aca="false">IF(AND(BL246=1,E246&gt;BI246),1,0)</f>
        <v>0</v>
      </c>
      <c r="BN246" s="42" t="n">
        <f aca="false">IF(BL246=1,IF(BE246&gt;=BH246*0.5,1,0),0)</f>
        <v>0</v>
      </c>
      <c r="BO246" s="42" t="n">
        <f aca="true">IF(V246&gt;MIN(OFFSET(V246,-MIN(p_FiLb-1,ROW()-5),0,MIN(p_FiLb-1,ROW()-5),1)),1,0)</f>
        <v>0</v>
      </c>
      <c r="BP246" s="44" t="n">
        <f aca="true">IF(COUNTIF(OFFSET(V246,1-MIN(100,ROW()-4),0,MIN(100,ROW()-4),1),"&lt;0")&gt;=5,AVERAGEIF(OFFSET(V246,1-MIN(100,ROW()-4),0,MIN(100,ROW()-4),1),"&lt;0"),"")</f>
        <v>-920470.793956068</v>
      </c>
      <c r="BQ246" s="42" t="n">
        <f aca="false">IF(ISNUMBER(BP246),IF(AND(V246&lt;5*BP246,V246&gt;V245,E246&lt;AJ246),1,0),0)</f>
        <v>0</v>
      </c>
      <c r="BR246" s="44" t="n">
        <f aca="true">AVERAGE(OFFSET(F246,1-MIN(5,ROW()-4),0,MIN(5,ROW()-4),1))</f>
        <v>3840220</v>
      </c>
      <c r="BS246" s="42" t="n">
        <f aca="false">IFERROR(IF(MATCH(G246,周线!$A$5:$A$84,0)&lt;=1,"",INDEX(周线!$R$5:$R$84,MATCH(G246,周线!$A$5:$A$84,0)-1)),"")</f>
        <v>1</v>
      </c>
      <c r="BT246" s="42" t="n">
        <f aca="false">IFERROR(IF(MATCH(G246,周线!$A$5:$A$84,0)&lt;=1,"",INDEX(周线!$S$5:$S$84,MATCH(G246,周线!$A$5:$A$84,0)-1)),"")</f>
        <v>1</v>
      </c>
      <c r="BU246" s="42" t="n">
        <f aca="false">IFERROR(IF(MATCH(G246,周线!$A$5:$A$84,0)&lt;=1,"",INDEX(周线!$U$5:$U$84,MATCH(G246,周线!$A$5:$A$84,0)-1)),"")</f>
        <v>1</v>
      </c>
      <c r="BV246" s="42" t="n">
        <f aca="false">IF(AND(BS246=1,S246&lt;&gt;-1,V246&lt;0,BO246=1,E246&lt;=H246,E246&gt;=AJ246),1,0)</f>
        <v>0</v>
      </c>
      <c r="BW246" s="42" t="n">
        <f aca="false">BL246</f>
        <v>0</v>
      </c>
      <c r="BX246" s="42" t="n">
        <f aca="false">BQ246</f>
        <v>0</v>
      </c>
      <c r="BY246" s="42" t="n">
        <f aca="false">IF(BS246=1,10,0)+IF(BU246=1,5,IF(BU246=-1,0,3))+IF(BT246=1,5,0)+IF(AND(AE246&gt;AF246,AH246&gt;AH245),5,0)</f>
        <v>20</v>
      </c>
      <c r="BZ246" s="42" t="n">
        <f aca="false">IF(AND(E246&lt;=H246,E246&gt;=I246),10,IF(AND(E246&gt;=AJ246,E246&lt;I246),6,0))+IF(AND(V246&lt;0,BO246=1),8,0)+IF(AT246&lt;30,7,IF(AT246&lt;50,3,0))</f>
        <v>13</v>
      </c>
      <c r="CA246" s="42" t="n">
        <f aca="false">IF(AND(BV246=1,BW246=1),25,IF(BW246=1,22,IF(BV246=1,15,IF(BX246=1,12,0))))</f>
        <v>0</v>
      </c>
      <c r="CB246" s="42" t="n">
        <f aca="false">IF(W246&gt;0,6,0)+IF(F246&lt;BR246,4,0)</f>
        <v>0</v>
      </c>
      <c r="CC246" s="42" t="n">
        <f aca="false">IF(BC246&gt;=3,15,IF(BC246&gt;=p_RRmin,10,IF(BC246&gt;=1.5,4,0)))</f>
        <v>0</v>
      </c>
      <c r="CD246" s="42" t="n">
        <f aca="false">BY246+BZ246+CA246+CB246+CC246</f>
        <v>33</v>
      </c>
      <c r="CE246" s="42" t="n">
        <f aca="false">IF(AND(BS246&lt;&gt;1,BW246+BX246=0),1,0)</f>
        <v>0</v>
      </c>
      <c r="CF246" s="42" t="n">
        <f aca="false">IF(BU246=-1,1,0)</f>
        <v>0</v>
      </c>
      <c r="CG246" s="42" t="n">
        <f aca="false">IF(S246=-1,1,0)</f>
        <v>1</v>
      </c>
      <c r="CH246" s="42" t="n">
        <f aca="false">IF(BV246+BW246+BX246=0,1,0)</f>
        <v>1</v>
      </c>
      <c r="CI246" s="42" t="n">
        <f aca="false">IF(BC246&lt;p_RRmin,1,0)</f>
        <v>1</v>
      </c>
      <c r="CJ246" s="46" t="str">
        <f aca="false">IF(SUM(CE246:CI246)=0,IF(CD246&gt;=p_GradeA,"A",IF(CD246&gt;=p_GradeB,"B","C")),IF(AND(CI246=1,SUM(CE246:CH246)=0,CD246&gt;=p_GradeB),"B","C"))</f>
        <v>C</v>
      </c>
    </row>
    <row r="247" customFormat="false" ht="15" hidden="false" customHeight="false" outlineLevel="0" collapsed="false">
      <c r="A247" s="36" t="n">
        <v>45999</v>
      </c>
      <c r="B247" s="37" t="n">
        <v>31.15</v>
      </c>
      <c r="C247" s="37" t="n">
        <v>31.24</v>
      </c>
      <c r="D247" s="37" t="n">
        <v>30.86</v>
      </c>
      <c r="E247" s="37" t="n">
        <v>30.97</v>
      </c>
      <c r="F247" s="38" t="n">
        <v>3998400</v>
      </c>
      <c r="G247" s="39" t="n">
        <f aca="false">A247-WEEKDAY(A247,3)</f>
        <v>45999</v>
      </c>
      <c r="H247" s="40" t="n">
        <f aca="false">2/(p_EmaF+1)*E247+(1-2/(p_EmaF+1))*H246</f>
        <v>31.3275565930041</v>
      </c>
      <c r="I247" s="40" t="n">
        <f aca="false">2/(p_EmaS+1)*E247+(1-2/(p_EmaS+1))*I246</f>
        <v>30.4932937627924</v>
      </c>
      <c r="J247" s="41" t="n">
        <f aca="false">2/(p_MacdF+1)*E247+(1-2/(p_MacdF+1))*J246</f>
        <v>31.3852770797546</v>
      </c>
      <c r="K247" s="41" t="n">
        <f aca="false">2/(p_MacdS+1)*E247+(1-2/(p_MacdS+1))*K246</f>
        <v>30.4932937627924</v>
      </c>
      <c r="L247" s="41" t="n">
        <f aca="false">J247-K247</f>
        <v>0.891983316962133</v>
      </c>
      <c r="M247" s="41" t="n">
        <f aca="false">2/(p_MacdSig+1)*L247+(1-2/(p_MacdSig+1))*M246</f>
        <v>1.00973908121932</v>
      </c>
      <c r="N247" s="41" t="n">
        <f aca="false">L247-M247</f>
        <v>-0.117755764257182</v>
      </c>
      <c r="O247" s="42" t="n">
        <f aca="false">IF(H247&gt;H246,1,0)</f>
        <v>0</v>
      </c>
      <c r="P247" s="42" t="n">
        <f aca="false">IF(H247&lt;H246,1,0)</f>
        <v>1</v>
      </c>
      <c r="Q247" s="42" t="n">
        <f aca="false">IF(N247&gt;N246,1,0)</f>
        <v>0</v>
      </c>
      <c r="R247" s="42" t="n">
        <f aca="false">IF(N247&lt;N246,1,0)</f>
        <v>1</v>
      </c>
      <c r="S247" s="42" t="n">
        <f aca="false">IF(AND(O247=1,Q247=1),1,IF(AND(P247=1,R247=1),-1,0))</f>
        <v>-1</v>
      </c>
      <c r="T247" s="43" t="str">
        <f aca="false">IF(S247=1,"绿",IF(S247=-1,"红","蓝"))</f>
        <v>红</v>
      </c>
      <c r="U247" s="44" t="n">
        <f aca="false">F247*(E247-E246)</f>
        <v>-279888.000000001</v>
      </c>
      <c r="V247" s="44" t="n">
        <f aca="false">2/(p_FiS+1)*U247+(1-2/(p_FiS+1))*V246</f>
        <v>-1405216.31577963</v>
      </c>
      <c r="W247" s="44" t="n">
        <f aca="false">2/(p_FiL+1)*U247+(1-2/(p_FiL+1))*W246</f>
        <v>-383264.606851176</v>
      </c>
      <c r="X247" s="41" t="n">
        <f aca="false">MAX(C247-D247,ABS(C247-E246),ABS(D247-E246))</f>
        <v>0.379999999999999</v>
      </c>
      <c r="Y247" s="41" t="n">
        <f aca="true">AVERAGE(OFFSET(X247,1-MIN(p_AtrN,ROW()-4),0,MIN(p_AtrN,ROW()-4),1))</f>
        <v>0.813846153846154</v>
      </c>
      <c r="Z247" s="41" t="n">
        <f aca="false">IF(AND(C247-C246&gt;D246-D247,C247-C246&gt;0),C247-C246,0)</f>
        <v>0</v>
      </c>
      <c r="AA247" s="41" t="n">
        <f aca="false">IF(AND(D246-D247&gt;C247-C246,D246-D247&gt;0),D246-D247,0)</f>
        <v>0</v>
      </c>
      <c r="AB247" s="41" t="n">
        <f aca="false">2/(p_AdxN+1)*X247+(1-2/(p_AdxN+1))*AB246</f>
        <v>0.803030818348842</v>
      </c>
      <c r="AC247" s="41" t="n">
        <f aca="false">2/(p_AdxN+1)*Z247+(1-2/(p_AdxN+1))*AC246</f>
        <v>0.182234157643973</v>
      </c>
      <c r="AD247" s="41" t="n">
        <f aca="false">2/(p_AdxN+1)*AA247+(1-2/(p_AdxN+1))*AD246</f>
        <v>0.167225664438678</v>
      </c>
      <c r="AE247" s="45" t="n">
        <f aca="false">100*AC247/AB247</f>
        <v>22.6932956344907</v>
      </c>
      <c r="AF247" s="45" t="n">
        <f aca="false">100*AD247/AB247</f>
        <v>20.8243146611136</v>
      </c>
      <c r="AG247" s="45" t="n">
        <f aca="false">IFERROR(100*ABS(AE247-AF247)/(AE247+AF247),0)</f>
        <v>4.29476931449511</v>
      </c>
      <c r="AH247" s="45" t="n">
        <f aca="false">2/(p_AdxN+1)*AG247+(1-2/(p_AdxN+1))*AH246</f>
        <v>47.6024660141904</v>
      </c>
      <c r="AI247" s="40" t="n">
        <f aca="false">I247*(1+p_ChPct)</f>
        <v>32.32289138856</v>
      </c>
      <c r="AJ247" s="40" t="n">
        <f aca="false">I247*(1-p_ChPct)</f>
        <v>28.6636961370249</v>
      </c>
      <c r="AK247" s="40" t="n">
        <f aca="false">I247+1*Y247</f>
        <v>31.3071399166386</v>
      </c>
      <c r="AL247" s="40" t="n">
        <f aca="false">I247+2*Y247</f>
        <v>32.1209860704848</v>
      </c>
      <c r="AM247" s="40" t="n">
        <f aca="false">I247+3*Y247</f>
        <v>32.9348322243309</v>
      </c>
      <c r="AN247" s="40" t="n">
        <f aca="false">I247-1*Y247</f>
        <v>29.6794476089463</v>
      </c>
      <c r="AO247" s="40" t="n">
        <f aca="false">I247-2*Y247</f>
        <v>28.8656014551001</v>
      </c>
      <c r="AP247" s="40" t="n">
        <f aca="false">I247-3*Y247</f>
        <v>28.051755301254</v>
      </c>
      <c r="AQ247" s="40" t="n">
        <f aca="true">MAX(OFFSET(C247,1-MIN(p_StochN,ROW()-4),0,MIN(p_StochN,ROW()-4),1))</f>
        <v>32.64</v>
      </c>
      <c r="AR247" s="40" t="n">
        <f aca="true">MIN(OFFSET(D247,1-MIN(p_StochN,ROW()-4),0,MIN(p_StochN,ROW()-4),1))</f>
        <v>30.79</v>
      </c>
      <c r="AS247" s="45" t="n">
        <f aca="false">IF(AQ247=AR247,50,100*(E247-AR247)/(AQ247-AR247))</f>
        <v>9.72972972972971</v>
      </c>
      <c r="AT247" s="45" t="n">
        <f aca="true">AVERAGE(OFFSET(AS247,1-MIN(p_StochSm,ROW()-4),0,MIN(p_StochSm,ROW()-4),1))</f>
        <v>13.5052035052036</v>
      </c>
      <c r="AU247" s="45" t="n">
        <f aca="true">AVERAGE(OFFSET(AT247,1-MIN(p_StochSm,ROW()-4),0,MIN(p_StochSm,ROW()-4),1))</f>
        <v>25.77485055097</v>
      </c>
      <c r="AV247" s="41" t="n">
        <f aca="false">MAX(0,H247-D247)</f>
        <v>0.46755659300409</v>
      </c>
      <c r="AW247" s="41" t="n">
        <f aca="true">IF(COUNTIF(OFFSET(AV247,1-MIN(p_PenLb,ROW()-4),0,MIN(p_PenLb,ROW()-4),1),"&gt;0")&gt;0,SUM(OFFSET(AV247,1-MIN(p_PenLb,ROW()-4),0,MIN(p_PenLb,ROW()-4),1))/COUNTIF(OFFSET(AV247,1-MIN(p_PenLb,ROW()-4),0,MIN(p_PenLb,ROW()-4),1),"&gt;0"),0.5*Y247)</f>
        <v>0.278469781313041</v>
      </c>
      <c r="AX247" s="41" t="n">
        <f aca="false">2*H247-H246</f>
        <v>31.2679638275034</v>
      </c>
      <c r="AY247" s="40" t="n">
        <f aca="false">ROUND(MAX(AX247-AW247,0.01),2)</f>
        <v>30.99</v>
      </c>
      <c r="AZ247" s="40" t="n">
        <f aca="true">IF(MIN(p_StopLb,ROW()-4)&lt;2,D247,SMALL(OFFSET(D247,1-MIN(p_StopLb,ROW()-4),0,MIN(p_StopLb,ROW()-4),1),2))</f>
        <v>30.86</v>
      </c>
      <c r="BA247" s="40" t="n">
        <f aca="false">IF(MOD(ROUND(ROUNDDOWN(MIN(AZ247-0.01,AY247-p_StopAtr*Y247),2)*100,0),50)=0,ROUNDDOWN(MIN(AZ247-0.01,AY247-p_StopAtr*Y247),2)-0.01,ROUNDDOWN(MIN(AZ247-0.01,AY247-p_StopAtr*Y247),2))</f>
        <v>30.17</v>
      </c>
      <c r="BB247" s="40" t="n">
        <f aca="false">ROUND(AI247,2)</f>
        <v>32.32</v>
      </c>
      <c r="BC247" s="40" t="n">
        <f aca="false">IF(AY247-BA247&gt;0,(BB247-AY247)/(AY247-BA247),0)</f>
        <v>1.6219512195122</v>
      </c>
      <c r="BD247" s="42" t="n">
        <f aca="false">IF(N247&lt;0,1,0)</f>
        <v>1</v>
      </c>
      <c r="BE247" s="41" t="n">
        <f aca="false">IF(AND(BD247=1,BD246=0),N247,IF(BD247=1,MIN(BE246,N247),BE246))</f>
        <v>-0.117755764257182</v>
      </c>
      <c r="BF247" s="40" t="n">
        <f aca="false">IF(AND(BD247=1,BD246=0),D247,IF(BD247=1,MIN(BF246,D247),BF246))</f>
        <v>30.79</v>
      </c>
      <c r="BG247" s="42" t="n">
        <f aca="false">IF(AND(BD247=1,BD246=0),ROW(),IF(BD247=1,IF(N247&lt;BE246,ROW(),BG246),BG246))</f>
        <v>247</v>
      </c>
      <c r="BH247" s="41" t="n">
        <f aca="false">IF(AND(BD247=1,BD246=0),BE246,BH246)</f>
        <v>-0.153190541609803</v>
      </c>
      <c r="BI247" s="40" t="n">
        <f aca="false">IF(AND(BD247=1,BD246=0),BF246,BI246)</f>
        <v>27.9</v>
      </c>
      <c r="BJ247" s="42" t="n">
        <f aca="false">IF(AND(BD247=1,BD246=0),BG246,BJ246)</f>
        <v>226</v>
      </c>
      <c r="BK247" s="42" t="n">
        <f aca="false">IF(AND(ISNUMBER(BG247),ISNUMBER(BJ247)),BG247-BJ247,"")</f>
        <v>21</v>
      </c>
      <c r="BL247" s="42" t="n">
        <f aca="false">IF(AND(BD247=1,N247&gt;N246,ISNUMBER(BH247),ISNUMBER(BK247)),IF(AND(BE247&gt;BH247,BF247&lt;BI247,BK247&gt;=p_GapMin,BK247&lt;=p_GapMax),1,0),0)</f>
        <v>0</v>
      </c>
      <c r="BM247" s="42" t="n">
        <f aca="false">IF(AND(BL247=1,E247&gt;BI247),1,0)</f>
        <v>0</v>
      </c>
      <c r="BN247" s="42" t="n">
        <f aca="false">IF(BL247=1,IF(BE247&gt;=BH247*0.5,1,0),0)</f>
        <v>0</v>
      </c>
      <c r="BO247" s="42" t="n">
        <f aca="true">IF(V247&gt;MIN(OFFSET(V247,-MIN(p_FiLb-1,ROW()-5),0,MIN(p_FiLb-1,ROW()-5),1)),1,0)</f>
        <v>1</v>
      </c>
      <c r="BP247" s="44" t="n">
        <f aca="true">IF(COUNTIF(OFFSET(V247,1-MIN(100,ROW()-4),0,MIN(100,ROW()-4),1),"&lt;0")&gt;=5,AVERAGEIF(OFFSET(V247,1-MIN(100,ROW()-4),0,MIN(100,ROW()-4),1),"&lt;0"),"")</f>
        <v>-933572.024275624</v>
      </c>
      <c r="BQ247" s="42" t="n">
        <f aca="false">IF(ISNUMBER(BP247),IF(AND(V247&lt;5*BP247,V247&gt;V246,E247&lt;AJ247),1,0),0)</f>
        <v>0</v>
      </c>
      <c r="BR247" s="44" t="n">
        <f aca="true">AVERAGE(OFFSET(F247,1-MIN(5,ROW()-4),0,MIN(5,ROW()-4),1))</f>
        <v>3785500</v>
      </c>
      <c r="BS247" s="42" t="n">
        <f aca="false">IFERROR(IF(MATCH(G247,周线!$A$5:$A$84,0)&lt;=1,"",INDEX(周线!$R$5:$R$84,MATCH(G247,周线!$A$5:$A$84,0)-1)),"")</f>
        <v>1</v>
      </c>
      <c r="BT247" s="42" t="n">
        <f aca="false">IFERROR(IF(MATCH(G247,周线!$A$5:$A$84,0)&lt;=1,"",INDEX(周线!$S$5:$S$84,MATCH(G247,周线!$A$5:$A$84,0)-1)),"")</f>
        <v>0</v>
      </c>
      <c r="BU247" s="42" t="n">
        <f aca="false">IFERROR(IF(MATCH(G247,周线!$A$5:$A$84,0)&lt;=1,"",INDEX(周线!$U$5:$U$84,MATCH(G247,周线!$A$5:$A$84,0)-1)),"")</f>
        <v>0</v>
      </c>
      <c r="BV247" s="42" t="n">
        <f aca="false">IF(AND(BS247=1,S247&lt;&gt;-1,V247&lt;0,BO247=1,E247&lt;=H247,E247&gt;=AJ247),1,0)</f>
        <v>0</v>
      </c>
      <c r="BW247" s="42" t="n">
        <f aca="false">BL247</f>
        <v>0</v>
      </c>
      <c r="BX247" s="42" t="n">
        <f aca="false">BQ247</f>
        <v>0</v>
      </c>
      <c r="BY247" s="42" t="n">
        <f aca="false">IF(BS247=1,10,0)+IF(BU247=1,5,IF(BU247=-1,0,3))+IF(BT247=1,5,0)+IF(AND(AE247&gt;AF247,AH247&gt;AH246),5,0)</f>
        <v>13</v>
      </c>
      <c r="BZ247" s="42" t="n">
        <f aca="false">IF(AND(E247&lt;=H247,E247&gt;=I247),10,IF(AND(E247&gt;=AJ247,E247&lt;I247),6,0))+IF(AND(V247&lt;0,BO247=1),8,0)+IF(AT247&lt;30,7,IF(AT247&lt;50,3,0))</f>
        <v>25</v>
      </c>
      <c r="CA247" s="42" t="n">
        <f aca="false">IF(AND(BV247=1,BW247=1),25,IF(BW247=1,22,IF(BV247=1,15,IF(BX247=1,12,0))))</f>
        <v>0</v>
      </c>
      <c r="CB247" s="42" t="n">
        <f aca="false">IF(W247&gt;0,6,0)+IF(F247&lt;BR247,4,0)</f>
        <v>0</v>
      </c>
      <c r="CC247" s="42" t="n">
        <f aca="false">IF(BC247&gt;=3,15,IF(BC247&gt;=p_RRmin,10,IF(BC247&gt;=1.5,4,0)))</f>
        <v>4</v>
      </c>
      <c r="CD247" s="42" t="n">
        <f aca="false">BY247+BZ247+CA247+CB247+CC247</f>
        <v>42</v>
      </c>
      <c r="CE247" s="42" t="n">
        <f aca="false">IF(AND(BS247&lt;&gt;1,BW247+BX247=0),1,0)</f>
        <v>0</v>
      </c>
      <c r="CF247" s="42" t="n">
        <f aca="false">IF(BU247=-1,1,0)</f>
        <v>0</v>
      </c>
      <c r="CG247" s="42" t="n">
        <f aca="false">IF(S247=-1,1,0)</f>
        <v>1</v>
      </c>
      <c r="CH247" s="42" t="n">
        <f aca="false">IF(BV247+BW247+BX247=0,1,0)</f>
        <v>1</v>
      </c>
      <c r="CI247" s="42" t="n">
        <f aca="false">IF(BC247&lt;p_RRmin,1,0)</f>
        <v>1</v>
      </c>
      <c r="CJ247" s="46" t="str">
        <f aca="false">IF(SUM(CE247:CI247)=0,IF(CD247&gt;=p_GradeA,"A",IF(CD247&gt;=p_GradeB,"B","C")),IF(AND(CI247=1,SUM(CE247:CH247)=0,CD247&gt;=p_GradeB),"B","C"))</f>
        <v>C</v>
      </c>
    </row>
    <row r="248" customFormat="false" ht="15" hidden="false" customHeight="false" outlineLevel="0" collapsed="false">
      <c r="A248" s="36" t="n">
        <v>46000</v>
      </c>
      <c r="B248" s="37" t="n">
        <v>31.01</v>
      </c>
      <c r="C248" s="37" t="n">
        <v>31.2</v>
      </c>
      <c r="D248" s="37" t="n">
        <v>30.86</v>
      </c>
      <c r="E248" s="37" t="n">
        <v>31.14</v>
      </c>
      <c r="F248" s="38" t="n">
        <v>2601200</v>
      </c>
      <c r="G248" s="39" t="n">
        <f aca="false">A248-WEEKDAY(A248,3)</f>
        <v>45999</v>
      </c>
      <c r="H248" s="40" t="n">
        <f aca="false">2/(p_EmaF+1)*E248+(1-2/(p_EmaF+1))*H247</f>
        <v>31.3007627940035</v>
      </c>
      <c r="I248" s="40" t="n">
        <f aca="false">2/(p_EmaS+1)*E248+(1-2/(p_EmaS+1))*I247</f>
        <v>30.5411979285115</v>
      </c>
      <c r="J248" s="41" t="n">
        <f aca="false">2/(p_MacdF+1)*E248+(1-2/(p_MacdF+1))*J247</f>
        <v>31.3475421444077</v>
      </c>
      <c r="K248" s="41" t="n">
        <f aca="false">2/(p_MacdS+1)*E248+(1-2/(p_MacdS+1))*K247</f>
        <v>30.5411979285115</v>
      </c>
      <c r="L248" s="41" t="n">
        <f aca="false">J248-K248</f>
        <v>0.806344215896196</v>
      </c>
      <c r="M248" s="41" t="n">
        <f aca="false">2/(p_MacdSig+1)*L248+(1-2/(p_MacdSig+1))*M247</f>
        <v>0.969060108154691</v>
      </c>
      <c r="N248" s="41" t="n">
        <f aca="false">L248-M248</f>
        <v>-0.162715892258495</v>
      </c>
      <c r="O248" s="42" t="n">
        <f aca="false">IF(H248&gt;H247,1,0)</f>
        <v>0</v>
      </c>
      <c r="P248" s="42" t="n">
        <f aca="false">IF(H248&lt;H247,1,0)</f>
        <v>1</v>
      </c>
      <c r="Q248" s="42" t="n">
        <f aca="false">IF(N248&gt;N247,1,0)</f>
        <v>0</v>
      </c>
      <c r="R248" s="42" t="n">
        <f aca="false">IF(N248&lt;N247,1,0)</f>
        <v>1</v>
      </c>
      <c r="S248" s="42" t="n">
        <f aca="false">IF(AND(O248=1,Q248=1),1,IF(AND(P248=1,R248=1),-1,0))</f>
        <v>-1</v>
      </c>
      <c r="T248" s="43" t="str">
        <f aca="false">IF(S248=1,"绿",IF(S248=-1,"红","蓝"))</f>
        <v>红</v>
      </c>
      <c r="U248" s="44" t="n">
        <f aca="false">F248*(E248-E247)</f>
        <v>442204.000000004</v>
      </c>
      <c r="V248" s="44" t="n">
        <f aca="false">2/(p_FiS+1)*U248+(1-2/(p_FiS+1))*V247</f>
        <v>-173602.77192654</v>
      </c>
      <c r="W248" s="44" t="n">
        <f aca="false">2/(p_FiL+1)*U248+(1-2/(p_FiL+1))*W247</f>
        <v>-265340.520158151</v>
      </c>
      <c r="X248" s="41" t="n">
        <f aca="false">MAX(C248-D248,ABS(C248-E247),ABS(D248-E247))</f>
        <v>0.34</v>
      </c>
      <c r="Y248" s="41" t="n">
        <f aca="true">AVERAGE(OFFSET(X248,1-MIN(p_AtrN,ROW()-4),0,MIN(p_AtrN,ROW()-4),1))</f>
        <v>0.798461538461538</v>
      </c>
      <c r="Z248" s="41" t="n">
        <f aca="false">IF(AND(C248-C247&gt;D247-D248,C248-C247&gt;0),C248-C247,0)</f>
        <v>0</v>
      </c>
      <c r="AA248" s="41" t="n">
        <f aca="false">IF(AND(D247-D248&gt;C248-C247,D247-D248&gt;0),D247-D248,0)</f>
        <v>0</v>
      </c>
      <c r="AB248" s="41" t="n">
        <f aca="false">2/(p_AdxN+1)*X248+(1-2/(p_AdxN+1))*AB247</f>
        <v>0.736883558584722</v>
      </c>
      <c r="AC248" s="41" t="n">
        <f aca="false">2/(p_AdxN+1)*Z248+(1-2/(p_AdxN+1))*AC247</f>
        <v>0.156200706551977</v>
      </c>
      <c r="AD248" s="41" t="n">
        <f aca="false">2/(p_AdxN+1)*AA248+(1-2/(p_AdxN+1))*AD247</f>
        <v>0.143336283804581</v>
      </c>
      <c r="AE248" s="45" t="n">
        <f aca="false">100*AC248/AB248</f>
        <v>21.1974747885514</v>
      </c>
      <c r="AF248" s="45" t="n">
        <f aca="false">100*AD248/AB248</f>
        <v>19.4516870589265</v>
      </c>
      <c r="AG248" s="45" t="n">
        <f aca="false">IFERROR(100*ABS(AE248-AF248)/(AE248+AF248),0)</f>
        <v>4.29476931449512</v>
      </c>
      <c r="AH248" s="45" t="n">
        <f aca="false">2/(p_AdxN+1)*AG248+(1-2/(p_AdxN+1))*AH247</f>
        <v>41.4156521999482</v>
      </c>
      <c r="AI248" s="40" t="n">
        <f aca="false">I248*(1+p_ChPct)</f>
        <v>32.3736698042222</v>
      </c>
      <c r="AJ248" s="40" t="n">
        <f aca="false">I248*(1-p_ChPct)</f>
        <v>28.7087260528008</v>
      </c>
      <c r="AK248" s="40" t="n">
        <f aca="false">I248+1*Y248</f>
        <v>31.3396594669731</v>
      </c>
      <c r="AL248" s="40" t="n">
        <f aca="false">I248+2*Y248</f>
        <v>32.1381210054346</v>
      </c>
      <c r="AM248" s="40" t="n">
        <f aca="false">I248+3*Y248</f>
        <v>32.9365825438961</v>
      </c>
      <c r="AN248" s="40" t="n">
        <f aca="false">I248-1*Y248</f>
        <v>29.74273639005</v>
      </c>
      <c r="AO248" s="40" t="n">
        <f aca="false">I248-2*Y248</f>
        <v>28.9442748515884</v>
      </c>
      <c r="AP248" s="40" t="n">
        <f aca="false">I248-3*Y248</f>
        <v>28.1458133131269</v>
      </c>
      <c r="AQ248" s="40" t="n">
        <f aca="true">MAX(OFFSET(C248,1-MIN(p_StochN,ROW()-4),0,MIN(p_StochN,ROW()-4),1))</f>
        <v>32.64</v>
      </c>
      <c r="AR248" s="40" t="n">
        <f aca="true">MIN(OFFSET(D248,1-MIN(p_StochN,ROW()-4),0,MIN(p_StochN,ROW()-4),1))</f>
        <v>30.79</v>
      </c>
      <c r="AS248" s="45" t="n">
        <f aca="false">IF(AQ248=AR248,50,100*(E248-AR248)/(AQ248-AR248))</f>
        <v>18.918918918919</v>
      </c>
      <c r="AT248" s="45" t="n">
        <f aca="true">AVERAGE(OFFSET(AS248,1-MIN(p_StochSm,ROW()-4),0,MIN(p_StochSm,ROW()-4),1))</f>
        <v>13.5178035178035</v>
      </c>
      <c r="AU248" s="45" t="n">
        <f aca="true">AVERAGE(OFFSET(AT248,1-MIN(p_StochSm,ROW()-4),0,MIN(p_StochSm,ROW()-4),1))</f>
        <v>19.0618215991351</v>
      </c>
      <c r="AV248" s="41" t="n">
        <f aca="false">MAX(0,H248-D248)</f>
        <v>0.440762794003511</v>
      </c>
      <c r="AW248" s="41" t="n">
        <f aca="true">IF(COUNTIF(OFFSET(AV248,1-MIN(p_PenLb,ROW()-4),0,MIN(p_PenLb,ROW()-4),1),"&gt;0")&gt;0,SUM(OFFSET(AV248,1-MIN(p_PenLb,ROW()-4),0,MIN(p_PenLb,ROW()-4),1))/COUNTIF(OFFSET(AV248,1-MIN(p_PenLb,ROW()-4),0,MIN(p_PenLb,ROW()-4),1),"&gt;0"),0.5*Y248)</f>
        <v>0.291994199037247</v>
      </c>
      <c r="AX248" s="41" t="n">
        <f aca="false">2*H248-H247</f>
        <v>31.2739689950029</v>
      </c>
      <c r="AY248" s="40" t="n">
        <f aca="false">ROUND(MAX(AX248-AW248,0.01),2)</f>
        <v>30.98</v>
      </c>
      <c r="AZ248" s="40" t="n">
        <f aca="true">IF(MIN(p_StopLb,ROW()-4)&lt;2,D248,SMALL(OFFSET(D248,1-MIN(p_StopLb,ROW()-4),0,MIN(p_StopLb,ROW()-4),1),2))</f>
        <v>30.86</v>
      </c>
      <c r="BA248" s="40" t="n">
        <f aca="false">IF(MOD(ROUND(ROUNDDOWN(MIN(AZ248-0.01,AY248-p_StopAtr*Y248),2)*100,0),50)=0,ROUNDDOWN(MIN(AZ248-0.01,AY248-p_StopAtr*Y248),2)-0.01,ROUNDDOWN(MIN(AZ248-0.01,AY248-p_StopAtr*Y248),2))</f>
        <v>30.18</v>
      </c>
      <c r="BB248" s="40" t="n">
        <f aca="false">ROUND(AI248,2)</f>
        <v>32.37</v>
      </c>
      <c r="BC248" s="40" t="n">
        <f aca="false">IF(AY248-BA248&gt;0,(BB248-AY248)/(AY248-BA248),0)</f>
        <v>1.73749999999999</v>
      </c>
      <c r="BD248" s="42" t="n">
        <f aca="false">IF(N248&lt;0,1,0)</f>
        <v>1</v>
      </c>
      <c r="BE248" s="41" t="n">
        <f aca="false">IF(AND(BD248=1,BD247=0),N248,IF(BD248=1,MIN(BE247,N248),BE247))</f>
        <v>-0.162715892258495</v>
      </c>
      <c r="BF248" s="40" t="n">
        <f aca="false">IF(AND(BD248=1,BD247=0),D248,IF(BD248=1,MIN(BF247,D248),BF247))</f>
        <v>30.79</v>
      </c>
      <c r="BG248" s="42" t="n">
        <f aca="false">IF(AND(BD248=1,BD247=0),ROW(),IF(BD248=1,IF(N248&lt;BE247,ROW(),BG247),BG247))</f>
        <v>248</v>
      </c>
      <c r="BH248" s="41" t="n">
        <f aca="false">IF(AND(BD248=1,BD247=0),BE247,BH247)</f>
        <v>-0.153190541609803</v>
      </c>
      <c r="BI248" s="40" t="n">
        <f aca="false">IF(AND(BD248=1,BD247=0),BF247,BI247)</f>
        <v>27.9</v>
      </c>
      <c r="BJ248" s="42" t="n">
        <f aca="false">IF(AND(BD248=1,BD247=0),BG247,BJ247)</f>
        <v>226</v>
      </c>
      <c r="BK248" s="42" t="n">
        <f aca="false">IF(AND(ISNUMBER(BG248),ISNUMBER(BJ248)),BG248-BJ248,"")</f>
        <v>22</v>
      </c>
      <c r="BL248" s="42" t="n">
        <f aca="false">IF(AND(BD248=1,N248&gt;N247,ISNUMBER(BH248),ISNUMBER(BK248)),IF(AND(BE248&gt;BH248,BF248&lt;BI248,BK248&gt;=p_GapMin,BK248&lt;=p_GapMax),1,0),0)</f>
        <v>0</v>
      </c>
      <c r="BM248" s="42" t="n">
        <f aca="false">IF(AND(BL248=1,E248&gt;BI248),1,0)</f>
        <v>0</v>
      </c>
      <c r="BN248" s="42" t="n">
        <f aca="false">IF(BL248=1,IF(BE248&gt;=BH248*0.5,1,0),0)</f>
        <v>0</v>
      </c>
      <c r="BO248" s="42" t="n">
        <f aca="true">IF(V248&gt;MIN(OFFSET(V248,-MIN(p_FiLb-1,ROW()-5),0,MIN(p_FiLb-1,ROW()-5),1)),1,0)</f>
        <v>1</v>
      </c>
      <c r="BP248" s="44" t="n">
        <f aca="true">IF(COUNTIF(OFFSET(V248,1-MIN(100,ROW()-4),0,MIN(100,ROW()-4),1),"&lt;0")&gt;=5,AVERAGEIF(OFFSET(V248,1-MIN(100,ROW()-4),0,MIN(100,ROW()-4),1),"&lt;0"),"")</f>
        <v>-913572.833424332</v>
      </c>
      <c r="BQ248" s="42" t="n">
        <f aca="false">IF(ISNUMBER(BP248),IF(AND(V248&lt;5*BP248,V248&gt;V247,E248&lt;AJ248),1,0),0)</f>
        <v>0</v>
      </c>
      <c r="BR248" s="44" t="n">
        <f aca="true">AVERAGE(OFFSET(F248,1-MIN(5,ROW()-4),0,MIN(5,ROW()-4),1))</f>
        <v>3708840</v>
      </c>
      <c r="BS248" s="42" t="n">
        <f aca="false">IFERROR(IF(MATCH(G248,周线!$A$5:$A$84,0)&lt;=1,"",INDEX(周线!$R$5:$R$84,MATCH(G248,周线!$A$5:$A$84,0)-1)),"")</f>
        <v>1</v>
      </c>
      <c r="BT248" s="42" t="n">
        <f aca="false">IFERROR(IF(MATCH(G248,周线!$A$5:$A$84,0)&lt;=1,"",INDEX(周线!$S$5:$S$84,MATCH(G248,周线!$A$5:$A$84,0)-1)),"")</f>
        <v>0</v>
      </c>
      <c r="BU248" s="42" t="n">
        <f aca="false">IFERROR(IF(MATCH(G248,周线!$A$5:$A$84,0)&lt;=1,"",INDEX(周线!$U$5:$U$84,MATCH(G248,周线!$A$5:$A$84,0)-1)),"")</f>
        <v>0</v>
      </c>
      <c r="BV248" s="42" t="n">
        <f aca="false">IF(AND(BS248=1,S248&lt;&gt;-1,V248&lt;0,BO248=1,E248&lt;=H248,E248&gt;=AJ248),1,0)</f>
        <v>0</v>
      </c>
      <c r="BW248" s="42" t="n">
        <f aca="false">BL248</f>
        <v>0</v>
      </c>
      <c r="BX248" s="42" t="n">
        <f aca="false">BQ248</f>
        <v>0</v>
      </c>
      <c r="BY248" s="42" t="n">
        <f aca="false">IF(BS248=1,10,0)+IF(BU248=1,5,IF(BU248=-1,0,3))+IF(BT248=1,5,0)+IF(AND(AE248&gt;AF248,AH248&gt;AH247),5,0)</f>
        <v>13</v>
      </c>
      <c r="BZ248" s="42" t="n">
        <f aca="false">IF(AND(E248&lt;=H248,E248&gt;=I248),10,IF(AND(E248&gt;=AJ248,E248&lt;I248),6,0))+IF(AND(V248&lt;0,BO248=1),8,0)+IF(AT248&lt;30,7,IF(AT248&lt;50,3,0))</f>
        <v>25</v>
      </c>
      <c r="CA248" s="42" t="n">
        <f aca="false">IF(AND(BV248=1,BW248=1),25,IF(BW248=1,22,IF(BV248=1,15,IF(BX248=1,12,0))))</f>
        <v>0</v>
      </c>
      <c r="CB248" s="42" t="n">
        <f aca="false">IF(W248&gt;0,6,0)+IF(F248&lt;BR248,4,0)</f>
        <v>4</v>
      </c>
      <c r="CC248" s="42" t="n">
        <f aca="false">IF(BC248&gt;=3,15,IF(BC248&gt;=p_RRmin,10,IF(BC248&gt;=1.5,4,0)))</f>
        <v>4</v>
      </c>
      <c r="CD248" s="42" t="n">
        <f aca="false">BY248+BZ248+CA248+CB248+CC248</f>
        <v>46</v>
      </c>
      <c r="CE248" s="42" t="n">
        <f aca="false">IF(AND(BS248&lt;&gt;1,BW248+BX248=0),1,0)</f>
        <v>0</v>
      </c>
      <c r="CF248" s="42" t="n">
        <f aca="false">IF(BU248=-1,1,0)</f>
        <v>0</v>
      </c>
      <c r="CG248" s="42" t="n">
        <f aca="false">IF(S248=-1,1,0)</f>
        <v>1</v>
      </c>
      <c r="CH248" s="42" t="n">
        <f aca="false">IF(BV248+BW248+BX248=0,1,0)</f>
        <v>1</v>
      </c>
      <c r="CI248" s="42" t="n">
        <f aca="false">IF(BC248&lt;p_RRmin,1,0)</f>
        <v>1</v>
      </c>
      <c r="CJ248" s="46" t="str">
        <f aca="false">IF(SUM(CE248:CI248)=0,IF(CD248&gt;=p_GradeA,"A",IF(CD248&gt;=p_GradeB,"B","C")),IF(AND(CI248=1,SUM(CE248:CH248)=0,CD248&gt;=p_GradeB),"B","C"))</f>
        <v>C</v>
      </c>
    </row>
    <row r="249" customFormat="false" ht="15" hidden="false" customHeight="false" outlineLevel="0" collapsed="false">
      <c r="A249" s="36" t="n">
        <v>46001</v>
      </c>
      <c r="B249" s="37" t="n">
        <v>31.16</v>
      </c>
      <c r="C249" s="37" t="n">
        <v>31.38</v>
      </c>
      <c r="D249" s="37" t="n">
        <v>30.78</v>
      </c>
      <c r="E249" s="37" t="n">
        <v>31.11</v>
      </c>
      <c r="F249" s="38" t="n">
        <v>2551100</v>
      </c>
      <c r="G249" s="39" t="n">
        <f aca="false">A249-WEEKDAY(A249,3)</f>
        <v>45999</v>
      </c>
      <c r="H249" s="40" t="n">
        <f aca="false">2/(p_EmaF+1)*E249+(1-2/(p_EmaF+1))*H248</f>
        <v>31.2735109662887</v>
      </c>
      <c r="I249" s="40" t="n">
        <f aca="false">2/(p_EmaS+1)*E249+(1-2/(p_EmaS+1))*I248</f>
        <v>30.5833314152885</v>
      </c>
      <c r="J249" s="41" t="n">
        <f aca="false">2/(p_MacdF+1)*E249+(1-2/(p_MacdF+1))*J248</f>
        <v>31.3109971991142</v>
      </c>
      <c r="K249" s="41" t="n">
        <f aca="false">2/(p_MacdS+1)*E249+(1-2/(p_MacdS+1))*K248</f>
        <v>30.5833314152885</v>
      </c>
      <c r="L249" s="41" t="n">
        <f aca="false">J249-K249</f>
        <v>0.727665783825778</v>
      </c>
      <c r="M249" s="41" t="n">
        <f aca="false">2/(p_MacdSig+1)*L249+(1-2/(p_MacdSig+1))*M248</f>
        <v>0.920781243288909</v>
      </c>
      <c r="N249" s="41" t="n">
        <f aca="false">L249-M249</f>
        <v>-0.193115459463131</v>
      </c>
      <c r="O249" s="42" t="n">
        <f aca="false">IF(H249&gt;H248,1,0)</f>
        <v>0</v>
      </c>
      <c r="P249" s="42" t="n">
        <f aca="false">IF(H249&lt;H248,1,0)</f>
        <v>1</v>
      </c>
      <c r="Q249" s="42" t="n">
        <f aca="false">IF(N249&gt;N248,1,0)</f>
        <v>0</v>
      </c>
      <c r="R249" s="42" t="n">
        <f aca="false">IF(N249&lt;N248,1,0)</f>
        <v>1</v>
      </c>
      <c r="S249" s="42" t="n">
        <f aca="false">IF(AND(O249=1,Q249=1),1,IF(AND(P249=1,R249=1),-1,0))</f>
        <v>-1</v>
      </c>
      <c r="T249" s="43" t="str">
        <f aca="false">IF(S249=1,"绿",IF(S249=-1,"红","蓝"))</f>
        <v>红</v>
      </c>
      <c r="U249" s="44" t="n">
        <f aca="false">F249*(E249-E248)</f>
        <v>-76533.0000000029</v>
      </c>
      <c r="V249" s="44" t="n">
        <f aca="false">2/(p_FiS+1)*U249+(1-2/(p_FiS+1))*V248</f>
        <v>-108889.590642182</v>
      </c>
      <c r="W249" s="44" t="n">
        <f aca="false">2/(p_FiL+1)*U249+(1-2/(p_FiL+1))*W248</f>
        <v>-238368.017278415</v>
      </c>
      <c r="X249" s="41" t="n">
        <f aca="false">MAX(C249-D249,ABS(C249-E248),ABS(D249-E248))</f>
        <v>0.599999999999998</v>
      </c>
      <c r="Y249" s="41" t="n">
        <f aca="true">AVERAGE(OFFSET(X249,1-MIN(p_AtrN,ROW()-4),0,MIN(p_AtrN,ROW()-4),1))</f>
        <v>0.806153846153846</v>
      </c>
      <c r="Z249" s="41" t="n">
        <f aca="false">IF(AND(C249-C248&gt;D248-D249,C249-C248&gt;0),C249-C248,0)</f>
        <v>0.18</v>
      </c>
      <c r="AA249" s="41" t="n">
        <f aca="false">IF(AND(D248-D249&gt;C249-C248,D248-D249&gt;0),D248-D249,0)</f>
        <v>0</v>
      </c>
      <c r="AB249" s="41" t="n">
        <f aca="false">2/(p_AdxN+1)*X249+(1-2/(p_AdxN+1))*AB248</f>
        <v>0.71732876450119</v>
      </c>
      <c r="AC249" s="41" t="n">
        <f aca="false">2/(p_AdxN+1)*Z249+(1-2/(p_AdxN+1))*AC248</f>
        <v>0.15960060561598</v>
      </c>
      <c r="AD249" s="41" t="n">
        <f aca="false">2/(p_AdxN+1)*AA249+(1-2/(p_AdxN+1))*AD248</f>
        <v>0.122859671832498</v>
      </c>
      <c r="AE249" s="45" t="n">
        <f aca="false">100*AC249/AB249</f>
        <v>22.2492967679836</v>
      </c>
      <c r="AF249" s="45" t="n">
        <f aca="false">100*AD249/AB249</f>
        <v>17.1273867593936</v>
      </c>
      <c r="AG249" s="45" t="n">
        <f aca="false">IFERROR(100*ABS(AE249-AF249)/(AE249+AF249),0)</f>
        <v>13.0074692680225</v>
      </c>
      <c r="AH249" s="45" t="n">
        <f aca="false">2/(p_AdxN+1)*AG249+(1-2/(p_AdxN+1))*AH248</f>
        <v>37.3573403525302</v>
      </c>
      <c r="AI249" s="40" t="n">
        <f aca="false">I249*(1+p_ChPct)</f>
        <v>32.4183313002058</v>
      </c>
      <c r="AJ249" s="40" t="n">
        <f aca="false">I249*(1-p_ChPct)</f>
        <v>28.7483315303711</v>
      </c>
      <c r="AK249" s="40" t="n">
        <f aca="false">I249+1*Y249</f>
        <v>31.3894852614423</v>
      </c>
      <c r="AL249" s="40" t="n">
        <f aca="false">I249+2*Y249</f>
        <v>32.1956391075961</v>
      </c>
      <c r="AM249" s="40" t="n">
        <f aca="false">I249+3*Y249</f>
        <v>33.00179295375</v>
      </c>
      <c r="AN249" s="40" t="n">
        <f aca="false">I249-1*Y249</f>
        <v>29.7771775691346</v>
      </c>
      <c r="AO249" s="40" t="n">
        <f aca="false">I249-2*Y249</f>
        <v>28.9710237229808</v>
      </c>
      <c r="AP249" s="40" t="n">
        <f aca="false">I249-3*Y249</f>
        <v>28.1648698768269</v>
      </c>
      <c r="AQ249" s="40" t="n">
        <f aca="true">MAX(OFFSET(C249,1-MIN(p_StochN,ROW()-4),0,MIN(p_StochN,ROW()-4),1))</f>
        <v>32.58</v>
      </c>
      <c r="AR249" s="40" t="n">
        <f aca="true">MIN(OFFSET(D249,1-MIN(p_StochN,ROW()-4),0,MIN(p_StochN,ROW()-4),1))</f>
        <v>30.78</v>
      </c>
      <c r="AS249" s="45" t="n">
        <f aca="false">IF(AQ249=AR249,50,100*(E249-AR249)/(AQ249-AR249))</f>
        <v>18.3333333333333</v>
      </c>
      <c r="AT249" s="45" t="n">
        <f aca="true">AVERAGE(OFFSET(AS249,1-MIN(p_StochSm,ROW()-4),0,MIN(p_StochSm,ROW()-4),1))</f>
        <v>15.6606606606607</v>
      </c>
      <c r="AU249" s="45" t="n">
        <f aca="true">AVERAGE(OFFSET(AT249,1-MIN(p_StochSm,ROW()-4),0,MIN(p_StochSm,ROW()-4),1))</f>
        <v>14.2278892278893</v>
      </c>
      <c r="AV249" s="41" t="n">
        <f aca="false">MAX(0,H249-D249)</f>
        <v>0.493510966288724</v>
      </c>
      <c r="AW249" s="41" t="n">
        <f aca="true">IF(COUNTIF(OFFSET(AV249,1-MIN(p_PenLb,ROW()-4),0,MIN(p_PenLb,ROW()-4),1),"&gt;0")&gt;0,SUM(OFFSET(AV249,1-MIN(p_PenLb,ROW()-4),0,MIN(p_PenLb,ROW()-4),1))/COUNTIF(OFFSET(AV249,1-MIN(p_PenLb,ROW()-4),0,MIN(p_PenLb,ROW()-4),1),"&gt;0"),0.5*Y249)</f>
        <v>0.307495488825822</v>
      </c>
      <c r="AX249" s="41" t="n">
        <f aca="false">2*H249-H248</f>
        <v>31.2462591385739</v>
      </c>
      <c r="AY249" s="40" t="n">
        <f aca="false">ROUND(MAX(AX249-AW249,0.01),2)</f>
        <v>30.94</v>
      </c>
      <c r="AZ249" s="40" t="n">
        <f aca="true">IF(MIN(p_StopLb,ROW()-4)&lt;2,D249,SMALL(OFFSET(D249,1-MIN(p_StopLb,ROW()-4),0,MIN(p_StopLb,ROW()-4),1),2))</f>
        <v>30.79</v>
      </c>
      <c r="BA249" s="40" t="n">
        <f aca="false">IF(MOD(ROUND(ROUNDDOWN(MIN(AZ249-0.01,AY249-p_StopAtr*Y249),2)*100,0),50)=0,ROUNDDOWN(MIN(AZ249-0.01,AY249-p_StopAtr*Y249),2)-0.01,ROUNDDOWN(MIN(AZ249-0.01,AY249-p_StopAtr*Y249),2))</f>
        <v>30.13</v>
      </c>
      <c r="BB249" s="40" t="n">
        <f aca="false">ROUND(AI249,2)</f>
        <v>32.42</v>
      </c>
      <c r="BC249" s="40" t="n">
        <f aca="false">IF(AY249-BA249&gt;0,(BB249-AY249)/(AY249-BA249),0)</f>
        <v>1.82716049382716</v>
      </c>
      <c r="BD249" s="42" t="n">
        <f aca="false">IF(N249&lt;0,1,0)</f>
        <v>1</v>
      </c>
      <c r="BE249" s="41" t="n">
        <f aca="false">IF(AND(BD249=1,BD248=0),N249,IF(BD249=1,MIN(BE248,N249),BE248))</f>
        <v>-0.193115459463131</v>
      </c>
      <c r="BF249" s="40" t="n">
        <f aca="false">IF(AND(BD249=1,BD248=0),D249,IF(BD249=1,MIN(BF248,D249),BF248))</f>
        <v>30.78</v>
      </c>
      <c r="BG249" s="42" t="n">
        <f aca="false">IF(AND(BD249=1,BD248=0),ROW(),IF(BD249=1,IF(N249&lt;BE248,ROW(),BG248),BG248))</f>
        <v>249</v>
      </c>
      <c r="BH249" s="41" t="n">
        <f aca="false">IF(AND(BD249=1,BD248=0),BE248,BH248)</f>
        <v>-0.153190541609803</v>
      </c>
      <c r="BI249" s="40" t="n">
        <f aca="false">IF(AND(BD249=1,BD248=0),BF248,BI248)</f>
        <v>27.9</v>
      </c>
      <c r="BJ249" s="42" t="n">
        <f aca="false">IF(AND(BD249=1,BD248=0),BG248,BJ248)</f>
        <v>226</v>
      </c>
      <c r="BK249" s="42" t="n">
        <f aca="false">IF(AND(ISNUMBER(BG249),ISNUMBER(BJ249)),BG249-BJ249,"")</f>
        <v>23</v>
      </c>
      <c r="BL249" s="42" t="n">
        <f aca="false">IF(AND(BD249=1,N249&gt;N248,ISNUMBER(BH249),ISNUMBER(BK249)),IF(AND(BE249&gt;BH249,BF249&lt;BI249,BK249&gt;=p_GapMin,BK249&lt;=p_GapMax),1,0),0)</f>
        <v>0</v>
      </c>
      <c r="BM249" s="42" t="n">
        <f aca="false">IF(AND(BL249=1,E249&gt;BI249),1,0)</f>
        <v>0</v>
      </c>
      <c r="BN249" s="42" t="n">
        <f aca="false">IF(BL249=1,IF(BE249&gt;=BH249*0.5,1,0),0)</f>
        <v>0</v>
      </c>
      <c r="BO249" s="42" t="n">
        <f aca="true">IF(V249&gt;MIN(OFFSET(V249,-MIN(p_FiLb-1,ROW()-5),0,MIN(p_FiLb-1,ROW()-5),1)),1,0)</f>
        <v>1</v>
      </c>
      <c r="BP249" s="44" t="n">
        <f aca="true">IF(COUNTIF(OFFSET(V249,1-MIN(100,ROW()-4),0,MIN(100,ROW()-4),1),"&lt;0")&gt;=5,AVERAGEIF(OFFSET(V249,1-MIN(100,ROW()-4),0,MIN(100,ROW()-4),1),"&lt;0"),"")</f>
        <v>-892939.929763251</v>
      </c>
      <c r="BQ249" s="42" t="n">
        <f aca="false">IF(ISNUMBER(BP249),IF(AND(V249&lt;5*BP249,V249&gt;V248,E249&lt;AJ249),1,0),0)</f>
        <v>0</v>
      </c>
      <c r="BR249" s="44" t="n">
        <f aca="true">AVERAGE(OFFSET(F249,1-MIN(5,ROW()-4),0,MIN(5,ROW()-4),1))</f>
        <v>3620320</v>
      </c>
      <c r="BS249" s="42" t="n">
        <f aca="false">IFERROR(IF(MATCH(G249,周线!$A$5:$A$84,0)&lt;=1,"",INDEX(周线!$R$5:$R$84,MATCH(G249,周线!$A$5:$A$84,0)-1)),"")</f>
        <v>1</v>
      </c>
      <c r="BT249" s="42" t="n">
        <f aca="false">IFERROR(IF(MATCH(G249,周线!$A$5:$A$84,0)&lt;=1,"",INDEX(周线!$S$5:$S$84,MATCH(G249,周线!$A$5:$A$84,0)-1)),"")</f>
        <v>0</v>
      </c>
      <c r="BU249" s="42" t="n">
        <f aca="false">IFERROR(IF(MATCH(G249,周线!$A$5:$A$84,0)&lt;=1,"",INDEX(周线!$U$5:$U$84,MATCH(G249,周线!$A$5:$A$84,0)-1)),"")</f>
        <v>0</v>
      </c>
      <c r="BV249" s="42" t="n">
        <f aca="false">IF(AND(BS249=1,S249&lt;&gt;-1,V249&lt;0,BO249=1,E249&lt;=H249,E249&gt;=AJ249),1,0)</f>
        <v>0</v>
      </c>
      <c r="BW249" s="42" t="n">
        <f aca="false">BL249</f>
        <v>0</v>
      </c>
      <c r="BX249" s="42" t="n">
        <f aca="false">BQ249</f>
        <v>0</v>
      </c>
      <c r="BY249" s="42" t="n">
        <f aca="false">IF(BS249=1,10,0)+IF(BU249=1,5,IF(BU249=-1,0,3))+IF(BT249=1,5,0)+IF(AND(AE249&gt;AF249,AH249&gt;AH248),5,0)</f>
        <v>13</v>
      </c>
      <c r="BZ249" s="42" t="n">
        <f aca="false">IF(AND(E249&lt;=H249,E249&gt;=I249),10,IF(AND(E249&gt;=AJ249,E249&lt;I249),6,0))+IF(AND(V249&lt;0,BO249=1),8,0)+IF(AT249&lt;30,7,IF(AT249&lt;50,3,0))</f>
        <v>25</v>
      </c>
      <c r="CA249" s="42" t="n">
        <f aca="false">IF(AND(BV249=1,BW249=1),25,IF(BW249=1,22,IF(BV249=1,15,IF(BX249=1,12,0))))</f>
        <v>0</v>
      </c>
      <c r="CB249" s="42" t="n">
        <f aca="false">IF(W249&gt;0,6,0)+IF(F249&lt;BR249,4,0)</f>
        <v>4</v>
      </c>
      <c r="CC249" s="42" t="n">
        <f aca="false">IF(BC249&gt;=3,15,IF(BC249&gt;=p_RRmin,10,IF(BC249&gt;=1.5,4,0)))</f>
        <v>4</v>
      </c>
      <c r="CD249" s="42" t="n">
        <f aca="false">BY249+BZ249+CA249+CB249+CC249</f>
        <v>46</v>
      </c>
      <c r="CE249" s="42" t="n">
        <f aca="false">IF(AND(BS249&lt;&gt;1,BW249+BX249=0),1,0)</f>
        <v>0</v>
      </c>
      <c r="CF249" s="42" t="n">
        <f aca="false">IF(BU249=-1,1,0)</f>
        <v>0</v>
      </c>
      <c r="CG249" s="42" t="n">
        <f aca="false">IF(S249=-1,1,0)</f>
        <v>1</v>
      </c>
      <c r="CH249" s="42" t="n">
        <f aca="false">IF(BV249+BW249+BX249=0,1,0)</f>
        <v>1</v>
      </c>
      <c r="CI249" s="42" t="n">
        <f aca="false">IF(BC249&lt;p_RRmin,1,0)</f>
        <v>1</v>
      </c>
      <c r="CJ249" s="46" t="str">
        <f aca="false">IF(SUM(CE249:CI249)=0,IF(CD249&gt;=p_GradeA,"A",IF(CD249&gt;=p_GradeB,"B","C")),IF(AND(CI249=1,SUM(CE249:CH249)=0,CD249&gt;=p_GradeB),"B","C"))</f>
        <v>C</v>
      </c>
    </row>
    <row r="250" customFormat="false" ht="15" hidden="false" customHeight="false" outlineLevel="0" collapsed="false">
      <c r="A250" s="36" t="n">
        <v>46002</v>
      </c>
      <c r="B250" s="37" t="n">
        <v>31.22</v>
      </c>
      <c r="C250" s="37" t="n">
        <v>31.76</v>
      </c>
      <c r="D250" s="37" t="n">
        <v>31.08</v>
      </c>
      <c r="E250" s="37" t="n">
        <v>31.69</v>
      </c>
      <c r="F250" s="38" t="n">
        <v>4627300</v>
      </c>
      <c r="G250" s="39" t="n">
        <f aca="false">A250-WEEKDAY(A250,3)</f>
        <v>45999</v>
      </c>
      <c r="H250" s="40" t="n">
        <f aca="false">2/(p_EmaF+1)*E250+(1-2/(p_EmaF+1))*H249</f>
        <v>31.3330093996761</v>
      </c>
      <c r="I250" s="40" t="n">
        <f aca="false">2/(p_EmaS+1)*E250+(1-2/(p_EmaS+1))*I249</f>
        <v>30.6653068660078</v>
      </c>
      <c r="J250" s="41" t="n">
        <f aca="false">2/(p_MacdF+1)*E250+(1-2/(p_MacdF+1))*J249</f>
        <v>31.3693053223274</v>
      </c>
      <c r="K250" s="41" t="n">
        <f aca="false">2/(p_MacdS+1)*E250+(1-2/(p_MacdS+1))*K249</f>
        <v>30.6653068660078</v>
      </c>
      <c r="L250" s="41" t="n">
        <f aca="false">J250-K250</f>
        <v>0.703998456319599</v>
      </c>
      <c r="M250" s="41" t="n">
        <f aca="false">2/(p_MacdSig+1)*L250+(1-2/(p_MacdSig+1))*M249</f>
        <v>0.877424685895047</v>
      </c>
      <c r="N250" s="41" t="n">
        <f aca="false">L250-M250</f>
        <v>-0.173426229575448</v>
      </c>
      <c r="O250" s="42" t="n">
        <f aca="false">IF(H250&gt;H249,1,0)</f>
        <v>1</v>
      </c>
      <c r="P250" s="42" t="n">
        <f aca="false">IF(H250&lt;H249,1,0)</f>
        <v>0</v>
      </c>
      <c r="Q250" s="42" t="n">
        <f aca="false">IF(N250&gt;N249,1,0)</f>
        <v>1</v>
      </c>
      <c r="R250" s="42" t="n">
        <f aca="false">IF(N250&lt;N249,1,0)</f>
        <v>0</v>
      </c>
      <c r="S250" s="42" t="n">
        <f aca="false">IF(AND(O250=1,Q250=1),1,IF(AND(P250=1,R250=1),-1,0))</f>
        <v>1</v>
      </c>
      <c r="T250" s="43" t="str">
        <f aca="false">IF(S250=1,"绿",IF(S250=-1,"红","蓝"))</f>
        <v>绿</v>
      </c>
      <c r="U250" s="44" t="n">
        <f aca="false">F250*(E250-E249)</f>
        <v>2683834.00000001</v>
      </c>
      <c r="V250" s="44" t="n">
        <f aca="false">2/(p_FiS+1)*U250+(1-2/(p_FiS+1))*V249</f>
        <v>1752926.13645261</v>
      </c>
      <c r="W250" s="44" t="n">
        <f aca="false">2/(p_FiL+1)*U250+(1-2/(p_FiL+1))*W249</f>
        <v>179089.41376136</v>
      </c>
      <c r="X250" s="41" t="n">
        <f aca="false">MAX(C250-D250,ABS(C250-E249),ABS(D250-E249))</f>
        <v>0.680000000000003</v>
      </c>
      <c r="Y250" s="41" t="n">
        <f aca="true">AVERAGE(OFFSET(X250,1-MIN(p_AtrN,ROW()-4),0,MIN(p_AtrN,ROW()-4),1))</f>
        <v>0.766923076923077</v>
      </c>
      <c r="Z250" s="41" t="n">
        <f aca="false">IF(AND(C250-C249&gt;D249-D250,C250-C249&gt;0),C250-C249,0)</f>
        <v>0.380000000000003</v>
      </c>
      <c r="AA250" s="41" t="n">
        <f aca="false">IF(AND(D249-D250&gt;C250-C249,D249-D250&gt;0),D249-D250,0)</f>
        <v>0</v>
      </c>
      <c r="AB250" s="41" t="n">
        <f aca="false">2/(p_AdxN+1)*X250+(1-2/(p_AdxN+1))*AB249</f>
        <v>0.711996083858163</v>
      </c>
      <c r="AC250" s="41" t="n">
        <f aca="false">2/(p_AdxN+1)*Z250+(1-2/(p_AdxN+1))*AC249</f>
        <v>0.191086233385126</v>
      </c>
      <c r="AD250" s="41" t="n">
        <f aca="false">2/(p_AdxN+1)*AA250+(1-2/(p_AdxN+1))*AD249</f>
        <v>0.105308290142141</v>
      </c>
      <c r="AE250" s="45" t="n">
        <f aca="false">100*AC250/AB250</f>
        <v>26.8381017420304</v>
      </c>
      <c r="AF250" s="45" t="n">
        <f aca="false">100*AD250/AB250</f>
        <v>14.7905715395929</v>
      </c>
      <c r="AG250" s="45" t="n">
        <f aca="false">IFERROR(100*ABS(AE250-AF250)/(AE250+AF250),0)</f>
        <v>28.9404615922647</v>
      </c>
      <c r="AH250" s="45" t="n">
        <f aca="false">2/(p_AdxN+1)*AG250+(1-2/(p_AdxN+1))*AH249</f>
        <v>36.1549291010637</v>
      </c>
      <c r="AI250" s="40" t="n">
        <f aca="false">I250*(1+p_ChPct)</f>
        <v>32.5052252779683</v>
      </c>
      <c r="AJ250" s="40" t="n">
        <f aca="false">I250*(1-p_ChPct)</f>
        <v>28.8253884540474</v>
      </c>
      <c r="AK250" s="40" t="n">
        <f aca="false">I250+1*Y250</f>
        <v>31.4322299429309</v>
      </c>
      <c r="AL250" s="40" t="n">
        <f aca="false">I250+2*Y250</f>
        <v>32.199153019854</v>
      </c>
      <c r="AM250" s="40" t="n">
        <f aca="false">I250+3*Y250</f>
        <v>32.9660760967771</v>
      </c>
      <c r="AN250" s="40" t="n">
        <f aca="false">I250-1*Y250</f>
        <v>29.8983837890847</v>
      </c>
      <c r="AO250" s="40" t="n">
        <f aca="false">I250-2*Y250</f>
        <v>29.1314607121617</v>
      </c>
      <c r="AP250" s="40" t="n">
        <f aca="false">I250-3*Y250</f>
        <v>28.3645376352386</v>
      </c>
      <c r="AQ250" s="40" t="n">
        <f aca="true">MAX(OFFSET(C250,1-MIN(p_StochN,ROW()-4),0,MIN(p_StochN,ROW()-4),1))</f>
        <v>32.15</v>
      </c>
      <c r="AR250" s="40" t="n">
        <f aca="true">MIN(OFFSET(D250,1-MIN(p_StochN,ROW()-4),0,MIN(p_StochN,ROW()-4),1))</f>
        <v>30.78</v>
      </c>
      <c r="AS250" s="45" t="n">
        <f aca="false">IF(AQ250=AR250,50,100*(E250-AR250)/(AQ250-AR250))</f>
        <v>66.4233576642337</v>
      </c>
      <c r="AT250" s="45" t="n">
        <f aca="true">AVERAGE(OFFSET(AS250,1-MIN(p_StochSm,ROW()-4),0,MIN(p_StochSm,ROW()-4),1))</f>
        <v>34.5585366388287</v>
      </c>
      <c r="AU250" s="45" t="n">
        <f aca="true">AVERAGE(OFFSET(AT250,1-MIN(p_StochSm,ROW()-4),0,MIN(p_StochSm,ROW()-4),1))</f>
        <v>21.2456669390976</v>
      </c>
      <c r="AV250" s="41" t="n">
        <f aca="false">MAX(0,H250-D250)</f>
        <v>0.253009399676053</v>
      </c>
      <c r="AW250" s="41" t="n">
        <f aca="true">IF(COUNTIF(OFFSET(AV250,1-MIN(p_PenLb,ROW()-4),0,MIN(p_PenLb,ROW()-4),1),"&gt;0")&gt;0,SUM(OFFSET(AV250,1-MIN(p_PenLb,ROW()-4),0,MIN(p_PenLb,ROW()-4),1))/COUNTIF(OFFSET(AV250,1-MIN(p_PenLb,ROW()-4),0,MIN(p_PenLb,ROW()-4),1),"&gt;0"),0.5*Y250)</f>
        <v>0.303603625315124</v>
      </c>
      <c r="AX250" s="41" t="n">
        <f aca="false">2*H250-H249</f>
        <v>31.3925078330634</v>
      </c>
      <c r="AY250" s="40" t="n">
        <f aca="false">ROUND(MAX(AX250-AW250,0.01),2)</f>
        <v>31.09</v>
      </c>
      <c r="AZ250" s="40" t="n">
        <f aca="true">IF(MIN(p_StopLb,ROW()-4)&lt;2,D250,SMALL(OFFSET(D250,1-MIN(p_StopLb,ROW()-4),0,MIN(p_StopLb,ROW()-4),1),2))</f>
        <v>30.79</v>
      </c>
      <c r="BA250" s="40" t="n">
        <f aca="false">IF(MOD(ROUND(ROUNDDOWN(MIN(AZ250-0.01,AY250-p_StopAtr*Y250),2)*100,0),50)=0,ROUNDDOWN(MIN(AZ250-0.01,AY250-p_StopAtr*Y250),2)-0.01,ROUNDDOWN(MIN(AZ250-0.01,AY250-p_StopAtr*Y250),2))</f>
        <v>30.32</v>
      </c>
      <c r="BB250" s="40" t="n">
        <f aca="false">ROUND(AI250,2)</f>
        <v>32.51</v>
      </c>
      <c r="BC250" s="40" t="n">
        <f aca="false">IF(AY250-BA250&gt;0,(BB250-AY250)/(AY250-BA250),0)</f>
        <v>1.84415584415584</v>
      </c>
      <c r="BD250" s="42" t="n">
        <f aca="false">IF(N250&lt;0,1,0)</f>
        <v>1</v>
      </c>
      <c r="BE250" s="41" t="n">
        <f aca="false">IF(AND(BD250=1,BD249=0),N250,IF(BD250=1,MIN(BE249,N250),BE249))</f>
        <v>-0.193115459463131</v>
      </c>
      <c r="BF250" s="40" t="n">
        <f aca="false">IF(AND(BD250=1,BD249=0),D250,IF(BD250=1,MIN(BF249,D250),BF249))</f>
        <v>30.78</v>
      </c>
      <c r="BG250" s="42" t="n">
        <f aca="false">IF(AND(BD250=1,BD249=0),ROW(),IF(BD250=1,IF(N250&lt;BE249,ROW(),BG249),BG249))</f>
        <v>249</v>
      </c>
      <c r="BH250" s="41" t="n">
        <f aca="false">IF(AND(BD250=1,BD249=0),BE249,BH249)</f>
        <v>-0.153190541609803</v>
      </c>
      <c r="BI250" s="40" t="n">
        <f aca="false">IF(AND(BD250=1,BD249=0),BF249,BI249)</f>
        <v>27.9</v>
      </c>
      <c r="BJ250" s="42" t="n">
        <f aca="false">IF(AND(BD250=1,BD249=0),BG249,BJ249)</f>
        <v>226</v>
      </c>
      <c r="BK250" s="42" t="n">
        <f aca="false">IF(AND(ISNUMBER(BG250),ISNUMBER(BJ250)),BG250-BJ250,"")</f>
        <v>23</v>
      </c>
      <c r="BL250" s="42" t="n">
        <f aca="false">IF(AND(BD250=1,N250&gt;N249,ISNUMBER(BH250),ISNUMBER(BK250)),IF(AND(BE250&gt;BH250,BF250&lt;BI250,BK250&gt;=p_GapMin,BK250&lt;=p_GapMax),1,0),0)</f>
        <v>0</v>
      </c>
      <c r="BM250" s="42" t="n">
        <f aca="false">IF(AND(BL250=1,E250&gt;BI250),1,0)</f>
        <v>0</v>
      </c>
      <c r="BN250" s="42" t="n">
        <f aca="false">IF(BL250=1,IF(BE250&gt;=BH250*0.5,1,0),0)</f>
        <v>0</v>
      </c>
      <c r="BO250" s="42" t="n">
        <f aca="true">IF(V250&gt;MIN(OFFSET(V250,-MIN(p_FiLb-1,ROW()-5),0,MIN(p_FiLb-1,ROW()-5),1)),1,0)</f>
        <v>1</v>
      </c>
      <c r="BP250" s="44" t="n">
        <f aca="true">IF(COUNTIF(OFFSET(V250,1-MIN(100,ROW()-4),0,MIN(100,ROW()-4),1),"&lt;0")&gt;=5,AVERAGEIF(OFFSET(V250,1-MIN(100,ROW()-4),0,MIN(100,ROW()-4),1),"&lt;0"),"")</f>
        <v>-892939.929763251</v>
      </c>
      <c r="BQ250" s="42" t="n">
        <f aca="false">IF(ISNUMBER(BP250),IF(AND(V250&lt;5*BP250,V250&gt;V249,E250&lt;AJ250),1,0),0)</f>
        <v>0</v>
      </c>
      <c r="BR250" s="44" t="n">
        <f aca="true">AVERAGE(OFFSET(F250,1-MIN(5,ROW()-4),0,MIN(5,ROW()-4),1))</f>
        <v>3876220</v>
      </c>
      <c r="BS250" s="42" t="n">
        <f aca="false">IFERROR(IF(MATCH(G250,周线!$A$5:$A$84,0)&lt;=1,"",INDEX(周线!$R$5:$R$84,MATCH(G250,周线!$A$5:$A$84,0)-1)),"")</f>
        <v>1</v>
      </c>
      <c r="BT250" s="42" t="n">
        <f aca="false">IFERROR(IF(MATCH(G250,周线!$A$5:$A$84,0)&lt;=1,"",INDEX(周线!$S$5:$S$84,MATCH(G250,周线!$A$5:$A$84,0)-1)),"")</f>
        <v>0</v>
      </c>
      <c r="BU250" s="42" t="n">
        <f aca="false">IFERROR(IF(MATCH(G250,周线!$A$5:$A$84,0)&lt;=1,"",INDEX(周线!$U$5:$U$84,MATCH(G250,周线!$A$5:$A$84,0)-1)),"")</f>
        <v>0</v>
      </c>
      <c r="BV250" s="42" t="n">
        <f aca="false">IF(AND(BS250=1,S250&lt;&gt;-1,V250&lt;0,BO250=1,E250&lt;=H250,E250&gt;=AJ250),1,0)</f>
        <v>0</v>
      </c>
      <c r="BW250" s="42" t="n">
        <f aca="false">BL250</f>
        <v>0</v>
      </c>
      <c r="BX250" s="42" t="n">
        <f aca="false">BQ250</f>
        <v>0</v>
      </c>
      <c r="BY250" s="42" t="n">
        <f aca="false">IF(BS250=1,10,0)+IF(BU250=1,5,IF(BU250=-1,0,3))+IF(BT250=1,5,0)+IF(AND(AE250&gt;AF250,AH250&gt;AH249),5,0)</f>
        <v>13</v>
      </c>
      <c r="BZ250" s="42" t="n">
        <f aca="false">IF(AND(E250&lt;=H250,E250&gt;=I250),10,IF(AND(E250&gt;=AJ250,E250&lt;I250),6,0))+IF(AND(V250&lt;0,BO250=1),8,0)+IF(AT250&lt;30,7,IF(AT250&lt;50,3,0))</f>
        <v>3</v>
      </c>
      <c r="CA250" s="42" t="n">
        <f aca="false">IF(AND(BV250=1,BW250=1),25,IF(BW250=1,22,IF(BV250=1,15,IF(BX250=1,12,0))))</f>
        <v>0</v>
      </c>
      <c r="CB250" s="42" t="n">
        <f aca="false">IF(W250&gt;0,6,0)+IF(F250&lt;BR250,4,0)</f>
        <v>6</v>
      </c>
      <c r="CC250" s="42" t="n">
        <f aca="false">IF(BC250&gt;=3,15,IF(BC250&gt;=p_RRmin,10,IF(BC250&gt;=1.5,4,0)))</f>
        <v>4</v>
      </c>
      <c r="CD250" s="42" t="n">
        <f aca="false">BY250+BZ250+CA250+CB250+CC250</f>
        <v>26</v>
      </c>
      <c r="CE250" s="42" t="n">
        <f aca="false">IF(AND(BS250&lt;&gt;1,BW250+BX250=0),1,0)</f>
        <v>0</v>
      </c>
      <c r="CF250" s="42" t="n">
        <f aca="false">IF(BU250=-1,1,0)</f>
        <v>0</v>
      </c>
      <c r="CG250" s="42" t="n">
        <f aca="false">IF(S250=-1,1,0)</f>
        <v>0</v>
      </c>
      <c r="CH250" s="42" t="n">
        <f aca="false">IF(BV250+BW250+BX250=0,1,0)</f>
        <v>1</v>
      </c>
      <c r="CI250" s="42" t="n">
        <f aca="false">IF(BC250&lt;p_RRmin,1,0)</f>
        <v>1</v>
      </c>
      <c r="CJ250" s="46" t="str">
        <f aca="false">IF(SUM(CE250:CI250)=0,IF(CD250&gt;=p_GradeA,"A",IF(CD250&gt;=p_GradeB,"B","C")),IF(AND(CI250=1,SUM(CE250:CH250)=0,CD250&gt;=p_GradeB),"B","C"))</f>
        <v>C</v>
      </c>
    </row>
    <row r="251" customFormat="false" ht="15" hidden="false" customHeight="false" outlineLevel="0" collapsed="false">
      <c r="A251" s="36" t="n">
        <v>46003</v>
      </c>
      <c r="B251" s="37" t="n">
        <v>31.72</v>
      </c>
      <c r="C251" s="37" t="n">
        <v>31.85</v>
      </c>
      <c r="D251" s="37" t="n">
        <v>31.31</v>
      </c>
      <c r="E251" s="37" t="n">
        <v>31.47</v>
      </c>
      <c r="F251" s="38" t="n">
        <v>4232600</v>
      </c>
      <c r="G251" s="39" t="n">
        <f aca="false">A251-WEEKDAY(A251,3)</f>
        <v>45999</v>
      </c>
      <c r="H251" s="40" t="n">
        <f aca="false">2/(p_EmaF+1)*E251+(1-2/(p_EmaF+1))*H250</f>
        <v>31.3525794854366</v>
      </c>
      <c r="I251" s="40" t="n">
        <f aca="false">2/(p_EmaS+1)*E251+(1-2/(p_EmaS+1))*I250</f>
        <v>30.7249137648221</v>
      </c>
      <c r="J251" s="41" t="n">
        <f aca="false">2/(p_MacdF+1)*E251+(1-2/(p_MacdF+1))*J250</f>
        <v>31.3847968112001</v>
      </c>
      <c r="K251" s="41" t="n">
        <f aca="false">2/(p_MacdS+1)*E251+(1-2/(p_MacdS+1))*K250</f>
        <v>30.7249137648221</v>
      </c>
      <c r="L251" s="41" t="n">
        <f aca="false">J251-K251</f>
        <v>0.65988304637807</v>
      </c>
      <c r="M251" s="41" t="n">
        <f aca="false">2/(p_MacdSig+1)*L251+(1-2/(p_MacdSig+1))*M250</f>
        <v>0.833916357991652</v>
      </c>
      <c r="N251" s="41" t="n">
        <f aca="false">L251-M251</f>
        <v>-0.174033311613582</v>
      </c>
      <c r="O251" s="42" t="n">
        <f aca="false">IF(H251&gt;H250,1,0)</f>
        <v>1</v>
      </c>
      <c r="P251" s="42" t="n">
        <f aca="false">IF(H251&lt;H250,1,0)</f>
        <v>0</v>
      </c>
      <c r="Q251" s="42" t="n">
        <f aca="false">IF(N251&gt;N250,1,0)</f>
        <v>0</v>
      </c>
      <c r="R251" s="42" t="n">
        <f aca="false">IF(N251&lt;N250,1,0)</f>
        <v>1</v>
      </c>
      <c r="S251" s="42" t="n">
        <f aca="false">IF(AND(O251=1,Q251=1),1,IF(AND(P251=1,R251=1),-1,0))</f>
        <v>0</v>
      </c>
      <c r="T251" s="43" t="str">
        <f aca="false">IF(S251=1,"绿",IF(S251=-1,"红","蓝"))</f>
        <v>蓝</v>
      </c>
      <c r="U251" s="44" t="n">
        <f aca="false">F251*(E251-E250)</f>
        <v>-931172.00000001</v>
      </c>
      <c r="V251" s="44" t="n">
        <f aca="false">2/(p_FiS+1)*U251+(1-2/(p_FiS+1))*V250</f>
        <v>-36472.6211824695</v>
      </c>
      <c r="W251" s="44" t="n">
        <f aca="false">2/(p_FiL+1)*U251+(1-2/(p_FiL+1))*W250</f>
        <v>20480.6403668782</v>
      </c>
      <c r="X251" s="41" t="n">
        <f aca="false">MAX(C251-D251,ABS(C251-E250),ABS(D251-E250))</f>
        <v>0.540000000000003</v>
      </c>
      <c r="Y251" s="41" t="n">
        <f aca="true">AVERAGE(OFFSET(X251,1-MIN(p_AtrN,ROW()-4),0,MIN(p_AtrN,ROW()-4),1))</f>
        <v>0.73</v>
      </c>
      <c r="Z251" s="41" t="n">
        <f aca="false">IF(AND(C251-C250&gt;D250-D251,C251-C250&gt;0),C251-C250,0)</f>
        <v>0.0899999999999999</v>
      </c>
      <c r="AA251" s="41" t="n">
        <f aca="false">IF(AND(D250-D251&gt;C251-C250,D250-D251&gt;0),D250-D251,0)</f>
        <v>0</v>
      </c>
      <c r="AB251" s="41" t="n">
        <f aca="false">2/(p_AdxN+1)*X251+(1-2/(p_AdxN+1))*AB250</f>
        <v>0.687425214735569</v>
      </c>
      <c r="AC251" s="41" t="n">
        <f aca="false">2/(p_AdxN+1)*Z251+(1-2/(p_AdxN+1))*AC250</f>
        <v>0.176645342901537</v>
      </c>
      <c r="AD251" s="41" t="n">
        <f aca="false">2/(p_AdxN+1)*AA251+(1-2/(p_AdxN+1))*AD250</f>
        <v>0.090264248693264</v>
      </c>
      <c r="AE251" s="45" t="n">
        <f aca="false">100*AC251/AB251</f>
        <v>25.696663304602</v>
      </c>
      <c r="AF251" s="45" t="n">
        <f aca="false">100*AD251/AB251</f>
        <v>13.1307736112045</v>
      </c>
      <c r="AG251" s="45" t="n">
        <f aca="false">IFERROR(100*ABS(AE251-AF251)/(AE251+AF251),0)</f>
        <v>32.3634282650318</v>
      </c>
      <c r="AH251" s="45" t="n">
        <f aca="false">2/(p_AdxN+1)*AG251+(1-2/(p_AdxN+1))*AH250</f>
        <v>35.6132861244878</v>
      </c>
      <c r="AI251" s="40" t="n">
        <f aca="false">I251*(1+p_ChPct)</f>
        <v>32.5684085907114</v>
      </c>
      <c r="AJ251" s="40" t="n">
        <f aca="false">I251*(1-p_ChPct)</f>
        <v>28.8814189389327</v>
      </c>
      <c r="AK251" s="40" t="n">
        <f aca="false">I251+1*Y251</f>
        <v>31.4549137648221</v>
      </c>
      <c r="AL251" s="40" t="n">
        <f aca="false">I251+2*Y251</f>
        <v>32.1849137648221</v>
      </c>
      <c r="AM251" s="40" t="n">
        <f aca="false">I251+3*Y251</f>
        <v>32.9149137648221</v>
      </c>
      <c r="AN251" s="40" t="n">
        <f aca="false">I251-1*Y251</f>
        <v>29.9949137648221</v>
      </c>
      <c r="AO251" s="40" t="n">
        <f aca="false">I251-2*Y251</f>
        <v>29.2649137648221</v>
      </c>
      <c r="AP251" s="40" t="n">
        <f aca="false">I251-3*Y251</f>
        <v>28.5349137648221</v>
      </c>
      <c r="AQ251" s="40" t="n">
        <f aca="true">MAX(OFFSET(C251,1-MIN(p_StochN,ROW()-4),0,MIN(p_StochN,ROW()-4),1))</f>
        <v>31.85</v>
      </c>
      <c r="AR251" s="40" t="n">
        <f aca="true">MIN(OFFSET(D251,1-MIN(p_StochN,ROW()-4),0,MIN(p_StochN,ROW()-4),1))</f>
        <v>30.78</v>
      </c>
      <c r="AS251" s="45" t="n">
        <f aca="false">IF(AQ251=AR251,50,100*(E251-AR251)/(AQ251-AR251))</f>
        <v>64.485981308411</v>
      </c>
      <c r="AT251" s="45" t="n">
        <f aca="true">AVERAGE(OFFSET(AS251,1-MIN(p_StochSm,ROW()-4),0,MIN(p_StochSm,ROW()-4),1))</f>
        <v>49.747557435326</v>
      </c>
      <c r="AU251" s="45" t="n">
        <f aca="true">AVERAGE(OFFSET(AT251,1-MIN(p_StochSm,ROW()-4),0,MIN(p_StochSm,ROW()-4),1))</f>
        <v>33.3222515782718</v>
      </c>
      <c r="AV251" s="41" t="n">
        <f aca="false">MAX(0,H251-D251)</f>
        <v>0.0425794854366188</v>
      </c>
      <c r="AW251" s="41" t="n">
        <f aca="true">IF(COUNTIF(OFFSET(AV251,1-MIN(p_PenLb,ROW()-4),0,MIN(p_PenLb,ROW()-4),1),"&gt;0")&gt;0,SUM(OFFSET(AV251,1-MIN(p_PenLb,ROW()-4),0,MIN(p_PenLb,ROW()-4),1))/COUNTIF(OFFSET(AV251,1-MIN(p_PenLb,ROW()-4),0,MIN(p_PenLb,ROW()-4),1),"&gt;0"),0.5*Y251)</f>
        <v>0.28620201598989</v>
      </c>
      <c r="AX251" s="41" t="n">
        <f aca="false">2*H251-H250</f>
        <v>31.3721495711972</v>
      </c>
      <c r="AY251" s="40" t="n">
        <f aca="false">ROUND(MAX(AX251-AW251,0.01),2)</f>
        <v>31.09</v>
      </c>
      <c r="AZ251" s="40" t="n">
        <f aca="true">IF(MIN(p_StopLb,ROW()-4)&lt;2,D251,SMALL(OFFSET(D251,1-MIN(p_StopLb,ROW()-4),0,MIN(p_StopLb,ROW()-4),1),2))</f>
        <v>30.79</v>
      </c>
      <c r="BA251" s="40" t="n">
        <f aca="false">IF(MOD(ROUND(ROUNDDOWN(MIN(AZ251-0.01,AY251-p_StopAtr*Y251),2)*100,0),50)=0,ROUNDDOWN(MIN(AZ251-0.01,AY251-p_StopAtr*Y251),2)-0.01,ROUNDDOWN(MIN(AZ251-0.01,AY251-p_StopAtr*Y251),2))</f>
        <v>30.36</v>
      </c>
      <c r="BB251" s="40" t="n">
        <f aca="false">ROUND(AI251,2)</f>
        <v>32.57</v>
      </c>
      <c r="BC251" s="40" t="n">
        <f aca="false">IF(AY251-BA251&gt;0,(BB251-AY251)/(AY251-BA251),0)</f>
        <v>2.02739726027397</v>
      </c>
      <c r="BD251" s="42" t="n">
        <f aca="false">IF(N251&lt;0,1,0)</f>
        <v>1</v>
      </c>
      <c r="BE251" s="41" t="n">
        <f aca="false">IF(AND(BD251=1,BD250=0),N251,IF(BD251=1,MIN(BE250,N251),BE250))</f>
        <v>-0.193115459463131</v>
      </c>
      <c r="BF251" s="40" t="n">
        <f aca="false">IF(AND(BD251=1,BD250=0),D251,IF(BD251=1,MIN(BF250,D251),BF250))</f>
        <v>30.78</v>
      </c>
      <c r="BG251" s="42" t="n">
        <f aca="false">IF(AND(BD251=1,BD250=0),ROW(),IF(BD251=1,IF(N251&lt;BE250,ROW(),BG250),BG250))</f>
        <v>249</v>
      </c>
      <c r="BH251" s="41" t="n">
        <f aca="false">IF(AND(BD251=1,BD250=0),BE250,BH250)</f>
        <v>-0.153190541609803</v>
      </c>
      <c r="BI251" s="40" t="n">
        <f aca="false">IF(AND(BD251=1,BD250=0),BF250,BI250)</f>
        <v>27.9</v>
      </c>
      <c r="BJ251" s="42" t="n">
        <f aca="false">IF(AND(BD251=1,BD250=0),BG250,BJ250)</f>
        <v>226</v>
      </c>
      <c r="BK251" s="42" t="n">
        <f aca="false">IF(AND(ISNUMBER(BG251),ISNUMBER(BJ251)),BG251-BJ251,"")</f>
        <v>23</v>
      </c>
      <c r="BL251" s="42" t="n">
        <f aca="false">IF(AND(BD251=1,N251&gt;N250,ISNUMBER(BH251),ISNUMBER(BK251)),IF(AND(BE251&gt;BH251,BF251&lt;BI251,BK251&gt;=p_GapMin,BK251&lt;=p_GapMax),1,0),0)</f>
        <v>0</v>
      </c>
      <c r="BM251" s="42" t="n">
        <f aca="false">IF(AND(BL251=1,E251&gt;BI251),1,0)</f>
        <v>0</v>
      </c>
      <c r="BN251" s="42" t="n">
        <f aca="false">IF(BL251=1,IF(BE251&gt;=BH251*0.5,1,0),0)</f>
        <v>0</v>
      </c>
      <c r="BO251" s="42" t="n">
        <f aca="true">IF(V251&gt;MIN(OFFSET(V251,-MIN(p_FiLb-1,ROW()-5),0,MIN(p_FiLb-1,ROW()-5),1)),1,0)</f>
        <v>1</v>
      </c>
      <c r="BP251" s="44" t="n">
        <f aca="true">IF(COUNTIF(OFFSET(V251,1-MIN(100,ROW()-4),0,MIN(100,ROW()-4),1),"&lt;0")&gt;=5,AVERAGEIF(OFFSET(V251,1-MIN(100,ROW()-4),0,MIN(100,ROW()-4),1),"&lt;0"),"")</f>
        <v>-871528.247048732</v>
      </c>
      <c r="BQ251" s="42" t="n">
        <f aca="false">IF(ISNUMBER(BP251),IF(AND(V251&lt;5*BP251,V251&gt;V250,E251&lt;AJ251),1,0),0)</f>
        <v>0</v>
      </c>
      <c r="BR251" s="44" t="n">
        <f aca="true">AVERAGE(OFFSET(F251,1-MIN(5,ROW()-4),0,MIN(5,ROW()-4),1))</f>
        <v>3602120</v>
      </c>
      <c r="BS251" s="42" t="n">
        <f aca="false">IFERROR(IF(MATCH(G251,周线!$A$5:$A$84,0)&lt;=1,"",INDEX(周线!$R$5:$R$84,MATCH(G251,周线!$A$5:$A$84,0)-1)),"")</f>
        <v>1</v>
      </c>
      <c r="BT251" s="42" t="n">
        <f aca="false">IFERROR(IF(MATCH(G251,周线!$A$5:$A$84,0)&lt;=1,"",INDEX(周线!$S$5:$S$84,MATCH(G251,周线!$A$5:$A$84,0)-1)),"")</f>
        <v>0</v>
      </c>
      <c r="BU251" s="42" t="n">
        <f aca="false">IFERROR(IF(MATCH(G251,周线!$A$5:$A$84,0)&lt;=1,"",INDEX(周线!$U$5:$U$84,MATCH(G251,周线!$A$5:$A$84,0)-1)),"")</f>
        <v>0</v>
      </c>
      <c r="BV251" s="42" t="n">
        <f aca="false">IF(AND(BS251=1,S251&lt;&gt;-1,V251&lt;0,BO251=1,E251&lt;=H251,E251&gt;=AJ251),1,0)</f>
        <v>0</v>
      </c>
      <c r="BW251" s="42" t="n">
        <f aca="false">BL251</f>
        <v>0</v>
      </c>
      <c r="BX251" s="42" t="n">
        <f aca="false">BQ251</f>
        <v>0</v>
      </c>
      <c r="BY251" s="42" t="n">
        <f aca="false">IF(BS251=1,10,0)+IF(BU251=1,5,IF(BU251=-1,0,3))+IF(BT251=1,5,0)+IF(AND(AE251&gt;AF251,AH251&gt;AH250),5,0)</f>
        <v>13</v>
      </c>
      <c r="BZ251" s="42" t="n">
        <f aca="false">IF(AND(E251&lt;=H251,E251&gt;=I251),10,IF(AND(E251&gt;=AJ251,E251&lt;I251),6,0))+IF(AND(V251&lt;0,BO251=1),8,0)+IF(AT251&lt;30,7,IF(AT251&lt;50,3,0))</f>
        <v>11</v>
      </c>
      <c r="CA251" s="42" t="n">
        <f aca="false">IF(AND(BV251=1,BW251=1),25,IF(BW251=1,22,IF(BV251=1,15,IF(BX251=1,12,0))))</f>
        <v>0</v>
      </c>
      <c r="CB251" s="42" t="n">
        <f aca="false">IF(W251&gt;0,6,0)+IF(F251&lt;BR251,4,0)</f>
        <v>6</v>
      </c>
      <c r="CC251" s="42" t="n">
        <f aca="false">IF(BC251&gt;=3,15,IF(BC251&gt;=p_RRmin,10,IF(BC251&gt;=1.5,4,0)))</f>
        <v>10</v>
      </c>
      <c r="CD251" s="42" t="n">
        <f aca="false">BY251+BZ251+CA251+CB251+CC251</f>
        <v>40</v>
      </c>
      <c r="CE251" s="42" t="n">
        <f aca="false">IF(AND(BS251&lt;&gt;1,BW251+BX251=0),1,0)</f>
        <v>0</v>
      </c>
      <c r="CF251" s="42" t="n">
        <f aca="false">IF(BU251=-1,1,0)</f>
        <v>0</v>
      </c>
      <c r="CG251" s="42" t="n">
        <f aca="false">IF(S251=-1,1,0)</f>
        <v>0</v>
      </c>
      <c r="CH251" s="42" t="n">
        <f aca="false">IF(BV251+BW251+BX251=0,1,0)</f>
        <v>1</v>
      </c>
      <c r="CI251" s="42" t="n">
        <f aca="false">IF(BC251&lt;p_RRmin,1,0)</f>
        <v>0</v>
      </c>
      <c r="CJ251" s="46" t="str">
        <f aca="false">IF(SUM(CE251:CI251)=0,IF(CD251&gt;=p_GradeA,"A",IF(CD251&gt;=p_GradeB,"B","C")),IF(AND(CI251=1,SUM(CE251:CH251)=0,CD251&gt;=p_GradeB),"B","C"))</f>
        <v>C</v>
      </c>
    </row>
    <row r="252" customFormat="false" ht="15" hidden="false" customHeight="false" outlineLevel="0" collapsed="false">
      <c r="A252" s="36" t="n">
        <v>46006</v>
      </c>
      <c r="B252" s="37" t="n">
        <v>31.75</v>
      </c>
      <c r="C252" s="37" t="n">
        <v>31.96</v>
      </c>
      <c r="D252" s="37" t="n">
        <v>30.93</v>
      </c>
      <c r="E252" s="37" t="n">
        <v>31.02</v>
      </c>
      <c r="F252" s="38" t="n">
        <v>3349000</v>
      </c>
      <c r="G252" s="39" t="n">
        <f aca="false">A252-WEEKDAY(A252,3)</f>
        <v>46006</v>
      </c>
      <c r="H252" s="40" t="n">
        <f aca="false">2/(p_EmaF+1)*E252+(1-2/(p_EmaF+1))*H251</f>
        <v>31.3050681303742</v>
      </c>
      <c r="I252" s="40" t="n">
        <f aca="false">2/(p_EmaS+1)*E252+(1-2/(p_EmaS+1))*I251</f>
        <v>30.7467720044649</v>
      </c>
      <c r="J252" s="41" t="n">
        <f aca="false">2/(p_MacdF+1)*E252+(1-2/(p_MacdF+1))*J251</f>
        <v>31.3286742248616</v>
      </c>
      <c r="K252" s="41" t="n">
        <f aca="false">2/(p_MacdS+1)*E252+(1-2/(p_MacdS+1))*K251</f>
        <v>30.7467720044649</v>
      </c>
      <c r="L252" s="41" t="n">
        <f aca="false">J252-K252</f>
        <v>0.581902220396778</v>
      </c>
      <c r="M252" s="41" t="n">
        <f aca="false">2/(p_MacdSig+1)*L252+(1-2/(p_MacdSig+1))*M251</f>
        <v>0.783513530472677</v>
      </c>
      <c r="N252" s="41" t="n">
        <f aca="false">L252-M252</f>
        <v>-0.201611310075899</v>
      </c>
      <c r="O252" s="42" t="n">
        <f aca="false">IF(H252&gt;H251,1,0)</f>
        <v>0</v>
      </c>
      <c r="P252" s="42" t="n">
        <f aca="false">IF(H252&lt;H251,1,0)</f>
        <v>1</v>
      </c>
      <c r="Q252" s="42" t="n">
        <f aca="false">IF(N252&gt;N251,1,0)</f>
        <v>0</v>
      </c>
      <c r="R252" s="42" t="n">
        <f aca="false">IF(N252&lt;N251,1,0)</f>
        <v>1</v>
      </c>
      <c r="S252" s="42" t="n">
        <f aca="false">IF(AND(O252=1,Q252=1),1,IF(AND(P252=1,R252=1),-1,0))</f>
        <v>-1</v>
      </c>
      <c r="T252" s="43" t="str">
        <f aca="false">IF(S252=1,"绿",IF(S252=-1,"红","蓝"))</f>
        <v>红</v>
      </c>
      <c r="U252" s="44" t="n">
        <f aca="false">F252*(E252-E251)</f>
        <v>-1507050</v>
      </c>
      <c r="V252" s="44" t="n">
        <f aca="false">2/(p_FiS+1)*U252+(1-2/(p_FiS+1))*V251</f>
        <v>-1016857.54039415</v>
      </c>
      <c r="W252" s="44" t="n">
        <f aca="false">2/(p_FiL+1)*U252+(1-2/(p_FiL+1))*W251</f>
        <v>-197738.022542676</v>
      </c>
      <c r="X252" s="41" t="n">
        <f aca="false">MAX(C252-D252,ABS(C252-E251),ABS(D252-E251))</f>
        <v>1.03</v>
      </c>
      <c r="Y252" s="41" t="n">
        <f aca="true">AVERAGE(OFFSET(X252,1-MIN(p_AtrN,ROW()-4),0,MIN(p_AtrN,ROW()-4),1))</f>
        <v>0.767692307692308</v>
      </c>
      <c r="Z252" s="41" t="n">
        <f aca="false">IF(AND(C252-C251&gt;D251-D252,C252-C251&gt;0),C252-C251,0)</f>
        <v>0</v>
      </c>
      <c r="AA252" s="41" t="n">
        <f aca="false">IF(AND(D251-D252&gt;C252-C251,D251-D252&gt;0),D251-D252,0)</f>
        <v>0.379999999999999</v>
      </c>
      <c r="AB252" s="41" t="n">
        <f aca="false">2/(p_AdxN+1)*X252+(1-2/(p_AdxN+1))*AB251</f>
        <v>0.736364469773345</v>
      </c>
      <c r="AC252" s="41" t="n">
        <f aca="false">2/(p_AdxN+1)*Z252+(1-2/(p_AdxN+1))*AC251</f>
        <v>0.151410293915603</v>
      </c>
      <c r="AD252" s="41" t="n">
        <f aca="false">2/(p_AdxN+1)*AA252+(1-2/(p_AdxN+1))*AD251</f>
        <v>0.131655070308512</v>
      </c>
      <c r="AE252" s="45" t="n">
        <f aca="false">100*AC252/AB252</f>
        <v>20.5618684945795</v>
      </c>
      <c r="AF252" s="45" t="n">
        <f aca="false">100*AD252/AB252</f>
        <v>17.8790633867812</v>
      </c>
      <c r="AG252" s="45" t="n">
        <f aca="false">IFERROR(100*ABS(AE252-AF252)/(AE252+AF252),0)</f>
        <v>6.97903244405769</v>
      </c>
      <c r="AH252" s="45" t="n">
        <f aca="false">2/(p_AdxN+1)*AG252+(1-2/(p_AdxN+1))*AH251</f>
        <v>31.5226784558549</v>
      </c>
      <c r="AI252" s="40" t="n">
        <f aca="false">I252*(1+p_ChPct)</f>
        <v>32.5915783247328</v>
      </c>
      <c r="AJ252" s="40" t="n">
        <f aca="false">I252*(1-p_ChPct)</f>
        <v>28.901965684197</v>
      </c>
      <c r="AK252" s="40" t="n">
        <f aca="false">I252+1*Y252</f>
        <v>31.5144643121572</v>
      </c>
      <c r="AL252" s="40" t="n">
        <f aca="false">I252+2*Y252</f>
        <v>32.2821566198495</v>
      </c>
      <c r="AM252" s="40" t="n">
        <f aca="false">I252+3*Y252</f>
        <v>33.0498489275418</v>
      </c>
      <c r="AN252" s="40" t="n">
        <f aca="false">I252-1*Y252</f>
        <v>29.9790796967726</v>
      </c>
      <c r="AO252" s="40" t="n">
        <f aca="false">I252-2*Y252</f>
        <v>29.2113873890803</v>
      </c>
      <c r="AP252" s="40" t="n">
        <f aca="false">I252-3*Y252</f>
        <v>28.4436950813879</v>
      </c>
      <c r="AQ252" s="40" t="n">
        <f aca="true">MAX(OFFSET(C252,1-MIN(p_StochN,ROW()-4),0,MIN(p_StochN,ROW()-4),1))</f>
        <v>31.96</v>
      </c>
      <c r="AR252" s="40" t="n">
        <f aca="true">MIN(OFFSET(D252,1-MIN(p_StochN,ROW()-4),0,MIN(p_StochN,ROW()-4),1))</f>
        <v>30.78</v>
      </c>
      <c r="AS252" s="45" t="n">
        <f aca="false">IF(AQ252=AR252,50,100*(E252-AR252)/(AQ252-AR252))</f>
        <v>20.3389830508473</v>
      </c>
      <c r="AT252" s="45" t="n">
        <f aca="true">AVERAGE(OFFSET(AS252,1-MIN(p_StochSm,ROW()-4),0,MIN(p_StochSm,ROW()-4),1))</f>
        <v>50.416107341164</v>
      </c>
      <c r="AU252" s="45" t="n">
        <f aca="true">AVERAGE(OFFSET(AT252,1-MIN(p_StochSm,ROW()-4),0,MIN(p_StochSm,ROW()-4),1))</f>
        <v>44.9074004717729</v>
      </c>
      <c r="AV252" s="41" t="n">
        <f aca="false">MAX(0,H252-D252)</f>
        <v>0.375068130374245</v>
      </c>
      <c r="AW252" s="41" t="n">
        <f aca="true">IF(COUNTIF(OFFSET(AV252,1-MIN(p_PenLb,ROW()-4),0,MIN(p_PenLb,ROW()-4),1),"&gt;0")&gt;0,SUM(OFFSET(AV252,1-MIN(p_PenLb,ROW()-4),0,MIN(p_PenLb,ROW()-4),1))/COUNTIF(OFFSET(AV252,1-MIN(p_PenLb,ROW()-4),0,MIN(p_PenLb,ROW()-4),1),"&gt;0"),0.5*Y252)</f>
        <v>0.291756148138913</v>
      </c>
      <c r="AX252" s="41" t="n">
        <f aca="false">2*H252-H251</f>
        <v>31.2575567753119</v>
      </c>
      <c r="AY252" s="40" t="n">
        <f aca="false">ROUND(MAX(AX252-AW252,0.01),2)</f>
        <v>30.97</v>
      </c>
      <c r="AZ252" s="40" t="n">
        <f aca="true">IF(MIN(p_StopLb,ROW()-4)&lt;2,D252,SMALL(OFFSET(D252,1-MIN(p_StopLb,ROW()-4),0,MIN(p_StopLb,ROW()-4),1),2))</f>
        <v>30.79</v>
      </c>
      <c r="BA252" s="40" t="n">
        <f aca="false">IF(MOD(ROUND(ROUNDDOWN(MIN(AZ252-0.01,AY252-p_StopAtr*Y252),2)*100,0),50)=0,ROUNDDOWN(MIN(AZ252-0.01,AY252-p_StopAtr*Y252),2)-0.01,ROUNDDOWN(MIN(AZ252-0.01,AY252-p_StopAtr*Y252),2))</f>
        <v>30.2</v>
      </c>
      <c r="BB252" s="40" t="n">
        <f aca="false">ROUND(AI252,2)</f>
        <v>32.59</v>
      </c>
      <c r="BC252" s="40" t="n">
        <f aca="false">IF(AY252-BA252&gt;0,(BB252-AY252)/(AY252-BA252),0)</f>
        <v>2.10389610389611</v>
      </c>
      <c r="BD252" s="42" t="n">
        <f aca="false">IF(N252&lt;0,1,0)</f>
        <v>1</v>
      </c>
      <c r="BE252" s="41" t="n">
        <f aca="false">IF(AND(BD252=1,BD251=0),N252,IF(BD252=1,MIN(BE251,N252),BE251))</f>
        <v>-0.201611310075899</v>
      </c>
      <c r="BF252" s="40" t="n">
        <f aca="false">IF(AND(BD252=1,BD251=0),D252,IF(BD252=1,MIN(BF251,D252),BF251))</f>
        <v>30.78</v>
      </c>
      <c r="BG252" s="42" t="n">
        <f aca="false">IF(AND(BD252=1,BD251=0),ROW(),IF(BD252=1,IF(N252&lt;BE251,ROW(),BG251),BG251))</f>
        <v>252</v>
      </c>
      <c r="BH252" s="41" t="n">
        <f aca="false">IF(AND(BD252=1,BD251=0),BE251,BH251)</f>
        <v>-0.153190541609803</v>
      </c>
      <c r="BI252" s="40" t="n">
        <f aca="false">IF(AND(BD252=1,BD251=0),BF251,BI251)</f>
        <v>27.9</v>
      </c>
      <c r="BJ252" s="42" t="n">
        <f aca="false">IF(AND(BD252=1,BD251=0),BG251,BJ251)</f>
        <v>226</v>
      </c>
      <c r="BK252" s="42" t="n">
        <f aca="false">IF(AND(ISNUMBER(BG252),ISNUMBER(BJ252)),BG252-BJ252,"")</f>
        <v>26</v>
      </c>
      <c r="BL252" s="42" t="n">
        <f aca="false">IF(AND(BD252=1,N252&gt;N251,ISNUMBER(BH252),ISNUMBER(BK252)),IF(AND(BE252&gt;BH252,BF252&lt;BI252,BK252&gt;=p_GapMin,BK252&lt;=p_GapMax),1,0),0)</f>
        <v>0</v>
      </c>
      <c r="BM252" s="42" t="n">
        <f aca="false">IF(AND(BL252=1,E252&gt;BI252),1,0)</f>
        <v>0</v>
      </c>
      <c r="BN252" s="42" t="n">
        <f aca="false">IF(BL252=1,IF(BE252&gt;=BH252*0.5,1,0),0)</f>
        <v>0</v>
      </c>
      <c r="BO252" s="42" t="n">
        <f aca="true">IF(V252&gt;MIN(OFFSET(V252,-MIN(p_FiLb-1,ROW()-5),0,MIN(p_FiLb-1,ROW()-5),1)),1,0)</f>
        <v>1</v>
      </c>
      <c r="BP252" s="44" t="n">
        <f aca="true">IF(COUNTIF(OFFSET(V252,1-MIN(100,ROW()-4),0,MIN(100,ROW()-4),1),"&lt;0")&gt;=5,AVERAGEIF(OFFSET(V252,1-MIN(100,ROW()-4),0,MIN(100,ROW()-4),1),"&lt;0"),"")</f>
        <v>-875072.863959596</v>
      </c>
      <c r="BQ252" s="42" t="n">
        <f aca="false">IF(ISNUMBER(BP252),IF(AND(V252&lt;5*BP252,V252&gt;V251,E252&lt;AJ252),1,0),0)</f>
        <v>0</v>
      </c>
      <c r="BR252" s="44" t="n">
        <f aca="true">AVERAGE(OFFSET(F252,1-MIN(5,ROW()-4),0,MIN(5,ROW()-4),1))</f>
        <v>3472240</v>
      </c>
      <c r="BS252" s="42" t="n">
        <f aca="false">IFERROR(IF(MATCH(G252,周线!$A$5:$A$84,0)&lt;=1,"",INDEX(周线!$R$5:$R$84,MATCH(G252,周线!$A$5:$A$84,0)-1)),"")</f>
        <v>1</v>
      </c>
      <c r="BT252" s="42" t="n">
        <f aca="false">IFERROR(IF(MATCH(G252,周线!$A$5:$A$84,0)&lt;=1,"",INDEX(周线!$S$5:$S$84,MATCH(G252,周线!$A$5:$A$84,0)-1)),"")</f>
        <v>0</v>
      </c>
      <c r="BU252" s="42" t="n">
        <f aca="false">IFERROR(IF(MATCH(G252,周线!$A$5:$A$84,0)&lt;=1,"",INDEX(周线!$U$5:$U$84,MATCH(G252,周线!$A$5:$A$84,0)-1)),"")</f>
        <v>0</v>
      </c>
      <c r="BV252" s="42" t="n">
        <f aca="false">IF(AND(BS252=1,S252&lt;&gt;-1,V252&lt;0,BO252=1,E252&lt;=H252,E252&gt;=AJ252),1,0)</f>
        <v>0</v>
      </c>
      <c r="BW252" s="42" t="n">
        <f aca="false">BL252</f>
        <v>0</v>
      </c>
      <c r="BX252" s="42" t="n">
        <f aca="false">BQ252</f>
        <v>0</v>
      </c>
      <c r="BY252" s="42" t="n">
        <f aca="false">IF(BS252=1,10,0)+IF(BU252=1,5,IF(BU252=-1,0,3))+IF(BT252=1,5,0)+IF(AND(AE252&gt;AF252,AH252&gt;AH251),5,0)</f>
        <v>13</v>
      </c>
      <c r="BZ252" s="42" t="n">
        <f aca="false">IF(AND(E252&lt;=H252,E252&gt;=I252),10,IF(AND(E252&gt;=AJ252,E252&lt;I252),6,0))+IF(AND(V252&lt;0,BO252=1),8,0)+IF(AT252&lt;30,7,IF(AT252&lt;50,3,0))</f>
        <v>18</v>
      </c>
      <c r="CA252" s="42" t="n">
        <f aca="false">IF(AND(BV252=1,BW252=1),25,IF(BW252=1,22,IF(BV252=1,15,IF(BX252=1,12,0))))</f>
        <v>0</v>
      </c>
      <c r="CB252" s="42" t="n">
        <f aca="false">IF(W252&gt;0,6,0)+IF(F252&lt;BR252,4,0)</f>
        <v>4</v>
      </c>
      <c r="CC252" s="42" t="n">
        <f aca="false">IF(BC252&gt;=3,15,IF(BC252&gt;=p_RRmin,10,IF(BC252&gt;=1.5,4,0)))</f>
        <v>10</v>
      </c>
      <c r="CD252" s="42" t="n">
        <f aca="false">BY252+BZ252+CA252+CB252+CC252</f>
        <v>45</v>
      </c>
      <c r="CE252" s="42" t="n">
        <f aca="false">IF(AND(BS252&lt;&gt;1,BW252+BX252=0),1,0)</f>
        <v>0</v>
      </c>
      <c r="CF252" s="42" t="n">
        <f aca="false">IF(BU252=-1,1,0)</f>
        <v>0</v>
      </c>
      <c r="CG252" s="42" t="n">
        <f aca="false">IF(S252=-1,1,0)</f>
        <v>1</v>
      </c>
      <c r="CH252" s="42" t="n">
        <f aca="false">IF(BV252+BW252+BX252=0,1,0)</f>
        <v>1</v>
      </c>
      <c r="CI252" s="42" t="n">
        <f aca="false">IF(BC252&lt;p_RRmin,1,0)</f>
        <v>0</v>
      </c>
      <c r="CJ252" s="46" t="str">
        <f aca="false">IF(SUM(CE252:CI252)=0,IF(CD252&gt;=p_GradeA,"A",IF(CD252&gt;=p_GradeB,"B","C")),IF(AND(CI252=1,SUM(CE252:CH252)=0,CD252&gt;=p_GradeB),"B","C"))</f>
        <v>C</v>
      </c>
    </row>
    <row r="253" customFormat="false" ht="15" hidden="false" customHeight="false" outlineLevel="0" collapsed="false">
      <c r="A253" s="36" t="n">
        <v>46007</v>
      </c>
      <c r="B253" s="37" t="n">
        <v>31.17</v>
      </c>
      <c r="C253" s="37" t="n">
        <v>31.25</v>
      </c>
      <c r="D253" s="37" t="n">
        <v>30.64</v>
      </c>
      <c r="E253" s="37" t="n">
        <v>30.75</v>
      </c>
      <c r="F253" s="38" t="n">
        <v>4549900</v>
      </c>
      <c r="G253" s="39" t="n">
        <f aca="false">A253-WEEKDAY(A253,3)</f>
        <v>46006</v>
      </c>
      <c r="H253" s="40" t="n">
        <f aca="false">2/(p_EmaF+1)*E253+(1-2/(p_EmaF+1))*H252</f>
        <v>31.2257726831779</v>
      </c>
      <c r="I253" s="40" t="n">
        <f aca="false">2/(p_EmaS+1)*E253+(1-2/(p_EmaS+1))*I252</f>
        <v>30.7470111152452</v>
      </c>
      <c r="J253" s="41" t="n">
        <f aca="false">2/(p_MacdF+1)*E253+(1-2/(p_MacdF+1))*J252</f>
        <v>31.2396474210368</v>
      </c>
      <c r="K253" s="41" t="n">
        <f aca="false">2/(p_MacdS+1)*E253+(1-2/(p_MacdS+1))*K252</f>
        <v>30.7470111152452</v>
      </c>
      <c r="L253" s="41" t="n">
        <f aca="false">J253-K253</f>
        <v>0.492636305791528</v>
      </c>
      <c r="M253" s="41" t="n">
        <f aca="false">2/(p_MacdSig+1)*L253+(1-2/(p_MacdSig+1))*M252</f>
        <v>0.725338085536447</v>
      </c>
      <c r="N253" s="41" t="n">
        <f aca="false">L253-M253</f>
        <v>-0.232701779744919</v>
      </c>
      <c r="O253" s="42" t="n">
        <f aca="false">IF(H253&gt;H252,1,0)</f>
        <v>0</v>
      </c>
      <c r="P253" s="42" t="n">
        <f aca="false">IF(H253&lt;H252,1,0)</f>
        <v>1</v>
      </c>
      <c r="Q253" s="42" t="n">
        <f aca="false">IF(N253&gt;N252,1,0)</f>
        <v>0</v>
      </c>
      <c r="R253" s="42" t="n">
        <f aca="false">IF(N253&lt;N252,1,0)</f>
        <v>1</v>
      </c>
      <c r="S253" s="42" t="n">
        <f aca="false">IF(AND(O253=1,Q253=1),1,IF(AND(P253=1,R253=1),-1,0))</f>
        <v>-1</v>
      </c>
      <c r="T253" s="43" t="str">
        <f aca="false">IF(S253=1,"绿",IF(S253=-1,"红","蓝"))</f>
        <v>红</v>
      </c>
      <c r="U253" s="44" t="n">
        <f aca="false">F253*(E253-E252)</f>
        <v>-1228473</v>
      </c>
      <c r="V253" s="44" t="n">
        <f aca="false">2/(p_FiS+1)*U253+(1-2/(p_FiS+1))*V252</f>
        <v>-1157934.51346472</v>
      </c>
      <c r="W253" s="44" t="n">
        <f aca="false">2/(p_FiL+1)*U253+(1-2/(p_FiL+1))*W252</f>
        <v>-344985.87646515</v>
      </c>
      <c r="X253" s="41" t="n">
        <f aca="false">MAX(C253-D253,ABS(C253-E252),ABS(D253-E252))</f>
        <v>0.609999999999999</v>
      </c>
      <c r="Y253" s="41" t="n">
        <f aca="true">AVERAGE(OFFSET(X253,1-MIN(p_AtrN,ROW()-4),0,MIN(p_AtrN,ROW()-4),1))</f>
        <v>0.730769230769231</v>
      </c>
      <c r="Z253" s="41" t="n">
        <f aca="false">IF(AND(C253-C252&gt;D252-D253,C253-C252&gt;0),C253-C252,0)</f>
        <v>0</v>
      </c>
      <c r="AA253" s="41" t="n">
        <f aca="false">IF(AND(D252-D253&gt;C253-C252,D252-D253&gt;0),D252-D253,0)</f>
        <v>0.289999999999999</v>
      </c>
      <c r="AB253" s="41" t="n">
        <f aca="false">2/(p_AdxN+1)*X253+(1-2/(p_AdxN+1))*AB252</f>
        <v>0.718312402662867</v>
      </c>
      <c r="AC253" s="41" t="n">
        <f aca="false">2/(p_AdxN+1)*Z253+(1-2/(p_AdxN+1))*AC252</f>
        <v>0.12978025192766</v>
      </c>
      <c r="AD253" s="41" t="n">
        <f aca="false">2/(p_AdxN+1)*AA253+(1-2/(p_AdxN+1))*AD252</f>
        <v>0.154275774550153</v>
      </c>
      <c r="AE253" s="45" t="n">
        <f aca="false">100*AC253/AB253</f>
        <v>18.0673828610712</v>
      </c>
      <c r="AF253" s="45" t="n">
        <f aca="false">100*AD253/AB253</f>
        <v>21.4775317784066</v>
      </c>
      <c r="AG253" s="45" t="n">
        <f aca="false">IFERROR(100*ABS(AE253-AF253)/(AE253+AF253),0)</f>
        <v>8.62348281296071</v>
      </c>
      <c r="AH253" s="45" t="n">
        <f aca="false">2/(p_AdxN+1)*AG253+(1-2/(p_AdxN+1))*AH252</f>
        <v>28.2513647925843</v>
      </c>
      <c r="AI253" s="40" t="n">
        <f aca="false">I253*(1+p_ChPct)</f>
        <v>32.59183178216</v>
      </c>
      <c r="AJ253" s="40" t="n">
        <f aca="false">I253*(1-p_ChPct)</f>
        <v>28.9021904483305</v>
      </c>
      <c r="AK253" s="40" t="n">
        <f aca="false">I253+1*Y253</f>
        <v>31.4777803460145</v>
      </c>
      <c r="AL253" s="40" t="n">
        <f aca="false">I253+2*Y253</f>
        <v>32.2085495767837</v>
      </c>
      <c r="AM253" s="40" t="n">
        <f aca="false">I253+3*Y253</f>
        <v>32.9393188075529</v>
      </c>
      <c r="AN253" s="40" t="n">
        <f aca="false">I253-1*Y253</f>
        <v>30.016241884476</v>
      </c>
      <c r="AO253" s="40" t="n">
        <f aca="false">I253-2*Y253</f>
        <v>29.2854726537068</v>
      </c>
      <c r="AP253" s="40" t="n">
        <f aca="false">I253-3*Y253</f>
        <v>28.5547034229376</v>
      </c>
      <c r="AQ253" s="40" t="n">
        <f aca="true">MAX(OFFSET(C253,1-MIN(p_StochN,ROW()-4),0,MIN(p_StochN,ROW()-4),1))</f>
        <v>31.96</v>
      </c>
      <c r="AR253" s="40" t="n">
        <f aca="true">MIN(OFFSET(D253,1-MIN(p_StochN,ROW()-4),0,MIN(p_StochN,ROW()-4),1))</f>
        <v>30.64</v>
      </c>
      <c r="AS253" s="45" t="n">
        <f aca="false">IF(AQ253=AR253,50,100*(E253-AR253)/(AQ253-AR253))</f>
        <v>8.33333333333329</v>
      </c>
      <c r="AT253" s="45" t="n">
        <f aca="true">AVERAGE(OFFSET(AS253,1-MIN(p_StochSm,ROW()-4),0,MIN(p_StochSm,ROW()-4),1))</f>
        <v>31.0527658975305</v>
      </c>
      <c r="AU253" s="45" t="n">
        <f aca="true">AVERAGE(OFFSET(AT253,1-MIN(p_StochSm,ROW()-4),0,MIN(p_StochSm,ROW()-4),1))</f>
        <v>43.7388102246735</v>
      </c>
      <c r="AV253" s="41" t="n">
        <f aca="false">MAX(0,H253-D253)</f>
        <v>0.585772683177925</v>
      </c>
      <c r="AW253" s="41" t="n">
        <f aca="true">IF(COUNTIF(OFFSET(AV253,1-MIN(p_PenLb,ROW()-4),0,MIN(p_PenLb,ROW()-4),1),"&gt;0")&gt;0,SUM(OFFSET(AV253,1-MIN(p_PenLb,ROW()-4),0,MIN(p_PenLb,ROW()-4),1))/COUNTIF(OFFSET(AV253,1-MIN(p_PenLb,ROW()-4),0,MIN(p_PenLb,ROW()-4),1),"&gt;0"),0.5*Y253)</f>
        <v>0.309051238435325</v>
      </c>
      <c r="AX253" s="41" t="n">
        <f aca="false">2*H253-H252</f>
        <v>31.1464772359816</v>
      </c>
      <c r="AY253" s="40" t="n">
        <f aca="false">ROUND(MAX(AX253-AW253,0.01),2)</f>
        <v>30.84</v>
      </c>
      <c r="AZ253" s="40" t="n">
        <f aca="true">IF(MIN(p_StopLb,ROW()-4)&lt;2,D253,SMALL(OFFSET(D253,1-MIN(p_StopLb,ROW()-4),0,MIN(p_StopLb,ROW()-4),1),2))</f>
        <v>30.78</v>
      </c>
      <c r="BA253" s="40" t="n">
        <f aca="false">IF(MOD(ROUND(ROUNDDOWN(MIN(AZ253-0.01,AY253-p_StopAtr*Y253),2)*100,0),50)=0,ROUNDDOWN(MIN(AZ253-0.01,AY253-p_StopAtr*Y253),2)-0.01,ROUNDDOWN(MIN(AZ253-0.01,AY253-p_StopAtr*Y253),2))</f>
        <v>30.1</v>
      </c>
      <c r="BB253" s="40" t="n">
        <f aca="false">ROUND(AI253,2)</f>
        <v>32.59</v>
      </c>
      <c r="BC253" s="40" t="n">
        <f aca="false">IF(AY253-BA253&gt;0,(BB253-AY253)/(AY253-BA253),0)</f>
        <v>2.36486486486487</v>
      </c>
      <c r="BD253" s="42" t="n">
        <f aca="false">IF(N253&lt;0,1,0)</f>
        <v>1</v>
      </c>
      <c r="BE253" s="41" t="n">
        <f aca="false">IF(AND(BD253=1,BD252=0),N253,IF(BD253=1,MIN(BE252,N253),BE252))</f>
        <v>-0.232701779744919</v>
      </c>
      <c r="BF253" s="40" t="n">
        <f aca="false">IF(AND(BD253=1,BD252=0),D253,IF(BD253=1,MIN(BF252,D253),BF252))</f>
        <v>30.64</v>
      </c>
      <c r="BG253" s="42" t="n">
        <f aca="false">IF(AND(BD253=1,BD252=0),ROW(),IF(BD253=1,IF(N253&lt;BE252,ROW(),BG252),BG252))</f>
        <v>253</v>
      </c>
      <c r="BH253" s="41" t="n">
        <f aca="false">IF(AND(BD253=1,BD252=0),BE252,BH252)</f>
        <v>-0.153190541609803</v>
      </c>
      <c r="BI253" s="40" t="n">
        <f aca="false">IF(AND(BD253=1,BD252=0),BF252,BI252)</f>
        <v>27.9</v>
      </c>
      <c r="BJ253" s="42" t="n">
        <f aca="false">IF(AND(BD253=1,BD252=0),BG252,BJ252)</f>
        <v>226</v>
      </c>
      <c r="BK253" s="42" t="n">
        <f aca="false">IF(AND(ISNUMBER(BG253),ISNUMBER(BJ253)),BG253-BJ253,"")</f>
        <v>27</v>
      </c>
      <c r="BL253" s="42" t="n">
        <f aca="false">IF(AND(BD253=1,N253&gt;N252,ISNUMBER(BH253),ISNUMBER(BK253)),IF(AND(BE253&gt;BH253,BF253&lt;BI253,BK253&gt;=p_GapMin,BK253&lt;=p_GapMax),1,0),0)</f>
        <v>0</v>
      </c>
      <c r="BM253" s="42" t="n">
        <f aca="false">IF(AND(BL253=1,E253&gt;BI253),1,0)</f>
        <v>0</v>
      </c>
      <c r="BN253" s="42" t="n">
        <f aca="false">IF(BL253=1,IF(BE253&gt;=BH253*0.5,1,0),0)</f>
        <v>0</v>
      </c>
      <c r="BO253" s="42" t="n">
        <f aca="true">IF(V253&gt;MIN(OFFSET(V253,-MIN(p_FiLb-1,ROW()-5),0,MIN(p_FiLb-1,ROW()-5),1)),1,0)</f>
        <v>1</v>
      </c>
      <c r="BP253" s="44" t="n">
        <f aca="true">IF(COUNTIF(OFFSET(V253,1-MIN(100,ROW()-4),0,MIN(100,ROW()-4),1),"&lt;0")&gt;=5,AVERAGEIF(OFFSET(V253,1-MIN(100,ROW()-4),0,MIN(100,ROW()-4),1),"&lt;0"),"")</f>
        <v>-881807.665138289</v>
      </c>
      <c r="BQ253" s="42" t="n">
        <f aca="false">IF(ISNUMBER(BP253),IF(AND(V253&lt;5*BP253,V253&gt;V252,E253&lt;AJ253),1,0),0)</f>
        <v>0</v>
      </c>
      <c r="BR253" s="44" t="n">
        <f aca="true">AVERAGE(OFFSET(F253,1-MIN(5,ROW()-4),0,MIN(5,ROW()-4),1))</f>
        <v>3861980</v>
      </c>
      <c r="BS253" s="42" t="n">
        <f aca="false">IFERROR(IF(MATCH(G253,周线!$A$5:$A$84,0)&lt;=1,"",INDEX(周线!$R$5:$R$84,MATCH(G253,周线!$A$5:$A$84,0)-1)),"")</f>
        <v>1</v>
      </c>
      <c r="BT253" s="42" t="n">
        <f aca="false">IFERROR(IF(MATCH(G253,周线!$A$5:$A$84,0)&lt;=1,"",INDEX(周线!$S$5:$S$84,MATCH(G253,周线!$A$5:$A$84,0)-1)),"")</f>
        <v>0</v>
      </c>
      <c r="BU253" s="42" t="n">
        <f aca="false">IFERROR(IF(MATCH(G253,周线!$A$5:$A$84,0)&lt;=1,"",INDEX(周线!$U$5:$U$84,MATCH(G253,周线!$A$5:$A$84,0)-1)),"")</f>
        <v>0</v>
      </c>
      <c r="BV253" s="42" t="n">
        <f aca="false">IF(AND(BS253=1,S253&lt;&gt;-1,V253&lt;0,BO253=1,E253&lt;=H253,E253&gt;=AJ253),1,0)</f>
        <v>0</v>
      </c>
      <c r="BW253" s="42" t="n">
        <f aca="false">BL253</f>
        <v>0</v>
      </c>
      <c r="BX253" s="42" t="n">
        <f aca="false">BQ253</f>
        <v>0</v>
      </c>
      <c r="BY253" s="42" t="n">
        <f aca="false">IF(BS253=1,10,0)+IF(BU253=1,5,IF(BU253=-1,0,3))+IF(BT253=1,5,0)+IF(AND(AE253&gt;AF253,AH253&gt;AH252),5,0)</f>
        <v>13</v>
      </c>
      <c r="BZ253" s="42" t="n">
        <f aca="false">IF(AND(E253&lt;=H253,E253&gt;=I253),10,IF(AND(E253&gt;=AJ253,E253&lt;I253),6,0))+IF(AND(V253&lt;0,BO253=1),8,0)+IF(AT253&lt;30,7,IF(AT253&lt;50,3,0))</f>
        <v>21</v>
      </c>
      <c r="CA253" s="42" t="n">
        <f aca="false">IF(AND(BV253=1,BW253=1),25,IF(BW253=1,22,IF(BV253=1,15,IF(BX253=1,12,0))))</f>
        <v>0</v>
      </c>
      <c r="CB253" s="42" t="n">
        <f aca="false">IF(W253&gt;0,6,0)+IF(F253&lt;BR253,4,0)</f>
        <v>0</v>
      </c>
      <c r="CC253" s="42" t="n">
        <f aca="false">IF(BC253&gt;=3,15,IF(BC253&gt;=p_RRmin,10,IF(BC253&gt;=1.5,4,0)))</f>
        <v>10</v>
      </c>
      <c r="CD253" s="42" t="n">
        <f aca="false">BY253+BZ253+CA253+CB253+CC253</f>
        <v>44</v>
      </c>
      <c r="CE253" s="42" t="n">
        <f aca="false">IF(AND(BS253&lt;&gt;1,BW253+BX253=0),1,0)</f>
        <v>0</v>
      </c>
      <c r="CF253" s="42" t="n">
        <f aca="false">IF(BU253=-1,1,0)</f>
        <v>0</v>
      </c>
      <c r="CG253" s="42" t="n">
        <f aca="false">IF(S253=-1,1,0)</f>
        <v>1</v>
      </c>
      <c r="CH253" s="42" t="n">
        <f aca="false">IF(BV253+BW253+BX253=0,1,0)</f>
        <v>1</v>
      </c>
      <c r="CI253" s="42" t="n">
        <f aca="false">IF(BC253&lt;p_RRmin,1,0)</f>
        <v>0</v>
      </c>
      <c r="CJ253" s="46" t="str">
        <f aca="false">IF(SUM(CE253:CI253)=0,IF(CD253&gt;=p_GradeA,"A",IF(CD253&gt;=p_GradeB,"B","C")),IF(AND(CI253=1,SUM(CE253:CH253)=0,CD253&gt;=p_GradeB),"B","C"))</f>
        <v>C</v>
      </c>
    </row>
    <row r="254" customFormat="false" ht="15" hidden="false" customHeight="false" outlineLevel="0" collapsed="false">
      <c r="A254" s="36" t="n">
        <v>46008</v>
      </c>
      <c r="B254" s="37" t="n">
        <v>30.77</v>
      </c>
      <c r="C254" s="37" t="n">
        <v>30.98</v>
      </c>
      <c r="D254" s="37" t="n">
        <v>30.42</v>
      </c>
      <c r="E254" s="37" t="n">
        <v>30.63</v>
      </c>
      <c r="F254" s="38" t="n">
        <v>3980900</v>
      </c>
      <c r="G254" s="39" t="n">
        <f aca="false">A254-WEEKDAY(A254,3)</f>
        <v>46006</v>
      </c>
      <c r="H254" s="40" t="n">
        <f aca="false">2/(p_EmaF+1)*E254+(1-2/(p_EmaF+1))*H253</f>
        <v>31.1406622998668</v>
      </c>
      <c r="I254" s="40" t="n">
        <f aca="false">2/(p_EmaS+1)*E254+(1-2/(p_EmaS+1))*I253</f>
        <v>30.7383436252271</v>
      </c>
      <c r="J254" s="41" t="n">
        <f aca="false">2/(p_MacdF+1)*E254+(1-2/(p_MacdF+1))*J253</f>
        <v>31.145855510108</v>
      </c>
      <c r="K254" s="41" t="n">
        <f aca="false">2/(p_MacdS+1)*E254+(1-2/(p_MacdS+1))*K253</f>
        <v>30.7383436252271</v>
      </c>
      <c r="L254" s="41" t="n">
        <f aca="false">J254-K254</f>
        <v>0.407511884880961</v>
      </c>
      <c r="M254" s="41" t="n">
        <f aca="false">2/(p_MacdSig+1)*L254+(1-2/(p_MacdSig+1))*M253</f>
        <v>0.66177284540535</v>
      </c>
      <c r="N254" s="41" t="n">
        <f aca="false">L254-M254</f>
        <v>-0.254260960524389</v>
      </c>
      <c r="O254" s="42" t="n">
        <f aca="false">IF(H254&gt;H253,1,0)</f>
        <v>0</v>
      </c>
      <c r="P254" s="42" t="n">
        <f aca="false">IF(H254&lt;H253,1,0)</f>
        <v>1</v>
      </c>
      <c r="Q254" s="42" t="n">
        <f aca="false">IF(N254&gt;N253,1,0)</f>
        <v>0</v>
      </c>
      <c r="R254" s="42" t="n">
        <f aca="false">IF(N254&lt;N253,1,0)</f>
        <v>1</v>
      </c>
      <c r="S254" s="42" t="n">
        <f aca="false">IF(AND(O254=1,Q254=1),1,IF(AND(P254=1,R254=1),-1,0))</f>
        <v>-1</v>
      </c>
      <c r="T254" s="43" t="str">
        <f aca="false">IF(S254=1,"绿",IF(S254=-1,"红","蓝"))</f>
        <v>红</v>
      </c>
      <c r="U254" s="44" t="n">
        <f aca="false">F254*(E254-E253)</f>
        <v>-477708.000000004</v>
      </c>
      <c r="V254" s="44" t="n">
        <f aca="false">2/(p_FiS+1)*U254+(1-2/(p_FiS+1))*V253</f>
        <v>-704450.171154908</v>
      </c>
      <c r="W254" s="44" t="n">
        <f aca="false">2/(p_FiL+1)*U254+(1-2/(p_FiL+1))*W253</f>
        <v>-363946.179827272</v>
      </c>
      <c r="X254" s="41" t="n">
        <f aca="false">MAX(C254-D254,ABS(C254-E253),ABS(D254-E253))</f>
        <v>0.559999999999999</v>
      </c>
      <c r="Y254" s="41" t="n">
        <f aca="true">AVERAGE(OFFSET(X254,1-MIN(p_AtrN,ROW()-4),0,MIN(p_AtrN,ROW()-4),1))</f>
        <v>0.71</v>
      </c>
      <c r="Z254" s="41" t="n">
        <f aca="false">IF(AND(C254-C253&gt;D253-D254,C254-C253&gt;0),C254-C253,0)</f>
        <v>0</v>
      </c>
      <c r="AA254" s="41" t="n">
        <f aca="false">IF(AND(D253-D254&gt;C254-C253,D253-D254&gt;0),D253-D254,0)</f>
        <v>0.219999999999999</v>
      </c>
      <c r="AB254" s="41" t="n">
        <f aca="false">2/(p_AdxN+1)*X254+(1-2/(p_AdxN+1))*AB253</f>
        <v>0.6956963451396</v>
      </c>
      <c r="AC254" s="41" t="n">
        <f aca="false">2/(p_AdxN+1)*Z254+(1-2/(p_AdxN+1))*AC253</f>
        <v>0.111240215937994</v>
      </c>
      <c r="AD254" s="41" t="n">
        <f aca="false">2/(p_AdxN+1)*AA254+(1-2/(p_AdxN+1))*AD253</f>
        <v>0.163664949614417</v>
      </c>
      <c r="AE254" s="45" t="n">
        <f aca="false">100*AC254/AB254</f>
        <v>15.989765752711</v>
      </c>
      <c r="AF254" s="45" t="n">
        <f aca="false">100*AD254/AB254</f>
        <v>23.5253427386592</v>
      </c>
      <c r="AG254" s="45" t="n">
        <f aca="false">IFERROR(100*ABS(AE254-AF254)/(AE254+AF254),0)</f>
        <v>19.070115896541</v>
      </c>
      <c r="AH254" s="45" t="n">
        <f aca="false">2/(p_AdxN+1)*AG254+(1-2/(p_AdxN+1))*AH253</f>
        <v>26.9397578074353</v>
      </c>
      <c r="AI254" s="40" t="n">
        <f aca="false">I254*(1+p_ChPct)</f>
        <v>32.5826442427407</v>
      </c>
      <c r="AJ254" s="40" t="n">
        <f aca="false">I254*(1-p_ChPct)</f>
        <v>28.8940430077135</v>
      </c>
      <c r="AK254" s="40" t="n">
        <f aca="false">I254+1*Y254</f>
        <v>31.4483436252271</v>
      </c>
      <c r="AL254" s="40" t="n">
        <f aca="false">I254+2*Y254</f>
        <v>32.1583436252271</v>
      </c>
      <c r="AM254" s="40" t="n">
        <f aca="false">I254+3*Y254</f>
        <v>32.8683436252271</v>
      </c>
      <c r="AN254" s="40" t="n">
        <f aca="false">I254-1*Y254</f>
        <v>30.0283436252271</v>
      </c>
      <c r="AO254" s="40" t="n">
        <f aca="false">I254-2*Y254</f>
        <v>29.3183436252271</v>
      </c>
      <c r="AP254" s="40" t="n">
        <f aca="false">I254-3*Y254</f>
        <v>28.6083436252271</v>
      </c>
      <c r="AQ254" s="40" t="n">
        <f aca="true">MAX(OFFSET(C254,1-MIN(p_StochN,ROW()-4),0,MIN(p_StochN,ROW()-4),1))</f>
        <v>31.96</v>
      </c>
      <c r="AR254" s="40" t="n">
        <f aca="true">MIN(OFFSET(D254,1-MIN(p_StochN,ROW()-4),0,MIN(p_StochN,ROW()-4),1))</f>
        <v>30.42</v>
      </c>
      <c r="AS254" s="45" t="n">
        <f aca="false">IF(AQ254=AR254,50,100*(E254-AR254)/(AQ254-AR254))</f>
        <v>13.6363636363635</v>
      </c>
      <c r="AT254" s="45" t="n">
        <f aca="true">AVERAGE(OFFSET(AS254,1-MIN(p_StochSm,ROW()-4),0,MIN(p_StochSm,ROW()-4),1))</f>
        <v>14.1028933401814</v>
      </c>
      <c r="AU254" s="45" t="n">
        <f aca="true">AVERAGE(OFFSET(AT254,1-MIN(p_StochSm,ROW()-4),0,MIN(p_StochSm,ROW()-4),1))</f>
        <v>31.857255526292</v>
      </c>
      <c r="AV254" s="41" t="n">
        <f aca="false">MAX(0,H254-D254)</f>
        <v>0.720662299866792</v>
      </c>
      <c r="AW254" s="41" t="n">
        <f aca="true">IF(COUNTIF(OFFSET(AV254,1-MIN(p_PenLb,ROW()-4),0,MIN(p_PenLb,ROW()-4),1),"&gt;0")&gt;0,SUM(OFFSET(AV254,1-MIN(p_PenLb,ROW()-4),0,MIN(p_PenLb,ROW()-4),1))/COUNTIF(OFFSET(AV254,1-MIN(p_PenLb,ROW()-4),0,MIN(p_PenLb,ROW()-4),1),"&gt;0"),0.5*Y254)</f>
        <v>0.330133815912058</v>
      </c>
      <c r="AX254" s="41" t="n">
        <f aca="false">2*H254-H253</f>
        <v>31.0555519165557</v>
      </c>
      <c r="AY254" s="40" t="n">
        <f aca="false">ROUND(MAX(AX254-AW254,0.01),2)</f>
        <v>30.73</v>
      </c>
      <c r="AZ254" s="40" t="n">
        <f aca="true">IF(MIN(p_StopLb,ROW()-4)&lt;2,D254,SMALL(OFFSET(D254,1-MIN(p_StopLb,ROW()-4),0,MIN(p_StopLb,ROW()-4),1),2))</f>
        <v>30.64</v>
      </c>
      <c r="BA254" s="40" t="n">
        <f aca="false">IF(MOD(ROUND(ROUNDDOWN(MIN(AZ254-0.01,AY254-p_StopAtr*Y254),2)*100,0),50)=0,ROUNDDOWN(MIN(AZ254-0.01,AY254-p_StopAtr*Y254),2)-0.01,ROUNDDOWN(MIN(AZ254-0.01,AY254-p_StopAtr*Y254),2))</f>
        <v>30.02</v>
      </c>
      <c r="BB254" s="40" t="n">
        <f aca="false">ROUND(AI254,2)</f>
        <v>32.58</v>
      </c>
      <c r="BC254" s="40" t="n">
        <f aca="false">IF(AY254-BA254&gt;0,(BB254-AY254)/(AY254-BA254),0)</f>
        <v>2.6056338028169</v>
      </c>
      <c r="BD254" s="42" t="n">
        <f aca="false">IF(N254&lt;0,1,0)</f>
        <v>1</v>
      </c>
      <c r="BE254" s="41" t="n">
        <f aca="false">IF(AND(BD254=1,BD253=0),N254,IF(BD254=1,MIN(BE253,N254),BE253))</f>
        <v>-0.254260960524389</v>
      </c>
      <c r="BF254" s="40" t="n">
        <f aca="false">IF(AND(BD254=1,BD253=0),D254,IF(BD254=1,MIN(BF253,D254),BF253))</f>
        <v>30.42</v>
      </c>
      <c r="BG254" s="42" t="n">
        <f aca="false">IF(AND(BD254=1,BD253=0),ROW(),IF(BD254=1,IF(N254&lt;BE253,ROW(),BG253),BG253))</f>
        <v>254</v>
      </c>
      <c r="BH254" s="41" t="n">
        <f aca="false">IF(AND(BD254=1,BD253=0),BE253,BH253)</f>
        <v>-0.153190541609803</v>
      </c>
      <c r="BI254" s="40" t="n">
        <f aca="false">IF(AND(BD254=1,BD253=0),BF253,BI253)</f>
        <v>27.9</v>
      </c>
      <c r="BJ254" s="42" t="n">
        <f aca="false">IF(AND(BD254=1,BD253=0),BG253,BJ253)</f>
        <v>226</v>
      </c>
      <c r="BK254" s="42" t="n">
        <f aca="false">IF(AND(ISNUMBER(BG254),ISNUMBER(BJ254)),BG254-BJ254,"")</f>
        <v>28</v>
      </c>
      <c r="BL254" s="42" t="n">
        <f aca="false">IF(AND(BD254=1,N254&gt;N253,ISNUMBER(BH254),ISNUMBER(BK254)),IF(AND(BE254&gt;BH254,BF254&lt;BI254,BK254&gt;=p_GapMin,BK254&lt;=p_GapMax),1,0),0)</f>
        <v>0</v>
      </c>
      <c r="BM254" s="42" t="n">
        <f aca="false">IF(AND(BL254=1,E254&gt;BI254),1,0)</f>
        <v>0</v>
      </c>
      <c r="BN254" s="42" t="n">
        <f aca="false">IF(BL254=1,IF(BE254&gt;=BH254*0.5,1,0),0)</f>
        <v>0</v>
      </c>
      <c r="BO254" s="42" t="n">
        <f aca="true">IF(V254&gt;MIN(OFFSET(V254,-MIN(p_FiLb-1,ROW()-5),0,MIN(p_FiLb-1,ROW()-5),1)),1,0)</f>
        <v>1</v>
      </c>
      <c r="BP254" s="44" t="n">
        <f aca="true">IF(COUNTIF(OFFSET(V254,1-MIN(100,ROW()-4),0,MIN(100,ROW()-4),1),"&lt;0")&gt;=5,AVERAGEIF(OFFSET(V254,1-MIN(100,ROW()-4),0,MIN(100,ROW()-4),1),"&lt;0"),"")</f>
        <v>-890925.457558706</v>
      </c>
      <c r="BQ254" s="42" t="n">
        <f aca="false">IF(ISNUMBER(BP254),IF(AND(V254&lt;5*BP254,V254&gt;V253,E254&lt;AJ254),1,0),0)</f>
        <v>0</v>
      </c>
      <c r="BR254" s="44" t="n">
        <f aca="true">AVERAGE(OFFSET(F254,1-MIN(5,ROW()-4),0,MIN(5,ROW()-4),1))</f>
        <v>4147940</v>
      </c>
      <c r="BS254" s="42" t="n">
        <f aca="false">IFERROR(IF(MATCH(G254,周线!$A$5:$A$84,0)&lt;=1,"",INDEX(周线!$R$5:$R$84,MATCH(G254,周线!$A$5:$A$84,0)-1)),"")</f>
        <v>1</v>
      </c>
      <c r="BT254" s="42" t="n">
        <f aca="false">IFERROR(IF(MATCH(G254,周线!$A$5:$A$84,0)&lt;=1,"",INDEX(周线!$S$5:$S$84,MATCH(G254,周线!$A$5:$A$84,0)-1)),"")</f>
        <v>0</v>
      </c>
      <c r="BU254" s="42" t="n">
        <f aca="false">IFERROR(IF(MATCH(G254,周线!$A$5:$A$84,0)&lt;=1,"",INDEX(周线!$U$5:$U$84,MATCH(G254,周线!$A$5:$A$84,0)-1)),"")</f>
        <v>0</v>
      </c>
      <c r="BV254" s="42" t="n">
        <f aca="false">IF(AND(BS254=1,S254&lt;&gt;-1,V254&lt;0,BO254=1,E254&lt;=H254,E254&gt;=AJ254),1,0)</f>
        <v>0</v>
      </c>
      <c r="BW254" s="42" t="n">
        <f aca="false">BL254</f>
        <v>0</v>
      </c>
      <c r="BX254" s="42" t="n">
        <f aca="false">BQ254</f>
        <v>0</v>
      </c>
      <c r="BY254" s="42" t="n">
        <f aca="false">IF(BS254=1,10,0)+IF(BU254=1,5,IF(BU254=-1,0,3))+IF(BT254=1,5,0)+IF(AND(AE254&gt;AF254,AH254&gt;AH253),5,0)</f>
        <v>13</v>
      </c>
      <c r="BZ254" s="42" t="n">
        <f aca="false">IF(AND(E254&lt;=H254,E254&gt;=I254),10,IF(AND(E254&gt;=AJ254,E254&lt;I254),6,0))+IF(AND(V254&lt;0,BO254=1),8,0)+IF(AT254&lt;30,7,IF(AT254&lt;50,3,0))</f>
        <v>21</v>
      </c>
      <c r="CA254" s="42" t="n">
        <f aca="false">IF(AND(BV254=1,BW254=1),25,IF(BW254=1,22,IF(BV254=1,15,IF(BX254=1,12,0))))</f>
        <v>0</v>
      </c>
      <c r="CB254" s="42" t="n">
        <f aca="false">IF(W254&gt;0,6,0)+IF(F254&lt;BR254,4,0)</f>
        <v>4</v>
      </c>
      <c r="CC254" s="42" t="n">
        <f aca="false">IF(BC254&gt;=3,15,IF(BC254&gt;=p_RRmin,10,IF(BC254&gt;=1.5,4,0)))</f>
        <v>10</v>
      </c>
      <c r="CD254" s="42" t="n">
        <f aca="false">BY254+BZ254+CA254+CB254+CC254</f>
        <v>48</v>
      </c>
      <c r="CE254" s="42" t="n">
        <f aca="false">IF(AND(BS254&lt;&gt;1,BW254+BX254=0),1,0)</f>
        <v>0</v>
      </c>
      <c r="CF254" s="42" t="n">
        <f aca="false">IF(BU254=-1,1,0)</f>
        <v>0</v>
      </c>
      <c r="CG254" s="42" t="n">
        <f aca="false">IF(S254=-1,1,0)</f>
        <v>1</v>
      </c>
      <c r="CH254" s="42" t="n">
        <f aca="false">IF(BV254+BW254+BX254=0,1,0)</f>
        <v>1</v>
      </c>
      <c r="CI254" s="42" t="n">
        <f aca="false">IF(BC254&lt;p_RRmin,1,0)</f>
        <v>0</v>
      </c>
      <c r="CJ254" s="46" t="str">
        <f aca="false">IF(SUM(CE254:CI254)=0,IF(CD254&gt;=p_GradeA,"A",IF(CD254&gt;=p_GradeB,"B","C")),IF(AND(CI254=1,SUM(CE254:CH254)=0,CD254&gt;=p_GradeB),"B","C"))</f>
        <v>C</v>
      </c>
    </row>
    <row r="255" customFormat="false" ht="15" hidden="false" customHeight="false" outlineLevel="0" collapsed="false">
      <c r="A255" s="36" t="n">
        <v>46009</v>
      </c>
      <c r="B255" s="37" t="n">
        <v>30.39</v>
      </c>
      <c r="C255" s="37" t="n">
        <v>30.93</v>
      </c>
      <c r="D255" s="37" t="n">
        <v>30.28</v>
      </c>
      <c r="E255" s="37" t="n">
        <v>30.81</v>
      </c>
      <c r="F255" s="38" t="n">
        <v>3766800</v>
      </c>
      <c r="G255" s="39" t="n">
        <f aca="false">A255-WEEKDAY(A255,3)</f>
        <v>46006</v>
      </c>
      <c r="H255" s="40" t="n">
        <f aca="false">2/(p_EmaF+1)*E255+(1-2/(p_EmaF+1))*H254</f>
        <v>31.0934248284573</v>
      </c>
      <c r="I255" s="40" t="n">
        <f aca="false">2/(p_EmaS+1)*E255+(1-2/(p_EmaS+1))*I254</f>
        <v>30.7436515048399</v>
      </c>
      <c r="J255" s="41" t="n">
        <f aca="false">2/(p_MacdF+1)*E255+(1-2/(p_MacdF+1))*J254</f>
        <v>31.0941854316299</v>
      </c>
      <c r="K255" s="41" t="n">
        <f aca="false">2/(p_MacdS+1)*E255+(1-2/(p_MacdS+1))*K254</f>
        <v>30.7436515048399</v>
      </c>
      <c r="L255" s="41" t="n">
        <f aca="false">J255-K255</f>
        <v>0.350533926789993</v>
      </c>
      <c r="M255" s="41" t="n">
        <f aca="false">2/(p_MacdSig+1)*L255+(1-2/(p_MacdSig+1))*M254</f>
        <v>0.599525061682279</v>
      </c>
      <c r="N255" s="41" t="n">
        <f aca="false">L255-M255</f>
        <v>-0.248991134892286</v>
      </c>
      <c r="O255" s="42" t="n">
        <f aca="false">IF(H255&gt;H254,1,0)</f>
        <v>0</v>
      </c>
      <c r="P255" s="42" t="n">
        <f aca="false">IF(H255&lt;H254,1,0)</f>
        <v>1</v>
      </c>
      <c r="Q255" s="42" t="n">
        <f aca="false">IF(N255&gt;N254,1,0)</f>
        <v>1</v>
      </c>
      <c r="R255" s="42" t="n">
        <f aca="false">IF(N255&lt;N254,1,0)</f>
        <v>0</v>
      </c>
      <c r="S255" s="42" t="n">
        <f aca="false">IF(AND(O255=1,Q255=1),1,IF(AND(P255=1,R255=1),-1,0))</f>
        <v>0</v>
      </c>
      <c r="T255" s="43" t="str">
        <f aca="false">IF(S255=1,"绿",IF(S255=-1,"红","蓝"))</f>
        <v>蓝</v>
      </c>
      <c r="U255" s="44" t="n">
        <f aca="false">F255*(E255-E254)</f>
        <v>678023.999999999</v>
      </c>
      <c r="V255" s="44" t="n">
        <f aca="false">2/(p_FiS+1)*U255+(1-2/(p_FiS+1))*V254</f>
        <v>217199.276281696</v>
      </c>
      <c r="W255" s="44" t="n">
        <f aca="false">2/(p_FiL+1)*U255+(1-2/(p_FiL+1))*W254</f>
        <v>-215093.296994805</v>
      </c>
      <c r="X255" s="41" t="n">
        <f aca="false">MAX(C255-D255,ABS(C255-E254),ABS(D255-E254))</f>
        <v>0.649999999999999</v>
      </c>
      <c r="Y255" s="41" t="n">
        <f aca="true">AVERAGE(OFFSET(X255,1-MIN(p_AtrN,ROW()-4),0,MIN(p_AtrN,ROW()-4),1))</f>
        <v>0.672307692307693</v>
      </c>
      <c r="Z255" s="41" t="n">
        <f aca="false">IF(AND(C255-C254&gt;D254-D255,C255-C254&gt;0),C255-C254,0)</f>
        <v>0</v>
      </c>
      <c r="AA255" s="41" t="n">
        <f aca="false">IF(AND(D254-D255&gt;C255-C254,D254-D255&gt;0),D254-D255,0)</f>
        <v>0.140000000000001</v>
      </c>
      <c r="AB255" s="41" t="n">
        <f aca="false">2/(p_AdxN+1)*X255+(1-2/(p_AdxN+1))*AB254</f>
        <v>0.689168295833943</v>
      </c>
      <c r="AC255" s="41" t="n">
        <f aca="false">2/(p_AdxN+1)*Z255+(1-2/(p_AdxN+1))*AC254</f>
        <v>0.0953487565182806</v>
      </c>
      <c r="AD255" s="41" t="n">
        <f aca="false">2/(p_AdxN+1)*AA255+(1-2/(p_AdxN+1))*AD254</f>
        <v>0.160284242526643</v>
      </c>
      <c r="AE255" s="45" t="n">
        <f aca="false">100*AC255/AB255</f>
        <v>13.8353370424421</v>
      </c>
      <c r="AF255" s="45" t="n">
        <f aca="false">100*AD255/AB255</f>
        <v>23.2576343827145</v>
      </c>
      <c r="AG255" s="45" t="n">
        <f aca="false">IFERROR(100*ABS(AE255-AF255)/(AE255+AF255),0)</f>
        <v>25.401840236186</v>
      </c>
      <c r="AH255" s="45" t="n">
        <f aca="false">2/(p_AdxN+1)*AG255+(1-2/(p_AdxN+1))*AH254</f>
        <v>26.7200552972568</v>
      </c>
      <c r="AI255" s="40" t="n">
        <f aca="false">I255*(1+p_ChPct)</f>
        <v>32.5882705951303</v>
      </c>
      <c r="AJ255" s="40" t="n">
        <f aca="false">I255*(1-p_ChPct)</f>
        <v>28.8990324145495</v>
      </c>
      <c r="AK255" s="40" t="n">
        <f aca="false">I255+1*Y255</f>
        <v>31.4159591971476</v>
      </c>
      <c r="AL255" s="40" t="n">
        <f aca="false">I255+2*Y255</f>
        <v>32.0882668894553</v>
      </c>
      <c r="AM255" s="40" t="n">
        <f aca="false">I255+3*Y255</f>
        <v>32.760574581763</v>
      </c>
      <c r="AN255" s="40" t="n">
        <f aca="false">I255-1*Y255</f>
        <v>30.0713438125322</v>
      </c>
      <c r="AO255" s="40" t="n">
        <f aca="false">I255-2*Y255</f>
        <v>29.3990361202245</v>
      </c>
      <c r="AP255" s="40" t="n">
        <f aca="false">I255-3*Y255</f>
        <v>28.7267284279168</v>
      </c>
      <c r="AQ255" s="40" t="n">
        <f aca="true">MAX(OFFSET(C255,1-MIN(p_StochN,ROW()-4),0,MIN(p_StochN,ROW()-4),1))</f>
        <v>31.96</v>
      </c>
      <c r="AR255" s="40" t="n">
        <f aca="true">MIN(OFFSET(D255,1-MIN(p_StochN,ROW()-4),0,MIN(p_StochN,ROW()-4),1))</f>
        <v>30.28</v>
      </c>
      <c r="AS255" s="45" t="n">
        <f aca="false">IF(AQ255=AR255,50,100*(E255-AR255)/(AQ255-AR255))</f>
        <v>31.5476190476189</v>
      </c>
      <c r="AT255" s="45" t="n">
        <f aca="true">AVERAGE(OFFSET(AS255,1-MIN(p_StochSm,ROW()-4),0,MIN(p_StochSm,ROW()-4),1))</f>
        <v>17.8391053391052</v>
      </c>
      <c r="AU255" s="45" t="n">
        <f aca="true">AVERAGE(OFFSET(AT255,1-MIN(p_StochSm,ROW()-4),0,MIN(p_StochSm,ROW()-4),1))</f>
        <v>20.998254858939</v>
      </c>
      <c r="AV255" s="41" t="n">
        <f aca="false">MAX(0,H255-D255)</f>
        <v>0.813424828457251</v>
      </c>
      <c r="AW255" s="41" t="n">
        <f aca="true">IF(COUNTIF(OFFSET(AV255,1-MIN(p_PenLb,ROW()-4),0,MIN(p_PenLb,ROW()-4),1),"&gt;0")&gt;0,SUM(OFFSET(AV255,1-MIN(p_PenLb,ROW()-4),0,MIN(p_PenLb,ROW()-4),1))/COUNTIF(OFFSET(AV255,1-MIN(p_PenLb,ROW()-4),0,MIN(p_PenLb,ROW()-4),1),"&gt;0"),0.5*Y255)</f>
        <v>0.348624764673627</v>
      </c>
      <c r="AX255" s="41" t="n">
        <f aca="false">2*H255-H254</f>
        <v>31.0461873570477</v>
      </c>
      <c r="AY255" s="40" t="n">
        <f aca="false">ROUND(MAX(AX255-AW255,0.01),2)</f>
        <v>30.7</v>
      </c>
      <c r="AZ255" s="40" t="n">
        <f aca="true">IF(MIN(p_StopLb,ROW()-4)&lt;2,D255,SMALL(OFFSET(D255,1-MIN(p_StopLb,ROW()-4),0,MIN(p_StopLb,ROW()-4),1),2))</f>
        <v>30.42</v>
      </c>
      <c r="BA255" s="40" t="n">
        <f aca="false">IF(MOD(ROUND(ROUNDDOWN(MIN(AZ255-0.01,AY255-p_StopAtr*Y255),2)*100,0),50)=0,ROUNDDOWN(MIN(AZ255-0.01,AY255-p_StopAtr*Y255),2)-0.01,ROUNDDOWN(MIN(AZ255-0.01,AY255-p_StopAtr*Y255),2))</f>
        <v>30.02</v>
      </c>
      <c r="BB255" s="40" t="n">
        <f aca="false">ROUND(AI255,2)</f>
        <v>32.59</v>
      </c>
      <c r="BC255" s="40" t="n">
        <f aca="false">IF(AY255-BA255&gt;0,(BB255-AY255)/(AY255-BA255),0)</f>
        <v>2.77941176470589</v>
      </c>
      <c r="BD255" s="42" t="n">
        <f aca="false">IF(N255&lt;0,1,0)</f>
        <v>1</v>
      </c>
      <c r="BE255" s="41" t="n">
        <f aca="false">IF(AND(BD255=1,BD254=0),N255,IF(BD255=1,MIN(BE254,N255),BE254))</f>
        <v>-0.254260960524389</v>
      </c>
      <c r="BF255" s="40" t="n">
        <f aca="false">IF(AND(BD255=1,BD254=0),D255,IF(BD255=1,MIN(BF254,D255),BF254))</f>
        <v>30.28</v>
      </c>
      <c r="BG255" s="42" t="n">
        <f aca="false">IF(AND(BD255=1,BD254=0),ROW(),IF(BD255=1,IF(N255&lt;BE254,ROW(),BG254),BG254))</f>
        <v>254</v>
      </c>
      <c r="BH255" s="41" t="n">
        <f aca="false">IF(AND(BD255=1,BD254=0),BE254,BH254)</f>
        <v>-0.153190541609803</v>
      </c>
      <c r="BI255" s="40" t="n">
        <f aca="false">IF(AND(BD255=1,BD254=0),BF254,BI254)</f>
        <v>27.9</v>
      </c>
      <c r="BJ255" s="42" t="n">
        <f aca="false">IF(AND(BD255=1,BD254=0),BG254,BJ254)</f>
        <v>226</v>
      </c>
      <c r="BK255" s="42" t="n">
        <f aca="false">IF(AND(ISNUMBER(BG255),ISNUMBER(BJ255)),BG255-BJ255,"")</f>
        <v>28</v>
      </c>
      <c r="BL255" s="42" t="n">
        <f aca="false">IF(AND(BD255=1,N255&gt;N254,ISNUMBER(BH255),ISNUMBER(BK255)),IF(AND(BE255&gt;BH255,BF255&lt;BI255,BK255&gt;=p_GapMin,BK255&lt;=p_GapMax),1,0),0)</f>
        <v>0</v>
      </c>
      <c r="BM255" s="42" t="n">
        <f aca="false">IF(AND(BL255=1,E255&gt;BI255),1,0)</f>
        <v>0</v>
      </c>
      <c r="BN255" s="42" t="n">
        <f aca="false">IF(BL255=1,IF(BE255&gt;=BH255*0.5,1,0),0)</f>
        <v>0</v>
      </c>
      <c r="BO255" s="42" t="n">
        <f aca="true">IF(V255&gt;MIN(OFFSET(V255,-MIN(p_FiLb-1,ROW()-5),0,MIN(p_FiLb-1,ROW()-5),1)),1,0)</f>
        <v>1</v>
      </c>
      <c r="BP255" s="44" t="n">
        <f aca="true">IF(COUNTIF(OFFSET(V255,1-MIN(100,ROW()-4),0,MIN(100,ROW()-4),1),"&lt;0")&gt;=5,AVERAGEIF(OFFSET(V255,1-MIN(100,ROW()-4),0,MIN(100,ROW()-4),1),"&lt;0"),"")</f>
        <v>-884433.989942273</v>
      </c>
      <c r="BQ255" s="42" t="n">
        <f aca="false">IF(ISNUMBER(BP255),IF(AND(V255&lt;5*BP255,V255&gt;V254,E255&lt;AJ255),1,0),0)</f>
        <v>0</v>
      </c>
      <c r="BR255" s="44" t="n">
        <f aca="true">AVERAGE(OFFSET(F255,1-MIN(5,ROW()-4),0,MIN(5,ROW()-4),1))</f>
        <v>3975840</v>
      </c>
      <c r="BS255" s="42" t="n">
        <f aca="false">IFERROR(IF(MATCH(G255,周线!$A$5:$A$84,0)&lt;=1,"",INDEX(周线!$R$5:$R$84,MATCH(G255,周线!$A$5:$A$84,0)-1)),"")</f>
        <v>1</v>
      </c>
      <c r="BT255" s="42" t="n">
        <f aca="false">IFERROR(IF(MATCH(G255,周线!$A$5:$A$84,0)&lt;=1,"",INDEX(周线!$S$5:$S$84,MATCH(G255,周线!$A$5:$A$84,0)-1)),"")</f>
        <v>0</v>
      </c>
      <c r="BU255" s="42" t="n">
        <f aca="false">IFERROR(IF(MATCH(G255,周线!$A$5:$A$84,0)&lt;=1,"",INDEX(周线!$U$5:$U$84,MATCH(G255,周线!$A$5:$A$84,0)-1)),"")</f>
        <v>0</v>
      </c>
      <c r="BV255" s="42" t="n">
        <f aca="false">IF(AND(BS255=1,S255&lt;&gt;-1,V255&lt;0,BO255=1,E255&lt;=H255,E255&gt;=AJ255),1,0)</f>
        <v>0</v>
      </c>
      <c r="BW255" s="42" t="n">
        <f aca="false">BL255</f>
        <v>0</v>
      </c>
      <c r="BX255" s="42" t="n">
        <f aca="false">BQ255</f>
        <v>0</v>
      </c>
      <c r="BY255" s="42" t="n">
        <f aca="false">IF(BS255=1,10,0)+IF(BU255=1,5,IF(BU255=-1,0,3))+IF(BT255=1,5,0)+IF(AND(AE255&gt;AF255,AH255&gt;AH254),5,0)</f>
        <v>13</v>
      </c>
      <c r="BZ255" s="42" t="n">
        <f aca="false">IF(AND(E255&lt;=H255,E255&gt;=I255),10,IF(AND(E255&gt;=AJ255,E255&lt;I255),6,0))+IF(AND(V255&lt;0,BO255=1),8,0)+IF(AT255&lt;30,7,IF(AT255&lt;50,3,0))</f>
        <v>17</v>
      </c>
      <c r="CA255" s="42" t="n">
        <f aca="false">IF(AND(BV255=1,BW255=1),25,IF(BW255=1,22,IF(BV255=1,15,IF(BX255=1,12,0))))</f>
        <v>0</v>
      </c>
      <c r="CB255" s="42" t="n">
        <f aca="false">IF(W255&gt;0,6,0)+IF(F255&lt;BR255,4,0)</f>
        <v>4</v>
      </c>
      <c r="CC255" s="42" t="n">
        <f aca="false">IF(BC255&gt;=3,15,IF(BC255&gt;=p_RRmin,10,IF(BC255&gt;=1.5,4,0)))</f>
        <v>10</v>
      </c>
      <c r="CD255" s="42" t="n">
        <f aca="false">BY255+BZ255+CA255+CB255+CC255</f>
        <v>44</v>
      </c>
      <c r="CE255" s="42" t="n">
        <f aca="false">IF(AND(BS255&lt;&gt;1,BW255+BX255=0),1,0)</f>
        <v>0</v>
      </c>
      <c r="CF255" s="42" t="n">
        <f aca="false">IF(BU255=-1,1,0)</f>
        <v>0</v>
      </c>
      <c r="CG255" s="42" t="n">
        <f aca="false">IF(S255=-1,1,0)</f>
        <v>0</v>
      </c>
      <c r="CH255" s="42" t="n">
        <f aca="false">IF(BV255+BW255+BX255=0,1,0)</f>
        <v>1</v>
      </c>
      <c r="CI255" s="42" t="n">
        <f aca="false">IF(BC255&lt;p_RRmin,1,0)</f>
        <v>0</v>
      </c>
      <c r="CJ255" s="46" t="str">
        <f aca="false">IF(SUM(CE255:CI255)=0,IF(CD255&gt;=p_GradeA,"A",IF(CD255&gt;=p_GradeB,"B","C")),IF(AND(CI255=1,SUM(CE255:CH255)=0,CD255&gt;=p_GradeB),"B","C"))</f>
        <v>C</v>
      </c>
    </row>
    <row r="256" customFormat="false" ht="15" hidden="false" customHeight="false" outlineLevel="0" collapsed="false">
      <c r="A256" s="36" t="n">
        <v>46010</v>
      </c>
      <c r="B256" s="37" t="n">
        <v>30.92</v>
      </c>
      <c r="C256" s="37" t="n">
        <v>31.16</v>
      </c>
      <c r="D256" s="37" t="n">
        <v>29.85</v>
      </c>
      <c r="E256" s="37" t="n">
        <v>30.08</v>
      </c>
      <c r="F256" s="38" t="n">
        <v>3466400</v>
      </c>
      <c r="G256" s="39" t="n">
        <f aca="false">A256-WEEKDAY(A256,3)</f>
        <v>46006</v>
      </c>
      <c r="H256" s="40" t="n">
        <f aca="false">2/(p_EmaF+1)*E256+(1-2/(p_EmaF+1))*H255</f>
        <v>30.9486498529634</v>
      </c>
      <c r="I256" s="40" t="n">
        <f aca="false">2/(p_EmaS+1)*E256+(1-2/(p_EmaS+1))*I255</f>
        <v>30.694492134111</v>
      </c>
      <c r="J256" s="41" t="n">
        <f aca="false">2/(p_MacdF+1)*E256+(1-2/(p_MacdF+1))*J255</f>
        <v>30.9381569036868</v>
      </c>
      <c r="K256" s="41" t="n">
        <f aca="false">2/(p_MacdS+1)*E256+(1-2/(p_MacdS+1))*K255</f>
        <v>30.694492134111</v>
      </c>
      <c r="L256" s="41" t="n">
        <f aca="false">J256-K256</f>
        <v>0.243664769575812</v>
      </c>
      <c r="M256" s="41" t="n">
        <f aca="false">2/(p_MacdSig+1)*L256+(1-2/(p_MacdSig+1))*M255</f>
        <v>0.528353003260985</v>
      </c>
      <c r="N256" s="41" t="n">
        <f aca="false">L256-M256</f>
        <v>-0.284688233685173</v>
      </c>
      <c r="O256" s="42" t="n">
        <f aca="false">IF(H256&gt;H255,1,0)</f>
        <v>0</v>
      </c>
      <c r="P256" s="42" t="n">
        <f aca="false">IF(H256&lt;H255,1,0)</f>
        <v>1</v>
      </c>
      <c r="Q256" s="42" t="n">
        <f aca="false">IF(N256&gt;N255,1,0)</f>
        <v>0</v>
      </c>
      <c r="R256" s="42" t="n">
        <f aca="false">IF(N256&lt;N255,1,0)</f>
        <v>1</v>
      </c>
      <c r="S256" s="42" t="n">
        <f aca="false">IF(AND(O256=1,Q256=1),1,IF(AND(P256=1,R256=1),-1,0))</f>
        <v>-1</v>
      </c>
      <c r="T256" s="43" t="str">
        <f aca="false">IF(S256=1,"绿",IF(S256=-1,"红","蓝"))</f>
        <v>红</v>
      </c>
      <c r="U256" s="44" t="n">
        <f aca="false">F256*(E256-E255)</f>
        <v>-2530472</v>
      </c>
      <c r="V256" s="44" t="n">
        <f aca="false">2/(p_FiS+1)*U256+(1-2/(p_FiS+1))*V255</f>
        <v>-1614581.57457277</v>
      </c>
      <c r="W256" s="44" t="n">
        <f aca="false">2/(p_FiL+1)*U256+(1-2/(p_FiL+1))*W255</f>
        <v>-545861.683138404</v>
      </c>
      <c r="X256" s="41" t="n">
        <f aca="false">MAX(C256-D256,ABS(C256-E255),ABS(D256-E255))</f>
        <v>1.31</v>
      </c>
      <c r="Y256" s="41" t="n">
        <f aca="true">AVERAGE(OFFSET(X256,1-MIN(p_AtrN,ROW()-4),0,MIN(p_AtrN,ROW()-4),1))</f>
        <v>0.750769230769231</v>
      </c>
      <c r="Z256" s="41" t="n">
        <f aca="false">IF(AND(C256-C255&gt;D255-D256,C256-C255&gt;0),C256-C255,0)</f>
        <v>0</v>
      </c>
      <c r="AA256" s="41" t="n">
        <f aca="false">IF(AND(D255-D256&gt;C256-C255,D255-D256&gt;0),D255-D256,0)</f>
        <v>0.43</v>
      </c>
      <c r="AB256" s="41" t="n">
        <f aca="false">2/(p_AdxN+1)*X256+(1-2/(p_AdxN+1))*AB255</f>
        <v>0.777858539286237</v>
      </c>
      <c r="AC256" s="41" t="n">
        <f aca="false">2/(p_AdxN+1)*Z256+(1-2/(p_AdxN+1))*AC255</f>
        <v>0.0817275055870976</v>
      </c>
      <c r="AD256" s="41" t="n">
        <f aca="false">2/(p_AdxN+1)*AA256+(1-2/(p_AdxN+1))*AD255</f>
        <v>0.198815065022837</v>
      </c>
      <c r="AE256" s="45" t="n">
        <f aca="false">100*AC256/AB256</f>
        <v>10.5067311676093</v>
      </c>
      <c r="AF256" s="45" t="n">
        <f aca="false">100*AD256/AB256</f>
        <v>25.559282952048</v>
      </c>
      <c r="AG256" s="45" t="n">
        <f aca="false">IFERROR(100*ABS(AE256-AF256)/(AE256+AF256),0)</f>
        <v>41.7361112722309</v>
      </c>
      <c r="AH256" s="45" t="n">
        <f aca="false">2/(p_AdxN+1)*AG256+(1-2/(p_AdxN+1))*AH255</f>
        <v>28.8652061508245</v>
      </c>
      <c r="AI256" s="40" t="n">
        <f aca="false">I256*(1+p_ChPct)</f>
        <v>32.5361616621577</v>
      </c>
      <c r="AJ256" s="40" t="n">
        <f aca="false">I256*(1-p_ChPct)</f>
        <v>28.8528226060643</v>
      </c>
      <c r="AK256" s="40" t="n">
        <f aca="false">I256+1*Y256</f>
        <v>31.4452613648802</v>
      </c>
      <c r="AL256" s="40" t="n">
        <f aca="false">I256+2*Y256</f>
        <v>32.1960305956495</v>
      </c>
      <c r="AM256" s="40" t="n">
        <f aca="false">I256+3*Y256</f>
        <v>32.9467998264187</v>
      </c>
      <c r="AN256" s="40" t="n">
        <f aca="false">I256-1*Y256</f>
        <v>29.9437229033418</v>
      </c>
      <c r="AO256" s="40" t="n">
        <f aca="false">I256-2*Y256</f>
        <v>29.1929536725725</v>
      </c>
      <c r="AP256" s="40" t="n">
        <f aca="false">I256-3*Y256</f>
        <v>28.4421844418033</v>
      </c>
      <c r="AQ256" s="40" t="n">
        <f aca="true">MAX(OFFSET(C256,1-MIN(p_StochN,ROW()-4),0,MIN(p_StochN,ROW()-4),1))</f>
        <v>31.96</v>
      </c>
      <c r="AR256" s="40" t="n">
        <f aca="true">MIN(OFFSET(D256,1-MIN(p_StochN,ROW()-4),0,MIN(p_StochN,ROW()-4),1))</f>
        <v>29.85</v>
      </c>
      <c r="AS256" s="45" t="n">
        <f aca="false">IF(AQ256=AR256,50,100*(E256-AR256)/(AQ256-AR256))</f>
        <v>10.9004739336491</v>
      </c>
      <c r="AT256" s="45" t="n">
        <f aca="true">AVERAGE(OFFSET(AS256,1-MIN(p_StochSm,ROW()-4),0,MIN(p_StochSm,ROW()-4),1))</f>
        <v>18.6948188725438</v>
      </c>
      <c r="AU256" s="45" t="n">
        <f aca="true">AVERAGE(OFFSET(AT256,1-MIN(p_StochSm,ROW()-4),0,MIN(p_StochSm,ROW()-4),1))</f>
        <v>16.8789391839435</v>
      </c>
      <c r="AV256" s="41" t="n">
        <f aca="false">MAX(0,H256-D256)</f>
        <v>1.09864985296336</v>
      </c>
      <c r="AW256" s="41" t="n">
        <f aca="true">IF(COUNTIF(OFFSET(AV256,1-MIN(p_PenLb,ROW()-4),0,MIN(p_PenLb,ROW()-4),1),"&gt;0")&gt;0,SUM(OFFSET(AV256,1-MIN(p_PenLb,ROW()-4),0,MIN(p_PenLb,ROW()-4),1))/COUNTIF(OFFSET(AV256,1-MIN(p_PenLb,ROW()-4),0,MIN(p_PenLb,ROW()-4),1),"&gt;0"),0.5*Y256)</f>
        <v>0.394726250166737</v>
      </c>
      <c r="AX256" s="41" t="n">
        <f aca="false">2*H256-H255</f>
        <v>30.8038748774695</v>
      </c>
      <c r="AY256" s="40" t="n">
        <f aca="false">ROUND(MAX(AX256-AW256,0.01),2)</f>
        <v>30.41</v>
      </c>
      <c r="AZ256" s="40" t="n">
        <f aca="true">IF(MIN(p_StopLb,ROW()-4)&lt;2,D256,SMALL(OFFSET(D256,1-MIN(p_StopLb,ROW()-4),0,MIN(p_StopLb,ROW()-4),1),2))</f>
        <v>30.28</v>
      </c>
      <c r="BA256" s="40" t="n">
        <f aca="false">IF(MOD(ROUND(ROUNDDOWN(MIN(AZ256-0.01,AY256-p_StopAtr*Y256),2)*100,0),50)=0,ROUNDDOWN(MIN(AZ256-0.01,AY256-p_StopAtr*Y256),2)-0.01,ROUNDDOWN(MIN(AZ256-0.01,AY256-p_StopAtr*Y256),2))</f>
        <v>29.65</v>
      </c>
      <c r="BB256" s="40" t="n">
        <f aca="false">ROUND(AI256,2)</f>
        <v>32.54</v>
      </c>
      <c r="BC256" s="40" t="n">
        <f aca="false">IF(AY256-BA256&gt;0,(BB256-AY256)/(AY256-BA256),0)</f>
        <v>2.80263157894736</v>
      </c>
      <c r="BD256" s="42" t="n">
        <f aca="false">IF(N256&lt;0,1,0)</f>
        <v>1</v>
      </c>
      <c r="BE256" s="41" t="n">
        <f aca="false">IF(AND(BD256=1,BD255=0),N256,IF(BD256=1,MIN(BE255,N256),BE255))</f>
        <v>-0.284688233685173</v>
      </c>
      <c r="BF256" s="40" t="n">
        <f aca="false">IF(AND(BD256=1,BD255=0),D256,IF(BD256=1,MIN(BF255,D256),BF255))</f>
        <v>29.85</v>
      </c>
      <c r="BG256" s="42" t="n">
        <f aca="false">IF(AND(BD256=1,BD255=0),ROW(),IF(BD256=1,IF(N256&lt;BE255,ROW(),BG255),BG255))</f>
        <v>256</v>
      </c>
      <c r="BH256" s="41" t="n">
        <f aca="false">IF(AND(BD256=1,BD255=0),BE255,BH255)</f>
        <v>-0.153190541609803</v>
      </c>
      <c r="BI256" s="40" t="n">
        <f aca="false">IF(AND(BD256=1,BD255=0),BF255,BI255)</f>
        <v>27.9</v>
      </c>
      <c r="BJ256" s="42" t="n">
        <f aca="false">IF(AND(BD256=1,BD255=0),BG255,BJ255)</f>
        <v>226</v>
      </c>
      <c r="BK256" s="42" t="n">
        <f aca="false">IF(AND(ISNUMBER(BG256),ISNUMBER(BJ256)),BG256-BJ256,"")</f>
        <v>30</v>
      </c>
      <c r="BL256" s="42" t="n">
        <f aca="false">IF(AND(BD256=1,N256&gt;N255,ISNUMBER(BH256),ISNUMBER(BK256)),IF(AND(BE256&gt;BH256,BF256&lt;BI256,BK256&gt;=p_GapMin,BK256&lt;=p_GapMax),1,0),0)</f>
        <v>0</v>
      </c>
      <c r="BM256" s="42" t="n">
        <f aca="false">IF(AND(BL256=1,E256&gt;BI256),1,0)</f>
        <v>0</v>
      </c>
      <c r="BN256" s="42" t="n">
        <f aca="false">IF(BL256=1,IF(BE256&gt;=BH256*0.5,1,0),0)</f>
        <v>0</v>
      </c>
      <c r="BO256" s="42" t="n">
        <f aca="true">IF(V256&gt;MIN(OFFSET(V256,-MIN(p_FiLb-1,ROW()-5),0,MIN(p_FiLb-1,ROW()-5),1)),1,0)</f>
        <v>1</v>
      </c>
      <c r="BP256" s="44" t="n">
        <f aca="true">IF(COUNTIF(OFFSET(V256,1-MIN(100,ROW()-4),0,MIN(100,ROW()-4),1),"&lt;0")&gt;=5,AVERAGEIF(OFFSET(V256,1-MIN(100,ROW()-4),0,MIN(100,ROW()-4),1),"&lt;0"),"")</f>
        <v>-902667.234608011</v>
      </c>
      <c r="BQ256" s="42" t="n">
        <f aca="false">IF(ISNUMBER(BP256),IF(AND(V256&lt;5*BP256,V256&gt;V255,E256&lt;AJ256),1,0),0)</f>
        <v>0</v>
      </c>
      <c r="BR256" s="44" t="n">
        <f aca="true">AVERAGE(OFFSET(F256,1-MIN(5,ROW()-4),0,MIN(5,ROW()-4),1))</f>
        <v>3822600</v>
      </c>
      <c r="BS256" s="42" t="n">
        <f aca="false">IFERROR(IF(MATCH(G256,周线!$A$5:$A$84,0)&lt;=1,"",INDEX(周线!$R$5:$R$84,MATCH(G256,周线!$A$5:$A$84,0)-1)),"")</f>
        <v>1</v>
      </c>
      <c r="BT256" s="42" t="n">
        <f aca="false">IFERROR(IF(MATCH(G256,周线!$A$5:$A$84,0)&lt;=1,"",INDEX(周线!$S$5:$S$84,MATCH(G256,周线!$A$5:$A$84,0)-1)),"")</f>
        <v>0</v>
      </c>
      <c r="BU256" s="42" t="n">
        <f aca="false">IFERROR(IF(MATCH(G256,周线!$A$5:$A$84,0)&lt;=1,"",INDEX(周线!$U$5:$U$84,MATCH(G256,周线!$A$5:$A$84,0)-1)),"")</f>
        <v>0</v>
      </c>
      <c r="BV256" s="42" t="n">
        <f aca="false">IF(AND(BS256=1,S256&lt;&gt;-1,V256&lt;0,BO256=1,E256&lt;=H256,E256&gt;=AJ256),1,0)</f>
        <v>0</v>
      </c>
      <c r="BW256" s="42" t="n">
        <f aca="false">BL256</f>
        <v>0</v>
      </c>
      <c r="BX256" s="42" t="n">
        <f aca="false">BQ256</f>
        <v>0</v>
      </c>
      <c r="BY256" s="42" t="n">
        <f aca="false">IF(BS256=1,10,0)+IF(BU256=1,5,IF(BU256=-1,0,3))+IF(BT256=1,5,0)+IF(AND(AE256&gt;AF256,AH256&gt;AH255),5,0)</f>
        <v>13</v>
      </c>
      <c r="BZ256" s="42" t="n">
        <f aca="false">IF(AND(E256&lt;=H256,E256&gt;=I256),10,IF(AND(E256&gt;=AJ256,E256&lt;I256),6,0))+IF(AND(V256&lt;0,BO256=1),8,0)+IF(AT256&lt;30,7,IF(AT256&lt;50,3,0))</f>
        <v>21</v>
      </c>
      <c r="CA256" s="42" t="n">
        <f aca="false">IF(AND(BV256=1,BW256=1),25,IF(BW256=1,22,IF(BV256=1,15,IF(BX256=1,12,0))))</f>
        <v>0</v>
      </c>
      <c r="CB256" s="42" t="n">
        <f aca="false">IF(W256&gt;0,6,0)+IF(F256&lt;BR256,4,0)</f>
        <v>4</v>
      </c>
      <c r="CC256" s="42" t="n">
        <f aca="false">IF(BC256&gt;=3,15,IF(BC256&gt;=p_RRmin,10,IF(BC256&gt;=1.5,4,0)))</f>
        <v>10</v>
      </c>
      <c r="CD256" s="42" t="n">
        <f aca="false">BY256+BZ256+CA256+CB256+CC256</f>
        <v>48</v>
      </c>
      <c r="CE256" s="42" t="n">
        <f aca="false">IF(AND(BS256&lt;&gt;1,BW256+BX256=0),1,0)</f>
        <v>0</v>
      </c>
      <c r="CF256" s="42" t="n">
        <f aca="false">IF(BU256=-1,1,0)</f>
        <v>0</v>
      </c>
      <c r="CG256" s="42" t="n">
        <f aca="false">IF(S256=-1,1,0)</f>
        <v>1</v>
      </c>
      <c r="CH256" s="42" t="n">
        <f aca="false">IF(BV256+BW256+BX256=0,1,0)</f>
        <v>1</v>
      </c>
      <c r="CI256" s="42" t="n">
        <f aca="false">IF(BC256&lt;p_RRmin,1,0)</f>
        <v>0</v>
      </c>
      <c r="CJ256" s="46" t="str">
        <f aca="false">IF(SUM(CE256:CI256)=0,IF(CD256&gt;=p_GradeA,"A",IF(CD256&gt;=p_GradeB,"B","C")),IF(AND(CI256=1,SUM(CE256:CH256)=0,CD256&gt;=p_GradeB),"B","C"))</f>
        <v>C</v>
      </c>
    </row>
    <row r="257" customFormat="false" ht="15" hidden="false" customHeight="false" outlineLevel="0" collapsed="false">
      <c r="A257" s="36" t="n">
        <v>46013</v>
      </c>
      <c r="B257" s="37" t="n">
        <v>30.04</v>
      </c>
      <c r="C257" s="37" t="n">
        <v>31.03</v>
      </c>
      <c r="D257" s="37" t="n">
        <v>29.73</v>
      </c>
      <c r="E257" s="37" t="n">
        <v>30.61</v>
      </c>
      <c r="F257" s="38" t="n">
        <v>4993500</v>
      </c>
      <c r="G257" s="39" t="n">
        <f aca="false">A257-WEEKDAY(A257,3)</f>
        <v>46013</v>
      </c>
      <c r="H257" s="40" t="n">
        <f aca="false">2/(p_EmaF+1)*E257+(1-2/(p_EmaF+1))*H256</f>
        <v>30.90027130254</v>
      </c>
      <c r="I257" s="40" t="n">
        <f aca="false">2/(p_EmaS+1)*E257+(1-2/(p_EmaS+1))*I256</f>
        <v>30.6882334575102</v>
      </c>
      <c r="J257" s="41" t="n">
        <f aca="false">2/(p_MacdF+1)*E257+(1-2/(p_MacdF+1))*J256</f>
        <v>30.8876712261965</v>
      </c>
      <c r="K257" s="41" t="n">
        <f aca="false">2/(p_MacdS+1)*E257+(1-2/(p_MacdS+1))*K256</f>
        <v>30.6882334575102</v>
      </c>
      <c r="L257" s="41" t="n">
        <f aca="false">J257-K257</f>
        <v>0.199437768686344</v>
      </c>
      <c r="M257" s="41" t="n">
        <f aca="false">2/(p_MacdSig+1)*L257+(1-2/(p_MacdSig+1))*M256</f>
        <v>0.462569956346057</v>
      </c>
      <c r="N257" s="41" t="n">
        <f aca="false">L257-M257</f>
        <v>-0.263132187659713</v>
      </c>
      <c r="O257" s="42" t="n">
        <f aca="false">IF(H257&gt;H256,1,0)</f>
        <v>0</v>
      </c>
      <c r="P257" s="42" t="n">
        <f aca="false">IF(H257&lt;H256,1,0)</f>
        <v>1</v>
      </c>
      <c r="Q257" s="42" t="n">
        <f aca="false">IF(N257&gt;N256,1,0)</f>
        <v>1</v>
      </c>
      <c r="R257" s="42" t="n">
        <f aca="false">IF(N257&lt;N256,1,0)</f>
        <v>0</v>
      </c>
      <c r="S257" s="42" t="n">
        <f aca="false">IF(AND(O257=1,Q257=1),1,IF(AND(P257=1,R257=1),-1,0))</f>
        <v>0</v>
      </c>
      <c r="T257" s="43" t="str">
        <f aca="false">IF(S257=1,"绿",IF(S257=-1,"红","蓝"))</f>
        <v>蓝</v>
      </c>
      <c r="U257" s="44" t="n">
        <f aca="false">F257*(E257-E256)</f>
        <v>2646555.00000001</v>
      </c>
      <c r="V257" s="44" t="n">
        <f aca="false">2/(p_FiS+1)*U257+(1-2/(p_FiS+1))*V256</f>
        <v>1226176.14180908</v>
      </c>
      <c r="W257" s="44" t="n">
        <f aca="false">2/(p_FiL+1)*U257+(1-2/(p_FiL+1))*W256</f>
        <v>-89802.1569757744</v>
      </c>
      <c r="X257" s="41" t="n">
        <f aca="false">MAX(C257-D257,ABS(C257-E256),ABS(D257-E256))</f>
        <v>1.3</v>
      </c>
      <c r="Y257" s="41" t="n">
        <f aca="true">AVERAGE(OFFSET(X257,1-MIN(p_AtrN,ROW()-4),0,MIN(p_AtrN,ROW()-4),1))</f>
        <v>0.791538461538462</v>
      </c>
      <c r="Z257" s="41" t="n">
        <f aca="false">IF(AND(C257-C256&gt;D256-D257,C257-C256&gt;0),C257-C256,0)</f>
        <v>0</v>
      </c>
      <c r="AA257" s="41" t="n">
        <f aca="false">IF(AND(D256-D257&gt;C257-C256,D256-D257&gt;0),D256-D257,0)</f>
        <v>0.120000000000001</v>
      </c>
      <c r="AB257" s="41" t="n">
        <f aca="false">2/(p_AdxN+1)*X257+(1-2/(p_AdxN+1))*AB256</f>
        <v>0.85245017653106</v>
      </c>
      <c r="AC257" s="41" t="n">
        <f aca="false">2/(p_AdxN+1)*Z257+(1-2/(p_AdxN+1))*AC256</f>
        <v>0.0700521476460837</v>
      </c>
      <c r="AD257" s="41" t="n">
        <f aca="false">2/(p_AdxN+1)*AA257+(1-2/(p_AdxN+1))*AD256</f>
        <v>0.187555770019575</v>
      </c>
      <c r="AE257" s="45" t="n">
        <f aca="false">100*AC257/AB257</f>
        <v>8.21774099820733</v>
      </c>
      <c r="AF257" s="45" t="n">
        <f aca="false">100*AD257/AB257</f>
        <v>22.00196271679</v>
      </c>
      <c r="AG257" s="45" t="n">
        <f aca="false">IFERROR(100*ABS(AE257-AF257)/(AE257+AF257),0)</f>
        <v>45.6133582532177</v>
      </c>
      <c r="AH257" s="45" t="n">
        <f aca="false">2/(p_AdxN+1)*AG257+(1-2/(p_AdxN+1))*AH256</f>
        <v>31.2577993083093</v>
      </c>
      <c r="AI257" s="40" t="n">
        <f aca="false">I257*(1+p_ChPct)</f>
        <v>32.5295274649608</v>
      </c>
      <c r="AJ257" s="40" t="n">
        <f aca="false">I257*(1-p_ChPct)</f>
        <v>28.8469394500596</v>
      </c>
      <c r="AK257" s="40" t="n">
        <f aca="false">I257+1*Y257</f>
        <v>31.4797719190487</v>
      </c>
      <c r="AL257" s="40" t="n">
        <f aca="false">I257+2*Y257</f>
        <v>32.2713103805871</v>
      </c>
      <c r="AM257" s="40" t="n">
        <f aca="false">I257+3*Y257</f>
        <v>33.0628488421256</v>
      </c>
      <c r="AN257" s="40" t="n">
        <f aca="false">I257-1*Y257</f>
        <v>29.8966949959717</v>
      </c>
      <c r="AO257" s="40" t="n">
        <f aca="false">I257-2*Y257</f>
        <v>29.1051565344333</v>
      </c>
      <c r="AP257" s="40" t="n">
        <f aca="false">I257-3*Y257</f>
        <v>28.3136180728948</v>
      </c>
      <c r="AQ257" s="40" t="n">
        <f aca="true">MAX(OFFSET(C257,1-MIN(p_StochN,ROW()-4),0,MIN(p_StochN,ROW()-4),1))</f>
        <v>31.25</v>
      </c>
      <c r="AR257" s="40" t="n">
        <f aca="true">MIN(OFFSET(D257,1-MIN(p_StochN,ROW()-4),0,MIN(p_StochN,ROW()-4),1))</f>
        <v>29.73</v>
      </c>
      <c r="AS257" s="45" t="n">
        <f aca="false">IF(AQ257=AR257,50,100*(E257-AR257)/(AQ257-AR257))</f>
        <v>57.8947368421052</v>
      </c>
      <c r="AT257" s="45" t="n">
        <f aca="true">AVERAGE(OFFSET(AS257,1-MIN(p_StochSm,ROW()-4),0,MIN(p_StochSm,ROW()-4),1))</f>
        <v>33.4476099411244</v>
      </c>
      <c r="AU257" s="45" t="n">
        <f aca="true">AVERAGE(OFFSET(AT257,1-MIN(p_StochSm,ROW()-4),0,MIN(p_StochSm,ROW()-4),1))</f>
        <v>23.3271780509245</v>
      </c>
      <c r="AV257" s="41" t="n">
        <f aca="false">MAX(0,H257-D257)</f>
        <v>1.17027130254002</v>
      </c>
      <c r="AW257" s="41" t="n">
        <f aca="true">IF(COUNTIF(OFFSET(AV257,1-MIN(p_PenLb,ROW()-4),0,MIN(p_PenLb,ROW()-4),1),"&gt;0")&gt;0,SUM(OFFSET(AV257,1-MIN(p_PenLb,ROW()-4),0,MIN(p_PenLb,ROW()-4),1))/COUNTIF(OFFSET(AV257,1-MIN(p_PenLb,ROW()-4),0,MIN(p_PenLb,ROW()-4),1),"&gt;0"),0.5*Y257)</f>
        <v>0.441804834370915</v>
      </c>
      <c r="AX257" s="41" t="n">
        <f aca="false">2*H257-H256</f>
        <v>30.8518927521167</v>
      </c>
      <c r="AY257" s="40" t="n">
        <f aca="false">ROUND(MAX(AX257-AW257,0.01),2)</f>
        <v>30.41</v>
      </c>
      <c r="AZ257" s="40" t="n">
        <f aca="true">IF(MIN(p_StopLb,ROW()-4)&lt;2,D257,SMALL(OFFSET(D257,1-MIN(p_StopLb,ROW()-4),0,MIN(p_StopLb,ROW()-4),1),2))</f>
        <v>29.85</v>
      </c>
      <c r="BA257" s="40" t="n">
        <f aca="false">IF(MOD(ROUND(ROUNDDOWN(MIN(AZ257-0.01,AY257-p_StopAtr*Y257),2)*100,0),50)=0,ROUNDDOWN(MIN(AZ257-0.01,AY257-p_StopAtr*Y257),2)-0.01,ROUNDDOWN(MIN(AZ257-0.01,AY257-p_StopAtr*Y257),2))</f>
        <v>29.61</v>
      </c>
      <c r="BB257" s="40" t="n">
        <f aca="false">ROUND(AI257,2)</f>
        <v>32.53</v>
      </c>
      <c r="BC257" s="40" t="n">
        <f aca="false">IF(AY257-BA257&gt;0,(BB257-AY257)/(AY257-BA257),0)</f>
        <v>2.65</v>
      </c>
      <c r="BD257" s="42" t="n">
        <f aca="false">IF(N257&lt;0,1,0)</f>
        <v>1</v>
      </c>
      <c r="BE257" s="41" t="n">
        <f aca="false">IF(AND(BD257=1,BD256=0),N257,IF(BD257=1,MIN(BE256,N257),BE256))</f>
        <v>-0.284688233685173</v>
      </c>
      <c r="BF257" s="40" t="n">
        <f aca="false">IF(AND(BD257=1,BD256=0),D257,IF(BD257=1,MIN(BF256,D257),BF256))</f>
        <v>29.73</v>
      </c>
      <c r="BG257" s="42" t="n">
        <f aca="false">IF(AND(BD257=1,BD256=0),ROW(),IF(BD257=1,IF(N257&lt;BE256,ROW(),BG256),BG256))</f>
        <v>256</v>
      </c>
      <c r="BH257" s="41" t="n">
        <f aca="false">IF(AND(BD257=1,BD256=0),BE256,BH256)</f>
        <v>-0.153190541609803</v>
      </c>
      <c r="BI257" s="40" t="n">
        <f aca="false">IF(AND(BD257=1,BD256=0),BF256,BI256)</f>
        <v>27.9</v>
      </c>
      <c r="BJ257" s="42" t="n">
        <f aca="false">IF(AND(BD257=1,BD256=0),BG256,BJ256)</f>
        <v>226</v>
      </c>
      <c r="BK257" s="42" t="n">
        <f aca="false">IF(AND(ISNUMBER(BG257),ISNUMBER(BJ257)),BG257-BJ257,"")</f>
        <v>30</v>
      </c>
      <c r="BL257" s="42" t="n">
        <f aca="false">IF(AND(BD257=1,N257&gt;N256,ISNUMBER(BH257),ISNUMBER(BK257)),IF(AND(BE257&gt;BH257,BF257&lt;BI257,BK257&gt;=p_GapMin,BK257&lt;=p_GapMax),1,0),0)</f>
        <v>0</v>
      </c>
      <c r="BM257" s="42" t="n">
        <f aca="false">IF(AND(BL257=1,E257&gt;BI257),1,0)</f>
        <v>0</v>
      </c>
      <c r="BN257" s="42" t="n">
        <f aca="false">IF(BL257=1,IF(BE257&gt;=BH257*0.5,1,0),0)</f>
        <v>0</v>
      </c>
      <c r="BO257" s="42" t="n">
        <f aca="true">IF(V257&gt;MIN(OFFSET(V257,-MIN(p_FiLb-1,ROW()-5),0,MIN(p_FiLb-1,ROW()-5),1)),1,0)</f>
        <v>1</v>
      </c>
      <c r="BP257" s="44" t="n">
        <f aca="true">IF(COUNTIF(OFFSET(V257,1-MIN(100,ROW()-4),0,MIN(100,ROW()-4),1),"&lt;0")&gt;=5,AVERAGEIF(OFFSET(V257,1-MIN(100,ROW()-4),0,MIN(100,ROW()-4),1),"&lt;0"),"")</f>
        <v>-902667.234608011</v>
      </c>
      <c r="BQ257" s="42" t="n">
        <f aca="false">IF(ISNUMBER(BP257),IF(AND(V257&lt;5*BP257,V257&gt;V256,E257&lt;AJ257),1,0),0)</f>
        <v>0</v>
      </c>
      <c r="BR257" s="44" t="n">
        <f aca="true">AVERAGE(OFFSET(F257,1-MIN(5,ROW()-4),0,MIN(5,ROW()-4),1))</f>
        <v>4151500</v>
      </c>
      <c r="BS257" s="42" t="n">
        <f aca="false">IFERROR(IF(MATCH(G257,周线!$A$5:$A$84,0)&lt;=1,"",INDEX(周线!$R$5:$R$84,MATCH(G257,周线!$A$5:$A$84,0)-1)),"")</f>
        <v>1</v>
      </c>
      <c r="BT257" s="42" t="n">
        <f aca="false">IFERROR(IF(MATCH(G257,周线!$A$5:$A$84,0)&lt;=1,"",INDEX(周线!$S$5:$S$84,MATCH(G257,周线!$A$5:$A$84,0)-1)),"")</f>
        <v>0</v>
      </c>
      <c r="BU257" s="42" t="n">
        <f aca="false">IFERROR(IF(MATCH(G257,周线!$A$5:$A$84,0)&lt;=1,"",INDEX(周线!$U$5:$U$84,MATCH(G257,周线!$A$5:$A$84,0)-1)),"")</f>
        <v>0</v>
      </c>
      <c r="BV257" s="42" t="n">
        <f aca="false">IF(AND(BS257=1,S257&lt;&gt;-1,V257&lt;0,BO257=1,E257&lt;=H257,E257&gt;=AJ257),1,0)</f>
        <v>0</v>
      </c>
      <c r="BW257" s="42" t="n">
        <f aca="false">BL257</f>
        <v>0</v>
      </c>
      <c r="BX257" s="42" t="n">
        <f aca="false">BQ257</f>
        <v>0</v>
      </c>
      <c r="BY257" s="42" t="n">
        <f aca="false">IF(BS257=1,10,0)+IF(BU257=1,5,IF(BU257=-1,0,3))+IF(BT257=1,5,0)+IF(AND(AE257&gt;AF257,AH257&gt;AH256),5,0)</f>
        <v>13</v>
      </c>
      <c r="BZ257" s="42" t="n">
        <f aca="false">IF(AND(E257&lt;=H257,E257&gt;=I257),10,IF(AND(E257&gt;=AJ257,E257&lt;I257),6,0))+IF(AND(V257&lt;0,BO257=1),8,0)+IF(AT257&lt;30,7,IF(AT257&lt;50,3,0))</f>
        <v>9</v>
      </c>
      <c r="CA257" s="42" t="n">
        <f aca="false">IF(AND(BV257=1,BW257=1),25,IF(BW257=1,22,IF(BV257=1,15,IF(BX257=1,12,0))))</f>
        <v>0</v>
      </c>
      <c r="CB257" s="42" t="n">
        <f aca="false">IF(W257&gt;0,6,0)+IF(F257&lt;BR257,4,0)</f>
        <v>0</v>
      </c>
      <c r="CC257" s="42" t="n">
        <f aca="false">IF(BC257&gt;=3,15,IF(BC257&gt;=p_RRmin,10,IF(BC257&gt;=1.5,4,0)))</f>
        <v>10</v>
      </c>
      <c r="CD257" s="42" t="n">
        <f aca="false">BY257+BZ257+CA257+CB257+CC257</f>
        <v>32</v>
      </c>
      <c r="CE257" s="42" t="n">
        <f aca="false">IF(AND(BS257&lt;&gt;1,BW257+BX257=0),1,0)</f>
        <v>0</v>
      </c>
      <c r="CF257" s="42" t="n">
        <f aca="false">IF(BU257=-1,1,0)</f>
        <v>0</v>
      </c>
      <c r="CG257" s="42" t="n">
        <f aca="false">IF(S257=-1,1,0)</f>
        <v>0</v>
      </c>
      <c r="CH257" s="42" t="n">
        <f aca="false">IF(BV257+BW257+BX257=0,1,0)</f>
        <v>1</v>
      </c>
      <c r="CI257" s="42" t="n">
        <f aca="false">IF(BC257&lt;p_RRmin,1,0)</f>
        <v>0</v>
      </c>
      <c r="CJ257" s="46" t="str">
        <f aca="false">IF(SUM(CE257:CI257)=0,IF(CD257&gt;=p_GradeA,"A",IF(CD257&gt;=p_GradeB,"B","C")),IF(AND(CI257=1,SUM(CE257:CH257)=0,CD257&gt;=p_GradeB),"B","C"))</f>
        <v>C</v>
      </c>
    </row>
    <row r="258" customFormat="false" ht="15" hidden="false" customHeight="false" outlineLevel="0" collapsed="false">
      <c r="A258" s="36" t="n">
        <v>46014</v>
      </c>
      <c r="B258" s="37" t="n">
        <v>30.63</v>
      </c>
      <c r="C258" s="37" t="n">
        <v>30.76</v>
      </c>
      <c r="D258" s="37" t="n">
        <v>30.28</v>
      </c>
      <c r="E258" s="37" t="n">
        <v>30.46</v>
      </c>
      <c r="F258" s="38" t="n">
        <v>3891600</v>
      </c>
      <c r="G258" s="39" t="n">
        <f aca="false">A258-WEEKDAY(A258,3)</f>
        <v>46013</v>
      </c>
      <c r="H258" s="40" t="n">
        <f aca="false">2/(p_EmaF+1)*E258+(1-2/(p_EmaF+1))*H257</f>
        <v>30.8373754021772</v>
      </c>
      <c r="I258" s="40" t="n">
        <f aca="false">2/(p_EmaS+1)*E258+(1-2/(p_EmaS+1))*I257</f>
        <v>30.6713272754724</v>
      </c>
      <c r="J258" s="41" t="n">
        <f aca="false">2/(p_MacdF+1)*E258+(1-2/(p_MacdF+1))*J257</f>
        <v>30.8218756529355</v>
      </c>
      <c r="K258" s="41" t="n">
        <f aca="false">2/(p_MacdS+1)*E258+(1-2/(p_MacdS+1))*K257</f>
        <v>30.6713272754724</v>
      </c>
      <c r="L258" s="41" t="n">
        <f aca="false">J258-K258</f>
        <v>0.150548377463132</v>
      </c>
      <c r="M258" s="41" t="n">
        <f aca="false">2/(p_MacdSig+1)*L258+(1-2/(p_MacdSig+1))*M257</f>
        <v>0.400165640569472</v>
      </c>
      <c r="N258" s="41" t="n">
        <f aca="false">L258-M258</f>
        <v>-0.24961726310634</v>
      </c>
      <c r="O258" s="42" t="n">
        <f aca="false">IF(H258&gt;H257,1,0)</f>
        <v>0</v>
      </c>
      <c r="P258" s="42" t="n">
        <f aca="false">IF(H258&lt;H257,1,0)</f>
        <v>1</v>
      </c>
      <c r="Q258" s="42" t="n">
        <f aca="false">IF(N258&gt;N257,1,0)</f>
        <v>1</v>
      </c>
      <c r="R258" s="42" t="n">
        <f aca="false">IF(N258&lt;N257,1,0)</f>
        <v>0</v>
      </c>
      <c r="S258" s="42" t="n">
        <f aca="false">IF(AND(O258=1,Q258=1),1,IF(AND(P258=1,R258=1),-1,0))</f>
        <v>0</v>
      </c>
      <c r="T258" s="43" t="str">
        <f aca="false">IF(S258=1,"绿",IF(S258=-1,"红","蓝"))</f>
        <v>蓝</v>
      </c>
      <c r="U258" s="44" t="n">
        <f aca="false">F258*(E258-E257)</f>
        <v>-583739.999999994</v>
      </c>
      <c r="V258" s="44" t="n">
        <f aca="false">2/(p_FiS+1)*U258+(1-2/(p_FiS+1))*V257</f>
        <v>19565.3806030307</v>
      </c>
      <c r="W258" s="44" t="n">
        <f aca="false">2/(p_FiL+1)*U258+(1-2/(p_FiL+1))*W257</f>
        <v>-160364.705979234</v>
      </c>
      <c r="X258" s="41" t="n">
        <f aca="false">MAX(C258-D258,ABS(C258-E257),ABS(D258-E257))</f>
        <v>0.48</v>
      </c>
      <c r="Y258" s="41" t="n">
        <f aca="true">AVERAGE(OFFSET(X258,1-MIN(p_AtrN,ROW()-4),0,MIN(p_AtrN,ROW()-4),1))</f>
        <v>0.756923076923077</v>
      </c>
      <c r="Z258" s="41" t="n">
        <f aca="false">IF(AND(C258-C257&gt;D257-D258,C258-C257&gt;0),C258-C257,0)</f>
        <v>0</v>
      </c>
      <c r="AA258" s="41" t="n">
        <f aca="false">IF(AND(D257-D258&gt;C258-C257,D257-D258&gt;0),D257-D258,0)</f>
        <v>0</v>
      </c>
      <c r="AB258" s="41" t="n">
        <f aca="false">2/(p_AdxN+1)*X258+(1-2/(p_AdxN+1))*AB257</f>
        <v>0.799243008455195</v>
      </c>
      <c r="AC258" s="41" t="n">
        <f aca="false">2/(p_AdxN+1)*Z258+(1-2/(p_AdxN+1))*AC257</f>
        <v>0.0600446979823575</v>
      </c>
      <c r="AD258" s="41" t="n">
        <f aca="false">2/(p_AdxN+1)*AA258+(1-2/(p_AdxN+1))*AD257</f>
        <v>0.160762088588207</v>
      </c>
      <c r="AE258" s="45" t="n">
        <f aca="false">100*AC258/AB258</f>
        <v>7.51269605703702</v>
      </c>
      <c r="AF258" s="45" t="n">
        <f aca="false">100*AD258/AB258</f>
        <v>20.1142940116465</v>
      </c>
      <c r="AG258" s="45" t="n">
        <f aca="false">IFERROR(100*ABS(AE258-AF258)/(AE258+AF258),0)</f>
        <v>45.6133582532177</v>
      </c>
      <c r="AH258" s="45" t="n">
        <f aca="false">2/(p_AdxN+1)*AG258+(1-2/(p_AdxN+1))*AH257</f>
        <v>33.3085934432962</v>
      </c>
      <c r="AI258" s="40" t="n">
        <f aca="false">I258*(1+p_ChPct)</f>
        <v>32.5116069120007</v>
      </c>
      <c r="AJ258" s="40" t="n">
        <f aca="false">I258*(1-p_ChPct)</f>
        <v>28.8310476389441</v>
      </c>
      <c r="AK258" s="40" t="n">
        <f aca="false">I258+1*Y258</f>
        <v>31.4282503523955</v>
      </c>
      <c r="AL258" s="40" t="n">
        <f aca="false">I258+2*Y258</f>
        <v>32.1851734293186</v>
      </c>
      <c r="AM258" s="40" t="n">
        <f aca="false">I258+3*Y258</f>
        <v>32.9420965062416</v>
      </c>
      <c r="AN258" s="40" t="n">
        <f aca="false">I258-1*Y258</f>
        <v>29.9144041985493</v>
      </c>
      <c r="AO258" s="40" t="n">
        <f aca="false">I258-2*Y258</f>
        <v>29.1574811216262</v>
      </c>
      <c r="AP258" s="40" t="n">
        <f aca="false">I258-3*Y258</f>
        <v>28.4005580447032</v>
      </c>
      <c r="AQ258" s="40" t="n">
        <f aca="true">MAX(OFFSET(C258,1-MIN(p_StochN,ROW()-4),0,MIN(p_StochN,ROW()-4),1))</f>
        <v>31.16</v>
      </c>
      <c r="AR258" s="40" t="n">
        <f aca="true">MIN(OFFSET(D258,1-MIN(p_StochN,ROW()-4),0,MIN(p_StochN,ROW()-4),1))</f>
        <v>29.73</v>
      </c>
      <c r="AS258" s="45" t="n">
        <f aca="false">IF(AQ258=AR258,50,100*(E258-AR258)/(AQ258-AR258))</f>
        <v>51.0489510489511</v>
      </c>
      <c r="AT258" s="45" t="n">
        <f aca="true">AVERAGE(OFFSET(AS258,1-MIN(p_StochSm,ROW()-4),0,MIN(p_StochSm,ROW()-4),1))</f>
        <v>39.9480539415685</v>
      </c>
      <c r="AU258" s="45" t="n">
        <f aca="true">AVERAGE(OFFSET(AT258,1-MIN(p_StochSm,ROW()-4),0,MIN(p_StochSm,ROW()-4),1))</f>
        <v>30.6968275850789</v>
      </c>
      <c r="AV258" s="41" t="n">
        <f aca="false">MAX(0,H258-D258)</f>
        <v>0.557375402177161</v>
      </c>
      <c r="AW258" s="41" t="n">
        <f aca="true">IF(COUNTIF(OFFSET(AV258,1-MIN(p_PenLb,ROW()-4),0,MIN(p_PenLb,ROW()-4),1),"&gt;0")&gt;0,SUM(OFFSET(AV258,1-MIN(p_PenLb,ROW()-4),0,MIN(p_PenLb,ROW()-4),1))/COUNTIF(OFFSET(AV258,1-MIN(p_PenLb,ROW()-4),0,MIN(p_PenLb,ROW()-4),1),"&gt;0"),0.5*Y258)</f>
        <v>0.473754545201387</v>
      </c>
      <c r="AX258" s="41" t="n">
        <f aca="false">2*H258-H257</f>
        <v>30.7744795018143</v>
      </c>
      <c r="AY258" s="40" t="n">
        <f aca="false">ROUND(MAX(AX258-AW258,0.01),2)</f>
        <v>30.3</v>
      </c>
      <c r="AZ258" s="40" t="n">
        <f aca="true">IF(MIN(p_StopLb,ROW()-4)&lt;2,D258,SMALL(OFFSET(D258,1-MIN(p_StopLb,ROW()-4),0,MIN(p_StopLb,ROW()-4),1),2))</f>
        <v>29.85</v>
      </c>
      <c r="BA258" s="40" t="n">
        <f aca="false">IF(MOD(ROUND(ROUNDDOWN(MIN(AZ258-0.01,AY258-p_StopAtr*Y258),2)*100,0),50)=0,ROUNDDOWN(MIN(AZ258-0.01,AY258-p_StopAtr*Y258),2)-0.01,ROUNDDOWN(MIN(AZ258-0.01,AY258-p_StopAtr*Y258),2))</f>
        <v>29.54</v>
      </c>
      <c r="BB258" s="40" t="n">
        <f aca="false">ROUND(AI258,2)</f>
        <v>32.51</v>
      </c>
      <c r="BC258" s="40" t="n">
        <f aca="false">IF(AY258-BA258&gt;0,(BB258-AY258)/(AY258-BA258),0)</f>
        <v>2.9078947368421</v>
      </c>
      <c r="BD258" s="42" t="n">
        <f aca="false">IF(N258&lt;0,1,0)</f>
        <v>1</v>
      </c>
      <c r="BE258" s="41" t="n">
        <f aca="false">IF(AND(BD258=1,BD257=0),N258,IF(BD258=1,MIN(BE257,N258),BE257))</f>
        <v>-0.284688233685173</v>
      </c>
      <c r="BF258" s="40" t="n">
        <f aca="false">IF(AND(BD258=1,BD257=0),D258,IF(BD258=1,MIN(BF257,D258),BF257))</f>
        <v>29.73</v>
      </c>
      <c r="BG258" s="42" t="n">
        <f aca="false">IF(AND(BD258=1,BD257=0),ROW(),IF(BD258=1,IF(N258&lt;BE257,ROW(),BG257),BG257))</f>
        <v>256</v>
      </c>
      <c r="BH258" s="41" t="n">
        <f aca="false">IF(AND(BD258=1,BD257=0),BE257,BH257)</f>
        <v>-0.153190541609803</v>
      </c>
      <c r="BI258" s="40" t="n">
        <f aca="false">IF(AND(BD258=1,BD257=0),BF257,BI257)</f>
        <v>27.9</v>
      </c>
      <c r="BJ258" s="42" t="n">
        <f aca="false">IF(AND(BD258=1,BD257=0),BG257,BJ257)</f>
        <v>226</v>
      </c>
      <c r="BK258" s="42" t="n">
        <f aca="false">IF(AND(ISNUMBER(BG258),ISNUMBER(BJ258)),BG258-BJ258,"")</f>
        <v>30</v>
      </c>
      <c r="BL258" s="42" t="n">
        <f aca="false">IF(AND(BD258=1,N258&gt;N257,ISNUMBER(BH258),ISNUMBER(BK258)),IF(AND(BE258&gt;BH258,BF258&lt;BI258,BK258&gt;=p_GapMin,BK258&lt;=p_GapMax),1,0),0)</f>
        <v>0</v>
      </c>
      <c r="BM258" s="42" t="n">
        <f aca="false">IF(AND(BL258=1,E258&gt;BI258),1,0)</f>
        <v>0</v>
      </c>
      <c r="BN258" s="42" t="n">
        <f aca="false">IF(BL258=1,IF(BE258&gt;=BH258*0.5,1,0),0)</f>
        <v>0</v>
      </c>
      <c r="BO258" s="42" t="n">
        <f aca="true">IF(V258&gt;MIN(OFFSET(V258,-MIN(p_FiLb-1,ROW()-5),0,MIN(p_FiLb-1,ROW()-5),1)),1,0)</f>
        <v>1</v>
      </c>
      <c r="BP258" s="44" t="n">
        <f aca="true">IF(COUNTIF(OFFSET(V258,1-MIN(100,ROW()-4),0,MIN(100,ROW()-4),1),"&lt;0")&gt;=5,AVERAGEIF(OFFSET(V258,1-MIN(100,ROW()-4),0,MIN(100,ROW()-4),1),"&lt;0"),"")</f>
        <v>-924101.613964107</v>
      </c>
      <c r="BQ258" s="42" t="n">
        <f aca="false">IF(ISNUMBER(BP258),IF(AND(V258&lt;5*BP258,V258&gt;V257,E258&lt;AJ258),1,0),0)</f>
        <v>0</v>
      </c>
      <c r="BR258" s="44" t="n">
        <f aca="true">AVERAGE(OFFSET(F258,1-MIN(5,ROW()-4),0,MIN(5,ROW()-4),1))</f>
        <v>4019840</v>
      </c>
      <c r="BS258" s="42" t="n">
        <f aca="false">IFERROR(IF(MATCH(G258,周线!$A$5:$A$84,0)&lt;=1,"",INDEX(周线!$R$5:$R$84,MATCH(G258,周线!$A$5:$A$84,0)-1)),"")</f>
        <v>1</v>
      </c>
      <c r="BT258" s="42" t="n">
        <f aca="false">IFERROR(IF(MATCH(G258,周线!$A$5:$A$84,0)&lt;=1,"",INDEX(周线!$S$5:$S$84,MATCH(G258,周线!$A$5:$A$84,0)-1)),"")</f>
        <v>0</v>
      </c>
      <c r="BU258" s="42" t="n">
        <f aca="false">IFERROR(IF(MATCH(G258,周线!$A$5:$A$84,0)&lt;=1,"",INDEX(周线!$U$5:$U$84,MATCH(G258,周线!$A$5:$A$84,0)-1)),"")</f>
        <v>0</v>
      </c>
      <c r="BV258" s="42" t="n">
        <f aca="false">IF(AND(BS258=1,S258&lt;&gt;-1,V258&lt;0,BO258=1,E258&lt;=H258,E258&gt;=AJ258),1,0)</f>
        <v>0</v>
      </c>
      <c r="BW258" s="42" t="n">
        <f aca="false">BL258</f>
        <v>0</v>
      </c>
      <c r="BX258" s="42" t="n">
        <f aca="false">BQ258</f>
        <v>0</v>
      </c>
      <c r="BY258" s="42" t="n">
        <f aca="false">IF(BS258=1,10,0)+IF(BU258=1,5,IF(BU258=-1,0,3))+IF(BT258=1,5,0)+IF(AND(AE258&gt;AF258,AH258&gt;AH257),5,0)</f>
        <v>13</v>
      </c>
      <c r="BZ258" s="42" t="n">
        <f aca="false">IF(AND(E258&lt;=H258,E258&gt;=I258),10,IF(AND(E258&gt;=AJ258,E258&lt;I258),6,0))+IF(AND(V258&lt;0,BO258=1),8,0)+IF(AT258&lt;30,7,IF(AT258&lt;50,3,0))</f>
        <v>9</v>
      </c>
      <c r="CA258" s="42" t="n">
        <f aca="false">IF(AND(BV258=1,BW258=1),25,IF(BW258=1,22,IF(BV258=1,15,IF(BX258=1,12,0))))</f>
        <v>0</v>
      </c>
      <c r="CB258" s="42" t="n">
        <f aca="false">IF(W258&gt;0,6,0)+IF(F258&lt;BR258,4,0)</f>
        <v>4</v>
      </c>
      <c r="CC258" s="42" t="n">
        <f aca="false">IF(BC258&gt;=3,15,IF(BC258&gt;=p_RRmin,10,IF(BC258&gt;=1.5,4,0)))</f>
        <v>10</v>
      </c>
      <c r="CD258" s="42" t="n">
        <f aca="false">BY258+BZ258+CA258+CB258+CC258</f>
        <v>36</v>
      </c>
      <c r="CE258" s="42" t="n">
        <f aca="false">IF(AND(BS258&lt;&gt;1,BW258+BX258=0),1,0)</f>
        <v>0</v>
      </c>
      <c r="CF258" s="42" t="n">
        <f aca="false">IF(BU258=-1,1,0)</f>
        <v>0</v>
      </c>
      <c r="CG258" s="42" t="n">
        <f aca="false">IF(S258=-1,1,0)</f>
        <v>0</v>
      </c>
      <c r="CH258" s="42" t="n">
        <f aca="false">IF(BV258+BW258+BX258=0,1,0)</f>
        <v>1</v>
      </c>
      <c r="CI258" s="42" t="n">
        <f aca="false">IF(BC258&lt;p_RRmin,1,0)</f>
        <v>0</v>
      </c>
      <c r="CJ258" s="46" t="str">
        <f aca="false">IF(SUM(CE258:CI258)=0,IF(CD258&gt;=p_GradeA,"A",IF(CD258&gt;=p_GradeB,"B","C")),IF(AND(CI258=1,SUM(CE258:CH258)=0,CD258&gt;=p_GradeB),"B","C"))</f>
        <v>C</v>
      </c>
    </row>
    <row r="259" customFormat="false" ht="15" hidden="false" customHeight="false" outlineLevel="0" collapsed="false">
      <c r="A259" s="36" t="n">
        <v>46015</v>
      </c>
      <c r="B259" s="37" t="n">
        <v>30.57</v>
      </c>
      <c r="C259" s="37" t="n">
        <v>30.75</v>
      </c>
      <c r="D259" s="37" t="n">
        <v>29.43</v>
      </c>
      <c r="E259" s="37" t="n">
        <v>29.72</v>
      </c>
      <c r="F259" s="38" t="n">
        <v>4960600</v>
      </c>
      <c r="G259" s="39" t="n">
        <f aca="false">A259-WEEKDAY(A259,3)</f>
        <v>46013</v>
      </c>
      <c r="H259" s="40" t="n">
        <f aca="false">2/(p_EmaF+1)*E259+(1-2/(p_EmaF+1))*H258</f>
        <v>30.6777503447233</v>
      </c>
      <c r="I259" s="40" t="n">
        <f aca="false">2/(p_EmaS+1)*E259+(1-2/(p_EmaS+1))*I258</f>
        <v>30.6008585884004</v>
      </c>
      <c r="J259" s="41" t="n">
        <f aca="false">2/(p_MacdF+1)*E259+(1-2/(p_MacdF+1))*J258</f>
        <v>30.6523563217147</v>
      </c>
      <c r="K259" s="41" t="n">
        <f aca="false">2/(p_MacdS+1)*E259+(1-2/(p_MacdS+1))*K258</f>
        <v>30.6008585884004</v>
      </c>
      <c r="L259" s="41" t="n">
        <f aca="false">J259-K259</f>
        <v>0.0514977333143101</v>
      </c>
      <c r="M259" s="41" t="n">
        <f aca="false">2/(p_MacdSig+1)*L259+(1-2/(p_MacdSig+1))*M258</f>
        <v>0.33043205911844</v>
      </c>
      <c r="N259" s="41" t="n">
        <f aca="false">L259-M259</f>
        <v>-0.27893432580413</v>
      </c>
      <c r="O259" s="42" t="n">
        <f aca="false">IF(H259&gt;H258,1,0)</f>
        <v>0</v>
      </c>
      <c r="P259" s="42" t="n">
        <f aca="false">IF(H259&lt;H258,1,0)</f>
        <v>1</v>
      </c>
      <c r="Q259" s="42" t="n">
        <f aca="false">IF(N259&gt;N258,1,0)</f>
        <v>0</v>
      </c>
      <c r="R259" s="42" t="n">
        <f aca="false">IF(N259&lt;N258,1,0)</f>
        <v>1</v>
      </c>
      <c r="S259" s="42" t="n">
        <f aca="false">IF(AND(O259=1,Q259=1),1,IF(AND(P259=1,R259=1),-1,0))</f>
        <v>-1</v>
      </c>
      <c r="T259" s="43" t="str">
        <f aca="false">IF(S259=1,"绿",IF(S259=-1,"红","蓝"))</f>
        <v>红</v>
      </c>
      <c r="U259" s="44" t="n">
        <f aca="false">F259*(E259-E258)</f>
        <v>-3670844.00000001</v>
      </c>
      <c r="V259" s="44" t="n">
        <f aca="false">2/(p_FiS+1)*U259+(1-2/(p_FiS+1))*V258</f>
        <v>-2440707.539799</v>
      </c>
      <c r="W259" s="44" t="n">
        <f aca="false">2/(p_FiL+1)*U259+(1-2/(p_FiL+1))*W258</f>
        <v>-661861.747982202</v>
      </c>
      <c r="X259" s="41" t="n">
        <f aca="false">MAX(C259-D259,ABS(C259-E258),ABS(D259-E258))</f>
        <v>1.32</v>
      </c>
      <c r="Y259" s="41" t="n">
        <f aca="true">AVERAGE(OFFSET(X259,1-MIN(p_AtrN,ROW()-4),0,MIN(p_AtrN,ROW()-4),1))</f>
        <v>0.753846153846154</v>
      </c>
      <c r="Z259" s="41" t="n">
        <f aca="false">IF(AND(C259-C258&gt;D258-D259,C259-C258&gt;0),C259-C258,0)</f>
        <v>0</v>
      </c>
      <c r="AA259" s="41" t="n">
        <f aca="false">IF(AND(D258-D259&gt;C259-C258,D258-D259&gt;0),D258-D259,0)</f>
        <v>0.850000000000001</v>
      </c>
      <c r="AB259" s="41" t="n">
        <f aca="false">2/(p_AdxN+1)*X259+(1-2/(p_AdxN+1))*AB258</f>
        <v>0.873636864390167</v>
      </c>
      <c r="AC259" s="41" t="n">
        <f aca="false">2/(p_AdxN+1)*Z259+(1-2/(p_AdxN+1))*AC258</f>
        <v>0.0514668839848778</v>
      </c>
      <c r="AD259" s="41" t="n">
        <f aca="false">2/(p_AdxN+1)*AA259+(1-2/(p_AdxN+1))*AD258</f>
        <v>0.25922464736132</v>
      </c>
      <c r="AE259" s="45" t="n">
        <f aca="false">100*AC259/AB259</f>
        <v>5.89110717309345</v>
      </c>
      <c r="AF259" s="45" t="n">
        <f aca="false">100*AD259/AB259</f>
        <v>29.6718989236185</v>
      </c>
      <c r="AG259" s="45" t="n">
        <f aca="false">IFERROR(100*ABS(AE259-AF259)/(AE259+AF259),0)</f>
        <v>66.8694645381054</v>
      </c>
      <c r="AH259" s="45" t="n">
        <f aca="false">2/(p_AdxN+1)*AG259+(1-2/(p_AdxN+1))*AH258</f>
        <v>38.1030035996975</v>
      </c>
      <c r="AI259" s="40" t="n">
        <f aca="false">I259*(1+p_ChPct)</f>
        <v>32.4369101037044</v>
      </c>
      <c r="AJ259" s="40" t="n">
        <f aca="false">I259*(1-p_ChPct)</f>
        <v>28.7648070730963</v>
      </c>
      <c r="AK259" s="40" t="n">
        <f aca="false">I259+1*Y259</f>
        <v>31.3547047422465</v>
      </c>
      <c r="AL259" s="40" t="n">
        <f aca="false">I259+2*Y259</f>
        <v>32.1085508960927</v>
      </c>
      <c r="AM259" s="40" t="n">
        <f aca="false">I259+3*Y259</f>
        <v>32.8623970499388</v>
      </c>
      <c r="AN259" s="40" t="n">
        <f aca="false">I259-1*Y259</f>
        <v>29.8470124345542</v>
      </c>
      <c r="AO259" s="40" t="n">
        <f aca="false">I259-2*Y259</f>
        <v>29.0931662807081</v>
      </c>
      <c r="AP259" s="40" t="n">
        <f aca="false">I259-3*Y259</f>
        <v>28.3393201268619</v>
      </c>
      <c r="AQ259" s="40" t="n">
        <f aca="true">MAX(OFFSET(C259,1-MIN(p_StochN,ROW()-4),0,MIN(p_StochN,ROW()-4),1))</f>
        <v>31.16</v>
      </c>
      <c r="AR259" s="40" t="n">
        <f aca="true">MIN(OFFSET(D259,1-MIN(p_StochN,ROW()-4),0,MIN(p_StochN,ROW()-4),1))</f>
        <v>29.43</v>
      </c>
      <c r="AS259" s="45" t="n">
        <f aca="false">IF(AQ259=AR259,50,100*(E259-AR259)/(AQ259-AR259))</f>
        <v>16.7630057803468</v>
      </c>
      <c r="AT259" s="45" t="n">
        <f aca="true">AVERAGE(OFFSET(AS259,1-MIN(p_StochSm,ROW()-4),0,MIN(p_StochSm,ROW()-4),1))</f>
        <v>41.902231223801</v>
      </c>
      <c r="AU259" s="45" t="n">
        <f aca="true">AVERAGE(OFFSET(AT259,1-MIN(p_StochSm,ROW()-4),0,MIN(p_StochSm,ROW()-4),1))</f>
        <v>38.4326317021646</v>
      </c>
      <c r="AV259" s="41" t="n">
        <f aca="false">MAX(0,H259-D259)</f>
        <v>1.24775034472328</v>
      </c>
      <c r="AW259" s="41" t="n">
        <f aca="true">IF(COUNTIF(OFFSET(AV259,1-MIN(p_PenLb,ROW()-4),0,MIN(p_PenLb,ROW()-4),1),"&gt;0")&gt;0,SUM(OFFSET(AV259,1-MIN(p_PenLb,ROW()-4),0,MIN(p_PenLb,ROW()-4),1))/COUNTIF(OFFSET(AV259,1-MIN(p_PenLb,ROW()-4),0,MIN(p_PenLb,ROW()-4),1),"&gt;0"),0.5*Y259)</f>
        <v>0.546938330955237</v>
      </c>
      <c r="AX259" s="41" t="n">
        <f aca="false">2*H259-H258</f>
        <v>30.5181252872694</v>
      </c>
      <c r="AY259" s="40" t="n">
        <f aca="false">ROUND(MAX(AX259-AW259,0.01),2)</f>
        <v>29.97</v>
      </c>
      <c r="AZ259" s="40" t="n">
        <f aca="true">IF(MIN(p_StopLb,ROW()-4)&lt;2,D259,SMALL(OFFSET(D259,1-MIN(p_StopLb,ROW()-4),0,MIN(p_StopLb,ROW()-4),1),2))</f>
        <v>29.73</v>
      </c>
      <c r="BA259" s="40" t="n">
        <f aca="false">IF(MOD(ROUND(ROUNDDOWN(MIN(AZ259-0.01,AY259-p_StopAtr*Y259),2)*100,0),50)=0,ROUNDDOWN(MIN(AZ259-0.01,AY259-p_StopAtr*Y259),2)-0.01,ROUNDDOWN(MIN(AZ259-0.01,AY259-p_StopAtr*Y259),2))</f>
        <v>29.21</v>
      </c>
      <c r="BB259" s="40" t="n">
        <f aca="false">ROUND(AI259,2)</f>
        <v>32.44</v>
      </c>
      <c r="BC259" s="40" t="n">
        <f aca="false">IF(AY259-BA259&gt;0,(BB259-AY259)/(AY259-BA259),0)</f>
        <v>3.25000000000001</v>
      </c>
      <c r="BD259" s="42" t="n">
        <f aca="false">IF(N259&lt;0,1,0)</f>
        <v>1</v>
      </c>
      <c r="BE259" s="41" t="n">
        <f aca="false">IF(AND(BD259=1,BD258=0),N259,IF(BD259=1,MIN(BE258,N259),BE258))</f>
        <v>-0.284688233685173</v>
      </c>
      <c r="BF259" s="40" t="n">
        <f aca="false">IF(AND(BD259=1,BD258=0),D259,IF(BD259=1,MIN(BF258,D259),BF258))</f>
        <v>29.43</v>
      </c>
      <c r="BG259" s="42" t="n">
        <f aca="false">IF(AND(BD259=1,BD258=0),ROW(),IF(BD259=1,IF(N259&lt;BE258,ROW(),BG258),BG258))</f>
        <v>256</v>
      </c>
      <c r="BH259" s="41" t="n">
        <f aca="false">IF(AND(BD259=1,BD258=0),BE258,BH258)</f>
        <v>-0.153190541609803</v>
      </c>
      <c r="BI259" s="40" t="n">
        <f aca="false">IF(AND(BD259=1,BD258=0),BF258,BI258)</f>
        <v>27.9</v>
      </c>
      <c r="BJ259" s="42" t="n">
        <f aca="false">IF(AND(BD259=1,BD258=0),BG258,BJ258)</f>
        <v>226</v>
      </c>
      <c r="BK259" s="42" t="n">
        <f aca="false">IF(AND(ISNUMBER(BG259),ISNUMBER(BJ259)),BG259-BJ259,"")</f>
        <v>30</v>
      </c>
      <c r="BL259" s="42" t="n">
        <f aca="false">IF(AND(BD259=1,N259&gt;N258,ISNUMBER(BH259),ISNUMBER(BK259)),IF(AND(BE259&gt;BH259,BF259&lt;BI259,BK259&gt;=p_GapMin,BK259&lt;=p_GapMax),1,0),0)</f>
        <v>0</v>
      </c>
      <c r="BM259" s="42" t="n">
        <f aca="false">IF(AND(BL259=1,E259&gt;BI259),1,0)</f>
        <v>0</v>
      </c>
      <c r="BN259" s="42" t="n">
        <f aca="false">IF(BL259=1,IF(BE259&gt;=BH259*0.5,1,0),0)</f>
        <v>0</v>
      </c>
      <c r="BO259" s="42" t="n">
        <f aca="true">IF(V259&gt;MIN(OFFSET(V259,-MIN(p_FiLb-1,ROW()-5),0,MIN(p_FiLb-1,ROW()-5),1)),1,0)</f>
        <v>1</v>
      </c>
      <c r="BP259" s="44" t="n">
        <f aca="true">IF(COUNTIF(OFFSET(V259,1-MIN(100,ROW()-4),0,MIN(100,ROW()-4),1),"&lt;0")&gt;=5,AVERAGEIF(OFFSET(V259,1-MIN(100,ROW()-4),0,MIN(100,ROW()-4),1),"&lt;0"),"")</f>
        <v>-982795.468622714</v>
      </c>
      <c r="BQ259" s="42" t="n">
        <f aca="false">IF(ISNUMBER(BP259),IF(AND(V259&lt;5*BP259,V259&gt;V258,E259&lt;AJ259),1,0),0)</f>
        <v>0</v>
      </c>
      <c r="BR259" s="44" t="n">
        <f aca="true">AVERAGE(OFFSET(F259,1-MIN(5,ROW()-4),0,MIN(5,ROW()-4),1))</f>
        <v>4215780</v>
      </c>
      <c r="BS259" s="42" t="n">
        <f aca="false">IFERROR(IF(MATCH(G259,周线!$A$5:$A$84,0)&lt;=1,"",INDEX(周线!$R$5:$R$84,MATCH(G259,周线!$A$5:$A$84,0)-1)),"")</f>
        <v>1</v>
      </c>
      <c r="BT259" s="42" t="n">
        <f aca="false">IFERROR(IF(MATCH(G259,周线!$A$5:$A$84,0)&lt;=1,"",INDEX(周线!$S$5:$S$84,MATCH(G259,周线!$A$5:$A$84,0)-1)),"")</f>
        <v>0</v>
      </c>
      <c r="BU259" s="42" t="n">
        <f aca="false">IFERROR(IF(MATCH(G259,周线!$A$5:$A$84,0)&lt;=1,"",INDEX(周线!$U$5:$U$84,MATCH(G259,周线!$A$5:$A$84,0)-1)),"")</f>
        <v>0</v>
      </c>
      <c r="BV259" s="42" t="n">
        <f aca="false">IF(AND(BS259=1,S259&lt;&gt;-1,V259&lt;0,BO259=1,E259&lt;=H259,E259&gt;=AJ259),1,0)</f>
        <v>0</v>
      </c>
      <c r="BW259" s="42" t="n">
        <f aca="false">BL259</f>
        <v>0</v>
      </c>
      <c r="BX259" s="42" t="n">
        <f aca="false">BQ259</f>
        <v>0</v>
      </c>
      <c r="BY259" s="42" t="n">
        <f aca="false">IF(BS259=1,10,0)+IF(BU259=1,5,IF(BU259=-1,0,3))+IF(BT259=1,5,0)+IF(AND(AE259&gt;AF259,AH259&gt;AH258),5,0)</f>
        <v>13</v>
      </c>
      <c r="BZ259" s="42" t="n">
        <f aca="false">IF(AND(E259&lt;=H259,E259&gt;=I259),10,IF(AND(E259&gt;=AJ259,E259&lt;I259),6,0))+IF(AND(V259&lt;0,BO259=1),8,0)+IF(AT259&lt;30,7,IF(AT259&lt;50,3,0))</f>
        <v>17</v>
      </c>
      <c r="CA259" s="42" t="n">
        <f aca="false">IF(AND(BV259=1,BW259=1),25,IF(BW259=1,22,IF(BV259=1,15,IF(BX259=1,12,0))))</f>
        <v>0</v>
      </c>
      <c r="CB259" s="42" t="n">
        <f aca="false">IF(W259&gt;0,6,0)+IF(F259&lt;BR259,4,0)</f>
        <v>0</v>
      </c>
      <c r="CC259" s="42" t="n">
        <f aca="false">IF(BC259&gt;=3,15,IF(BC259&gt;=p_RRmin,10,IF(BC259&gt;=1.5,4,0)))</f>
        <v>15</v>
      </c>
      <c r="CD259" s="42" t="n">
        <f aca="false">BY259+BZ259+CA259+CB259+CC259</f>
        <v>45</v>
      </c>
      <c r="CE259" s="42" t="n">
        <f aca="false">IF(AND(BS259&lt;&gt;1,BW259+BX259=0),1,0)</f>
        <v>0</v>
      </c>
      <c r="CF259" s="42" t="n">
        <f aca="false">IF(BU259=-1,1,0)</f>
        <v>0</v>
      </c>
      <c r="CG259" s="42" t="n">
        <f aca="false">IF(S259=-1,1,0)</f>
        <v>1</v>
      </c>
      <c r="CH259" s="42" t="n">
        <f aca="false">IF(BV259+BW259+BX259=0,1,0)</f>
        <v>1</v>
      </c>
      <c r="CI259" s="42" t="n">
        <f aca="false">IF(BC259&lt;p_RRmin,1,0)</f>
        <v>0</v>
      </c>
      <c r="CJ259" s="46" t="str">
        <f aca="false">IF(SUM(CE259:CI259)=0,IF(CD259&gt;=p_GradeA,"A",IF(CD259&gt;=p_GradeB,"B","C")),IF(AND(CI259=1,SUM(CE259:CH259)=0,CD259&gt;=p_GradeB),"B","C"))</f>
        <v>C</v>
      </c>
    </row>
    <row r="260" customFormat="false" ht="15" hidden="false" customHeight="false" outlineLevel="0" collapsed="false">
      <c r="A260" s="36" t="n">
        <v>46016</v>
      </c>
      <c r="B260" s="37" t="n">
        <v>29.82</v>
      </c>
      <c r="C260" s="37" t="n">
        <v>29.92</v>
      </c>
      <c r="D260" s="37" t="n">
        <v>29.3</v>
      </c>
      <c r="E260" s="37" t="n">
        <v>29.4</v>
      </c>
      <c r="F260" s="38" t="n">
        <v>2708600</v>
      </c>
      <c r="G260" s="39" t="n">
        <f aca="false">A260-WEEKDAY(A260,3)</f>
        <v>46013</v>
      </c>
      <c r="H260" s="40" t="n">
        <f aca="false">2/(p_EmaF+1)*E260+(1-2/(p_EmaF+1))*H259</f>
        <v>30.4952145811914</v>
      </c>
      <c r="I260" s="40" t="n">
        <f aca="false">2/(p_EmaS+1)*E260+(1-2/(p_EmaS+1))*I259</f>
        <v>30.5119061003707</v>
      </c>
      <c r="J260" s="41" t="n">
        <f aca="false">2/(p_MacdF+1)*E260+(1-2/(p_MacdF+1))*J259</f>
        <v>30.459686118374</v>
      </c>
      <c r="K260" s="41" t="n">
        <f aca="false">2/(p_MacdS+1)*E260+(1-2/(p_MacdS+1))*K259</f>
        <v>30.5119061003707</v>
      </c>
      <c r="L260" s="41" t="n">
        <f aca="false">J260-K260</f>
        <v>-0.0522199819967533</v>
      </c>
      <c r="M260" s="41" t="n">
        <f aca="false">2/(p_MacdSig+1)*L260+(1-2/(p_MacdSig+1))*M259</f>
        <v>0.253901650895401</v>
      </c>
      <c r="N260" s="41" t="n">
        <f aca="false">L260-M260</f>
        <v>-0.306121632892154</v>
      </c>
      <c r="O260" s="42" t="n">
        <f aca="false">IF(H260&gt;H259,1,0)</f>
        <v>0</v>
      </c>
      <c r="P260" s="42" t="n">
        <f aca="false">IF(H260&lt;H259,1,0)</f>
        <v>1</v>
      </c>
      <c r="Q260" s="42" t="n">
        <f aca="false">IF(N260&gt;N259,1,0)</f>
        <v>0</v>
      </c>
      <c r="R260" s="42" t="n">
        <f aca="false">IF(N260&lt;N259,1,0)</f>
        <v>1</v>
      </c>
      <c r="S260" s="42" t="n">
        <f aca="false">IF(AND(O260=1,Q260=1),1,IF(AND(P260=1,R260=1),-1,0))</f>
        <v>-1</v>
      </c>
      <c r="T260" s="43" t="str">
        <f aca="false">IF(S260=1,"绿",IF(S260=-1,"红","蓝"))</f>
        <v>红</v>
      </c>
      <c r="U260" s="44" t="n">
        <f aca="false">F260*(E260-E259)</f>
        <v>-866752.000000001</v>
      </c>
      <c r="V260" s="44" t="n">
        <f aca="false">2/(p_FiS+1)*U260+(1-2/(p_FiS+1))*V259</f>
        <v>-1391403.84659967</v>
      </c>
      <c r="W260" s="44" t="n">
        <f aca="false">2/(p_FiL+1)*U260+(1-2/(p_FiL+1))*W259</f>
        <v>-691131.783984745</v>
      </c>
      <c r="X260" s="41" t="n">
        <f aca="false">MAX(C260-D260,ABS(C260-E259),ABS(D260-E259))</f>
        <v>0.620000000000001</v>
      </c>
      <c r="Y260" s="41" t="n">
        <f aca="true">AVERAGE(OFFSET(X260,1-MIN(p_AtrN,ROW()-4),0,MIN(p_AtrN,ROW()-4),1))</f>
        <v>0.772307692307693</v>
      </c>
      <c r="Z260" s="41" t="n">
        <f aca="false">IF(AND(C260-C259&gt;D259-D260,C260-C259&gt;0),C260-C259,0)</f>
        <v>0</v>
      </c>
      <c r="AA260" s="41" t="n">
        <f aca="false">IF(AND(D259-D260&gt;C260-C259,D259-D260&gt;0),D259-D260,0)</f>
        <v>0.129999999999999</v>
      </c>
      <c r="AB260" s="41" t="n">
        <f aca="false">2/(p_AdxN+1)*X260+(1-2/(p_AdxN+1))*AB259</f>
        <v>0.837403026620143</v>
      </c>
      <c r="AC260" s="41" t="n">
        <f aca="false">2/(p_AdxN+1)*Z260+(1-2/(p_AdxN+1))*AC259</f>
        <v>0.0441144719870381</v>
      </c>
      <c r="AD260" s="41" t="n">
        <f aca="false">2/(p_AdxN+1)*AA260+(1-2/(p_AdxN+1))*AD259</f>
        <v>0.24076398345256</v>
      </c>
      <c r="AE260" s="45" t="n">
        <f aca="false">100*AC260/AB260</f>
        <v>5.26800961839</v>
      </c>
      <c r="AF260" s="45" t="n">
        <f aca="false">100*AD260/AB260</f>
        <v>28.7512674063661</v>
      </c>
      <c r="AG260" s="45" t="n">
        <f aca="false">IFERROR(100*ABS(AE260-AF260)/(AE260+AF260),0)</f>
        <v>69.02926764401</v>
      </c>
      <c r="AH260" s="45" t="n">
        <f aca="false">2/(p_AdxN+1)*AG260+(1-2/(p_AdxN+1))*AH259</f>
        <v>42.5210413203136</v>
      </c>
      <c r="AI260" s="40" t="n">
        <f aca="false">I260*(1+p_ChPct)</f>
        <v>32.342620466393</v>
      </c>
      <c r="AJ260" s="40" t="n">
        <f aca="false">I260*(1-p_ChPct)</f>
        <v>28.6811917343485</v>
      </c>
      <c r="AK260" s="40" t="n">
        <f aca="false">I260+1*Y260</f>
        <v>31.2842137926784</v>
      </c>
      <c r="AL260" s="40" t="n">
        <f aca="false">I260+2*Y260</f>
        <v>32.0565214849861</v>
      </c>
      <c r="AM260" s="40" t="n">
        <f aca="false">I260+3*Y260</f>
        <v>32.8288291772938</v>
      </c>
      <c r="AN260" s="40" t="n">
        <f aca="false">I260-1*Y260</f>
        <v>29.739598408063</v>
      </c>
      <c r="AO260" s="40" t="n">
        <f aca="false">I260-2*Y260</f>
        <v>28.9672907157553</v>
      </c>
      <c r="AP260" s="40" t="n">
        <f aca="false">I260-3*Y260</f>
        <v>28.1949830234476</v>
      </c>
      <c r="AQ260" s="40" t="n">
        <f aca="true">MAX(OFFSET(C260,1-MIN(p_StochN,ROW()-4),0,MIN(p_StochN,ROW()-4),1))</f>
        <v>31.16</v>
      </c>
      <c r="AR260" s="40" t="n">
        <f aca="true">MIN(OFFSET(D260,1-MIN(p_StochN,ROW()-4),0,MIN(p_StochN,ROW()-4),1))</f>
        <v>29.3</v>
      </c>
      <c r="AS260" s="45" t="n">
        <f aca="false">IF(AQ260=AR260,50,100*(E260-AR260)/(AQ260-AR260))</f>
        <v>5.37634408602139</v>
      </c>
      <c r="AT260" s="45" t="n">
        <f aca="true">AVERAGE(OFFSET(AS260,1-MIN(p_StochSm,ROW()-4),0,MIN(p_StochSm,ROW()-4),1))</f>
        <v>24.3961003051064</v>
      </c>
      <c r="AU260" s="45" t="n">
        <f aca="true">AVERAGE(OFFSET(AT260,1-MIN(p_StochSm,ROW()-4),0,MIN(p_StochSm,ROW()-4),1))</f>
        <v>35.415461823492</v>
      </c>
      <c r="AV260" s="41" t="n">
        <f aca="false">MAX(0,H260-D260)</f>
        <v>1.19521458119139</v>
      </c>
      <c r="AW260" s="41" t="n">
        <f aca="true">IF(COUNTIF(OFFSET(AV260,1-MIN(p_PenLb,ROW()-4),0,MIN(p_PenLb,ROW()-4),1),"&gt;0")&gt;0,SUM(OFFSET(AV260,1-MIN(p_PenLb,ROW()-4),0,MIN(p_PenLb,ROW()-4),1))/COUNTIF(OFFSET(AV260,1-MIN(p_PenLb,ROW()-4),0,MIN(p_PenLb,ROW()-4),1),"&gt;0"),0.5*Y260)</f>
        <v>0.611852164122402</v>
      </c>
      <c r="AX260" s="41" t="n">
        <f aca="false">2*H260-H259</f>
        <v>30.3126788176595</v>
      </c>
      <c r="AY260" s="40" t="n">
        <f aca="false">ROUND(MAX(AX260-AW260,0.01),2)</f>
        <v>29.7</v>
      </c>
      <c r="AZ260" s="40" t="n">
        <f aca="true">IF(MIN(p_StopLb,ROW()-4)&lt;2,D260,SMALL(OFFSET(D260,1-MIN(p_StopLb,ROW()-4),0,MIN(p_StopLb,ROW()-4),1),2))</f>
        <v>29.43</v>
      </c>
      <c r="BA260" s="40" t="n">
        <f aca="false">IF(MOD(ROUND(ROUNDDOWN(MIN(AZ260-0.01,AY260-p_StopAtr*Y260),2)*100,0),50)=0,ROUNDDOWN(MIN(AZ260-0.01,AY260-p_StopAtr*Y260),2)-0.01,ROUNDDOWN(MIN(AZ260-0.01,AY260-p_StopAtr*Y260),2))</f>
        <v>28.92</v>
      </c>
      <c r="BB260" s="40" t="n">
        <f aca="false">ROUND(AI260,2)</f>
        <v>32.34</v>
      </c>
      <c r="BC260" s="40" t="n">
        <f aca="false">IF(AY260-BA260&gt;0,(BB260-AY260)/(AY260-BA260),0)</f>
        <v>3.3846153846154</v>
      </c>
      <c r="BD260" s="42" t="n">
        <f aca="false">IF(N260&lt;0,1,0)</f>
        <v>1</v>
      </c>
      <c r="BE260" s="41" t="n">
        <f aca="false">IF(AND(BD260=1,BD259=0),N260,IF(BD260=1,MIN(BE259,N260),BE259))</f>
        <v>-0.306121632892154</v>
      </c>
      <c r="BF260" s="40" t="n">
        <f aca="false">IF(AND(BD260=1,BD259=0),D260,IF(BD260=1,MIN(BF259,D260),BF259))</f>
        <v>29.3</v>
      </c>
      <c r="BG260" s="42" t="n">
        <f aca="false">IF(AND(BD260=1,BD259=0),ROW(),IF(BD260=1,IF(N260&lt;BE259,ROW(),BG259),BG259))</f>
        <v>260</v>
      </c>
      <c r="BH260" s="41" t="n">
        <f aca="false">IF(AND(BD260=1,BD259=0),BE259,BH259)</f>
        <v>-0.153190541609803</v>
      </c>
      <c r="BI260" s="40" t="n">
        <f aca="false">IF(AND(BD260=1,BD259=0),BF259,BI259)</f>
        <v>27.9</v>
      </c>
      <c r="BJ260" s="42" t="n">
        <f aca="false">IF(AND(BD260=1,BD259=0),BG259,BJ259)</f>
        <v>226</v>
      </c>
      <c r="BK260" s="42" t="n">
        <f aca="false">IF(AND(ISNUMBER(BG260),ISNUMBER(BJ260)),BG260-BJ260,"")</f>
        <v>34</v>
      </c>
      <c r="BL260" s="42" t="n">
        <f aca="false">IF(AND(BD260=1,N260&gt;N259,ISNUMBER(BH260),ISNUMBER(BK260)),IF(AND(BE260&gt;BH260,BF260&lt;BI260,BK260&gt;=p_GapMin,BK260&lt;=p_GapMax),1,0),0)</f>
        <v>0</v>
      </c>
      <c r="BM260" s="42" t="n">
        <f aca="false">IF(AND(BL260=1,E260&gt;BI260),1,0)</f>
        <v>0</v>
      </c>
      <c r="BN260" s="42" t="n">
        <f aca="false">IF(BL260=1,IF(BE260&gt;=BH260*0.5,1,0),0)</f>
        <v>0</v>
      </c>
      <c r="BO260" s="42" t="n">
        <f aca="true">IF(V260&gt;MIN(OFFSET(V260,-MIN(p_FiLb-1,ROW()-5),0,MIN(p_FiLb-1,ROW()-5),1)),1,0)</f>
        <v>1</v>
      </c>
      <c r="BP260" s="44" t="n">
        <f aca="true">IF(COUNTIF(OFFSET(V260,1-MIN(100,ROW()-4),0,MIN(100,ROW()-4),1),"&lt;0")&gt;=5,AVERAGEIF(OFFSET(V260,1-MIN(100,ROW()-4),0,MIN(100,ROW()-4),1),"&lt;0"),"")</f>
        <v>-992761.526622152</v>
      </c>
      <c r="BQ260" s="42" t="n">
        <f aca="false">IF(ISNUMBER(BP260),IF(AND(V260&lt;5*BP260,V260&gt;V259,E260&lt;AJ260),1,0),0)</f>
        <v>0</v>
      </c>
      <c r="BR260" s="44" t="n">
        <f aca="true">AVERAGE(OFFSET(F260,1-MIN(5,ROW()-4),0,MIN(5,ROW()-4),1))</f>
        <v>4004140</v>
      </c>
      <c r="BS260" s="42" t="n">
        <f aca="false">IFERROR(IF(MATCH(G260,周线!$A$5:$A$84,0)&lt;=1,"",INDEX(周线!$R$5:$R$84,MATCH(G260,周线!$A$5:$A$84,0)-1)),"")</f>
        <v>1</v>
      </c>
      <c r="BT260" s="42" t="n">
        <f aca="false">IFERROR(IF(MATCH(G260,周线!$A$5:$A$84,0)&lt;=1,"",INDEX(周线!$S$5:$S$84,MATCH(G260,周线!$A$5:$A$84,0)-1)),"")</f>
        <v>0</v>
      </c>
      <c r="BU260" s="42" t="n">
        <f aca="false">IFERROR(IF(MATCH(G260,周线!$A$5:$A$84,0)&lt;=1,"",INDEX(周线!$U$5:$U$84,MATCH(G260,周线!$A$5:$A$84,0)-1)),"")</f>
        <v>0</v>
      </c>
      <c r="BV260" s="42" t="n">
        <f aca="false">IF(AND(BS260=1,S260&lt;&gt;-1,V260&lt;0,BO260=1,E260&lt;=H260,E260&gt;=AJ260),1,0)</f>
        <v>0</v>
      </c>
      <c r="BW260" s="42" t="n">
        <f aca="false">BL260</f>
        <v>0</v>
      </c>
      <c r="BX260" s="42" t="n">
        <f aca="false">BQ260</f>
        <v>0</v>
      </c>
      <c r="BY260" s="42" t="n">
        <f aca="false">IF(BS260=1,10,0)+IF(BU260=1,5,IF(BU260=-1,0,3))+IF(BT260=1,5,0)+IF(AND(AE260&gt;AF260,AH260&gt;AH259),5,0)</f>
        <v>13</v>
      </c>
      <c r="BZ260" s="42" t="n">
        <f aca="false">IF(AND(E260&lt;=H260,E260&gt;=I260),10,IF(AND(E260&gt;=AJ260,E260&lt;I260),6,0))+IF(AND(V260&lt;0,BO260=1),8,0)+IF(AT260&lt;30,7,IF(AT260&lt;50,3,0))</f>
        <v>21</v>
      </c>
      <c r="CA260" s="42" t="n">
        <f aca="false">IF(AND(BV260=1,BW260=1),25,IF(BW260=1,22,IF(BV260=1,15,IF(BX260=1,12,0))))</f>
        <v>0</v>
      </c>
      <c r="CB260" s="42" t="n">
        <f aca="false">IF(W260&gt;0,6,0)+IF(F260&lt;BR260,4,0)</f>
        <v>4</v>
      </c>
      <c r="CC260" s="42" t="n">
        <f aca="false">IF(BC260&gt;=3,15,IF(BC260&gt;=p_RRmin,10,IF(BC260&gt;=1.5,4,0)))</f>
        <v>15</v>
      </c>
      <c r="CD260" s="42" t="n">
        <f aca="false">BY260+BZ260+CA260+CB260+CC260</f>
        <v>53</v>
      </c>
      <c r="CE260" s="42" t="n">
        <f aca="false">IF(AND(BS260&lt;&gt;1,BW260+BX260=0),1,0)</f>
        <v>0</v>
      </c>
      <c r="CF260" s="42" t="n">
        <f aca="false">IF(BU260=-1,1,0)</f>
        <v>0</v>
      </c>
      <c r="CG260" s="42" t="n">
        <f aca="false">IF(S260=-1,1,0)</f>
        <v>1</v>
      </c>
      <c r="CH260" s="42" t="n">
        <f aca="false">IF(BV260+BW260+BX260=0,1,0)</f>
        <v>1</v>
      </c>
      <c r="CI260" s="42" t="n">
        <f aca="false">IF(BC260&lt;p_RRmin,1,0)</f>
        <v>0</v>
      </c>
      <c r="CJ260" s="46" t="str">
        <f aca="false">IF(SUM(CE260:CI260)=0,IF(CD260&gt;=p_GradeA,"A",IF(CD260&gt;=p_GradeB,"B","C")),IF(AND(CI260=1,SUM(CE260:CH260)=0,CD260&gt;=p_GradeB),"B","C"))</f>
        <v>C</v>
      </c>
    </row>
    <row r="261" customFormat="false" ht="15" hidden="false" customHeight="false" outlineLevel="0" collapsed="false">
      <c r="A261" s="36" t="n">
        <v>46017</v>
      </c>
      <c r="B261" s="37" t="n">
        <v>29.25</v>
      </c>
      <c r="C261" s="37" t="n">
        <v>29.39</v>
      </c>
      <c r="D261" s="37" t="n">
        <v>28.48</v>
      </c>
      <c r="E261" s="37" t="n">
        <v>28.66</v>
      </c>
      <c r="F261" s="38" t="n">
        <v>4836200</v>
      </c>
      <c r="G261" s="39" t="n">
        <f aca="false">A261-WEEKDAY(A261,3)</f>
        <v>46013</v>
      </c>
      <c r="H261" s="40" t="n">
        <f aca="false">2/(p_EmaF+1)*E261+(1-2/(p_EmaF+1))*H260</f>
        <v>30.2330410695926</v>
      </c>
      <c r="I261" s="40" t="n">
        <f aca="false">2/(p_EmaS+1)*E261+(1-2/(p_EmaS+1))*I260</f>
        <v>30.3747278707136</v>
      </c>
      <c r="J261" s="41" t="n">
        <f aca="false">2/(p_MacdF+1)*E261+(1-2/(p_MacdF+1))*J260</f>
        <v>30.1828113309318</v>
      </c>
      <c r="K261" s="41" t="n">
        <f aca="false">2/(p_MacdS+1)*E261+(1-2/(p_MacdS+1))*K260</f>
        <v>30.3747278707136</v>
      </c>
      <c r="L261" s="41" t="n">
        <f aca="false">J261-K261</f>
        <v>-0.191916539781808</v>
      </c>
      <c r="M261" s="41" t="n">
        <f aca="false">2/(p_MacdSig+1)*L261+(1-2/(p_MacdSig+1))*M260</f>
        <v>0.164738012759959</v>
      </c>
      <c r="N261" s="41" t="n">
        <f aca="false">L261-M261</f>
        <v>-0.356654552541767</v>
      </c>
      <c r="O261" s="42" t="n">
        <f aca="false">IF(H261&gt;H260,1,0)</f>
        <v>0</v>
      </c>
      <c r="P261" s="42" t="n">
        <f aca="false">IF(H261&lt;H260,1,0)</f>
        <v>1</v>
      </c>
      <c r="Q261" s="42" t="n">
        <f aca="false">IF(N261&gt;N260,1,0)</f>
        <v>0</v>
      </c>
      <c r="R261" s="42" t="n">
        <f aca="false">IF(N261&lt;N260,1,0)</f>
        <v>1</v>
      </c>
      <c r="S261" s="42" t="n">
        <f aca="false">IF(AND(O261=1,Q261=1),1,IF(AND(P261=1,R261=1),-1,0))</f>
        <v>-1</v>
      </c>
      <c r="T261" s="43" t="str">
        <f aca="false">IF(S261=1,"绿",IF(S261=-1,"红","蓝"))</f>
        <v>红</v>
      </c>
      <c r="U261" s="44" t="n">
        <f aca="false">F261*(E261-E260)</f>
        <v>-3578787.99999999</v>
      </c>
      <c r="V261" s="44" t="n">
        <f aca="false">2/(p_FiS+1)*U261+(1-2/(p_FiS+1))*V260</f>
        <v>-2849659.94886655</v>
      </c>
      <c r="W261" s="44" t="n">
        <f aca="false">2/(p_FiL+1)*U261+(1-2/(p_FiL+1))*W260</f>
        <v>-1103654.10055835</v>
      </c>
      <c r="X261" s="41" t="n">
        <f aca="false">MAX(C261-D261,ABS(C261-E260),ABS(D261-E260))</f>
        <v>0.919999999999998</v>
      </c>
      <c r="Y261" s="41" t="n">
        <f aca="true">AVERAGE(OFFSET(X261,1-MIN(p_AtrN,ROW()-4),0,MIN(p_AtrN,ROW()-4),1))</f>
        <v>0.816923076923077</v>
      </c>
      <c r="Z261" s="41" t="n">
        <f aca="false">IF(AND(C261-C260&gt;D260-D261,C261-C260&gt;0),C261-C260,0)</f>
        <v>0</v>
      </c>
      <c r="AA261" s="41" t="n">
        <f aca="false">IF(AND(D260-D261&gt;C261-C260,D260-D261&gt;0),D260-D261,0)</f>
        <v>0.82</v>
      </c>
      <c r="AB261" s="41" t="n">
        <f aca="false">2/(p_AdxN+1)*X261+(1-2/(p_AdxN+1))*AB260</f>
        <v>0.849202594245837</v>
      </c>
      <c r="AC261" s="41" t="n">
        <f aca="false">2/(p_AdxN+1)*Z261+(1-2/(p_AdxN+1))*AC260</f>
        <v>0.0378124045603184</v>
      </c>
      <c r="AD261" s="41" t="n">
        <f aca="false">2/(p_AdxN+1)*AA261+(1-2/(p_AdxN+1))*AD260</f>
        <v>0.32351198581648</v>
      </c>
      <c r="AE261" s="45" t="n">
        <f aca="false">100*AC261/AB261</f>
        <v>4.4526953658095</v>
      </c>
      <c r="AF261" s="45" t="n">
        <f aca="false">100*AD261/AB261</f>
        <v>38.0959723873413</v>
      </c>
      <c r="AG261" s="45" t="n">
        <f aca="false">IFERROR(100*ABS(AE261-AF261)/(AE261+AF261),0)</f>
        <v>79.0701067697718</v>
      </c>
      <c r="AH261" s="45" t="n">
        <f aca="false">2/(p_AdxN+1)*AG261+(1-2/(p_AdxN+1))*AH260</f>
        <v>47.7423363845219</v>
      </c>
      <c r="AI261" s="40" t="n">
        <f aca="false">I261*(1+p_ChPct)</f>
        <v>32.1972115429564</v>
      </c>
      <c r="AJ261" s="40" t="n">
        <f aca="false">I261*(1-p_ChPct)</f>
        <v>28.5522441984708</v>
      </c>
      <c r="AK261" s="40" t="n">
        <f aca="false">I261+1*Y261</f>
        <v>31.1916509476367</v>
      </c>
      <c r="AL261" s="40" t="n">
        <f aca="false">I261+2*Y261</f>
        <v>32.0085740245598</v>
      </c>
      <c r="AM261" s="40" t="n">
        <f aca="false">I261+3*Y261</f>
        <v>32.8254971014829</v>
      </c>
      <c r="AN261" s="40" t="n">
        <f aca="false">I261-1*Y261</f>
        <v>29.5578047937905</v>
      </c>
      <c r="AO261" s="40" t="n">
        <f aca="false">I261-2*Y261</f>
        <v>28.7408817168675</v>
      </c>
      <c r="AP261" s="40" t="n">
        <f aca="false">I261-3*Y261</f>
        <v>27.9239586399444</v>
      </c>
      <c r="AQ261" s="40" t="n">
        <f aca="true">MAX(OFFSET(C261,1-MIN(p_StochN,ROW()-4),0,MIN(p_StochN,ROW()-4),1))</f>
        <v>31.03</v>
      </c>
      <c r="AR261" s="40" t="n">
        <f aca="true">MIN(OFFSET(D261,1-MIN(p_StochN,ROW()-4),0,MIN(p_StochN,ROW()-4),1))</f>
        <v>28.48</v>
      </c>
      <c r="AS261" s="45" t="n">
        <f aca="false">IF(AQ261=AR261,50,100*(E261-AR261)/(AQ261-AR261))</f>
        <v>7.05882352941175</v>
      </c>
      <c r="AT261" s="45" t="n">
        <f aca="true">AVERAGE(OFFSET(AS261,1-MIN(p_StochSm,ROW()-4),0,MIN(p_StochSm,ROW()-4),1))</f>
        <v>9.73272446525997</v>
      </c>
      <c r="AU261" s="45" t="n">
        <f aca="true">AVERAGE(OFFSET(AT261,1-MIN(p_StochSm,ROW()-4),0,MIN(p_StochSm,ROW()-4),1))</f>
        <v>25.3436853313891</v>
      </c>
      <c r="AV261" s="41" t="n">
        <f aca="false">MAX(0,H261-D261)</f>
        <v>1.75304106959262</v>
      </c>
      <c r="AW261" s="41" t="n">
        <f aca="true">IF(COUNTIF(OFFSET(AV261,1-MIN(p_PenLb,ROW()-4),0,MIN(p_PenLb,ROW()-4),1),"&gt;0")&gt;0,SUM(OFFSET(AV261,1-MIN(p_PenLb,ROW()-4),0,MIN(p_PenLb,ROW()-4),1))/COUNTIF(OFFSET(AV261,1-MIN(p_PenLb,ROW()-4),0,MIN(p_PenLb,ROW()-4),1),"&gt;0"),0.5*Y261)</f>
        <v>0.675251547759637</v>
      </c>
      <c r="AX261" s="41" t="n">
        <f aca="false">2*H261-H260</f>
        <v>29.9708675579939</v>
      </c>
      <c r="AY261" s="40" t="n">
        <f aca="false">ROUND(MAX(AX261-AW261,0.01),2)</f>
        <v>29.3</v>
      </c>
      <c r="AZ261" s="40" t="n">
        <f aca="true">IF(MIN(p_StopLb,ROW()-4)&lt;2,D261,SMALL(OFFSET(D261,1-MIN(p_StopLb,ROW()-4),0,MIN(p_StopLb,ROW()-4),1),2))</f>
        <v>29.3</v>
      </c>
      <c r="BA261" s="40" t="n">
        <f aca="false">IF(MOD(ROUND(ROUNDDOWN(MIN(AZ261-0.01,AY261-p_StopAtr*Y261),2)*100,0),50)=0,ROUNDDOWN(MIN(AZ261-0.01,AY261-p_StopAtr*Y261),2)-0.01,ROUNDDOWN(MIN(AZ261-0.01,AY261-p_StopAtr*Y261),2))</f>
        <v>28.48</v>
      </c>
      <c r="BB261" s="40" t="n">
        <f aca="false">ROUND(AI261,2)</f>
        <v>32.2</v>
      </c>
      <c r="BC261" s="40" t="n">
        <f aca="false">IF(AY261-BA261&gt;0,(BB261-AY261)/(AY261-BA261),0)</f>
        <v>3.53658536585366</v>
      </c>
      <c r="BD261" s="42" t="n">
        <f aca="false">IF(N261&lt;0,1,0)</f>
        <v>1</v>
      </c>
      <c r="BE261" s="41" t="n">
        <f aca="false">IF(AND(BD261=1,BD260=0),N261,IF(BD261=1,MIN(BE260,N261),BE260))</f>
        <v>-0.356654552541767</v>
      </c>
      <c r="BF261" s="40" t="n">
        <f aca="false">IF(AND(BD261=1,BD260=0),D261,IF(BD261=1,MIN(BF260,D261),BF260))</f>
        <v>28.48</v>
      </c>
      <c r="BG261" s="42" t="n">
        <f aca="false">IF(AND(BD261=1,BD260=0),ROW(),IF(BD261=1,IF(N261&lt;BE260,ROW(),BG260),BG260))</f>
        <v>261</v>
      </c>
      <c r="BH261" s="41" t="n">
        <f aca="false">IF(AND(BD261=1,BD260=0),BE260,BH260)</f>
        <v>-0.153190541609803</v>
      </c>
      <c r="BI261" s="40" t="n">
        <f aca="false">IF(AND(BD261=1,BD260=0),BF260,BI260)</f>
        <v>27.9</v>
      </c>
      <c r="BJ261" s="42" t="n">
        <f aca="false">IF(AND(BD261=1,BD260=0),BG260,BJ260)</f>
        <v>226</v>
      </c>
      <c r="BK261" s="42" t="n">
        <f aca="false">IF(AND(ISNUMBER(BG261),ISNUMBER(BJ261)),BG261-BJ261,"")</f>
        <v>35</v>
      </c>
      <c r="BL261" s="42" t="n">
        <f aca="false">IF(AND(BD261=1,N261&gt;N260,ISNUMBER(BH261),ISNUMBER(BK261)),IF(AND(BE261&gt;BH261,BF261&lt;BI261,BK261&gt;=p_GapMin,BK261&lt;=p_GapMax),1,0),0)</f>
        <v>0</v>
      </c>
      <c r="BM261" s="42" t="n">
        <f aca="false">IF(AND(BL261=1,E261&gt;BI261),1,0)</f>
        <v>0</v>
      </c>
      <c r="BN261" s="42" t="n">
        <f aca="false">IF(BL261=1,IF(BE261&gt;=BH261*0.5,1,0),0)</f>
        <v>0</v>
      </c>
      <c r="BO261" s="42" t="n">
        <f aca="true">IF(V261&gt;MIN(OFFSET(V261,-MIN(p_FiLb-1,ROW()-5),0,MIN(p_FiLb-1,ROW()-5),1)),1,0)</f>
        <v>1</v>
      </c>
      <c r="BP261" s="44" t="n">
        <f aca="true">IF(COUNTIF(OFFSET(V261,1-MIN(100,ROW()-4),0,MIN(100,ROW()-4),1),"&lt;0")&gt;=5,AVERAGEIF(OFFSET(V261,1-MIN(100,ROW()-4),0,MIN(100,ROW()-4),1),"&lt;0"),"")</f>
        <v>-1036973.39381845</v>
      </c>
      <c r="BQ261" s="42" t="n">
        <f aca="false">IF(ISNUMBER(BP261),IF(AND(V261&lt;5*BP261,V261&gt;V260,E261&lt;AJ261),1,0),0)</f>
        <v>0</v>
      </c>
      <c r="BR261" s="44" t="n">
        <f aca="true">AVERAGE(OFFSET(F261,1-MIN(5,ROW()-4),0,MIN(5,ROW()-4),1))</f>
        <v>4278100</v>
      </c>
      <c r="BS261" s="42" t="n">
        <f aca="false">IFERROR(IF(MATCH(G261,周线!$A$5:$A$84,0)&lt;=1,"",INDEX(周线!$R$5:$R$84,MATCH(G261,周线!$A$5:$A$84,0)-1)),"")</f>
        <v>1</v>
      </c>
      <c r="BT261" s="42" t="n">
        <f aca="false">IFERROR(IF(MATCH(G261,周线!$A$5:$A$84,0)&lt;=1,"",INDEX(周线!$S$5:$S$84,MATCH(G261,周线!$A$5:$A$84,0)-1)),"")</f>
        <v>0</v>
      </c>
      <c r="BU261" s="42" t="n">
        <f aca="false">IFERROR(IF(MATCH(G261,周线!$A$5:$A$84,0)&lt;=1,"",INDEX(周线!$U$5:$U$84,MATCH(G261,周线!$A$5:$A$84,0)-1)),"")</f>
        <v>0</v>
      </c>
      <c r="BV261" s="42" t="n">
        <f aca="false">IF(AND(BS261=1,S261&lt;&gt;-1,V261&lt;0,BO261=1,E261&lt;=H261,E261&gt;=AJ261),1,0)</f>
        <v>0</v>
      </c>
      <c r="BW261" s="42" t="n">
        <f aca="false">BL261</f>
        <v>0</v>
      </c>
      <c r="BX261" s="42" t="n">
        <f aca="false">BQ261</f>
        <v>0</v>
      </c>
      <c r="BY261" s="42" t="n">
        <f aca="false">IF(BS261=1,10,0)+IF(BU261=1,5,IF(BU261=-1,0,3))+IF(BT261=1,5,0)+IF(AND(AE261&gt;AF261,AH261&gt;AH260),5,0)</f>
        <v>13</v>
      </c>
      <c r="BZ261" s="42" t="n">
        <f aca="false">IF(AND(E261&lt;=H261,E261&gt;=I261),10,IF(AND(E261&gt;=AJ261,E261&lt;I261),6,0))+IF(AND(V261&lt;0,BO261=1),8,0)+IF(AT261&lt;30,7,IF(AT261&lt;50,3,0))</f>
        <v>21</v>
      </c>
      <c r="CA261" s="42" t="n">
        <f aca="false">IF(AND(BV261=1,BW261=1),25,IF(BW261=1,22,IF(BV261=1,15,IF(BX261=1,12,0))))</f>
        <v>0</v>
      </c>
      <c r="CB261" s="42" t="n">
        <f aca="false">IF(W261&gt;0,6,0)+IF(F261&lt;BR261,4,0)</f>
        <v>0</v>
      </c>
      <c r="CC261" s="42" t="n">
        <f aca="false">IF(BC261&gt;=3,15,IF(BC261&gt;=p_RRmin,10,IF(BC261&gt;=1.5,4,0)))</f>
        <v>15</v>
      </c>
      <c r="CD261" s="42" t="n">
        <f aca="false">BY261+BZ261+CA261+CB261+CC261</f>
        <v>49</v>
      </c>
      <c r="CE261" s="42" t="n">
        <f aca="false">IF(AND(BS261&lt;&gt;1,BW261+BX261=0),1,0)</f>
        <v>0</v>
      </c>
      <c r="CF261" s="42" t="n">
        <f aca="false">IF(BU261=-1,1,0)</f>
        <v>0</v>
      </c>
      <c r="CG261" s="42" t="n">
        <f aca="false">IF(S261=-1,1,0)</f>
        <v>1</v>
      </c>
      <c r="CH261" s="42" t="n">
        <f aca="false">IF(BV261+BW261+BX261=0,1,0)</f>
        <v>1</v>
      </c>
      <c r="CI261" s="42" t="n">
        <f aca="false">IF(BC261&lt;p_RRmin,1,0)</f>
        <v>0</v>
      </c>
      <c r="CJ261" s="46" t="str">
        <f aca="false">IF(SUM(CE261:CI261)=0,IF(CD261&gt;=p_GradeA,"A",IF(CD261&gt;=p_GradeB,"B","C")),IF(AND(CI261=1,SUM(CE261:CH261)=0,CD261&gt;=p_GradeB),"B","C"))</f>
        <v>C</v>
      </c>
    </row>
    <row r="262" customFormat="false" ht="15" hidden="false" customHeight="false" outlineLevel="0" collapsed="false">
      <c r="A262" s="36" t="n">
        <v>46020</v>
      </c>
      <c r="B262" s="37" t="n">
        <v>28.76</v>
      </c>
      <c r="C262" s="37" t="n">
        <v>29.21</v>
      </c>
      <c r="D262" s="37" t="n">
        <v>28.38</v>
      </c>
      <c r="E262" s="37" t="n">
        <v>29</v>
      </c>
      <c r="F262" s="38" t="n">
        <v>3129600</v>
      </c>
      <c r="G262" s="39" t="n">
        <f aca="false">A262-WEEKDAY(A262,3)</f>
        <v>46020</v>
      </c>
      <c r="H262" s="40" t="n">
        <f aca="false">2/(p_EmaF+1)*E262+(1-2/(p_EmaF+1))*H261</f>
        <v>30.0568923453651</v>
      </c>
      <c r="I262" s="40" t="n">
        <f aca="false">2/(p_EmaS+1)*E262+(1-2/(p_EmaS+1))*I261</f>
        <v>30.2728961765867</v>
      </c>
      <c r="J262" s="41" t="n">
        <f aca="false">2/(p_MacdF+1)*E262+(1-2/(p_MacdF+1))*J261</f>
        <v>30.0008403569423</v>
      </c>
      <c r="K262" s="41" t="n">
        <f aca="false">2/(p_MacdS+1)*E262+(1-2/(p_MacdS+1))*K261</f>
        <v>30.2728961765867</v>
      </c>
      <c r="L262" s="41" t="n">
        <f aca="false">J262-K262</f>
        <v>-0.272055819644383</v>
      </c>
      <c r="M262" s="41" t="n">
        <f aca="false">2/(p_MacdSig+1)*L262+(1-2/(p_MacdSig+1))*M261</f>
        <v>0.0773792462790909</v>
      </c>
      <c r="N262" s="41" t="n">
        <f aca="false">L262-M262</f>
        <v>-0.349435065923473</v>
      </c>
      <c r="O262" s="42" t="n">
        <f aca="false">IF(H262&gt;H261,1,0)</f>
        <v>0</v>
      </c>
      <c r="P262" s="42" t="n">
        <f aca="false">IF(H262&lt;H261,1,0)</f>
        <v>1</v>
      </c>
      <c r="Q262" s="42" t="n">
        <f aca="false">IF(N262&gt;N261,1,0)</f>
        <v>1</v>
      </c>
      <c r="R262" s="42" t="n">
        <f aca="false">IF(N262&lt;N261,1,0)</f>
        <v>0</v>
      </c>
      <c r="S262" s="42" t="n">
        <f aca="false">IF(AND(O262=1,Q262=1),1,IF(AND(P262=1,R262=1),-1,0))</f>
        <v>0</v>
      </c>
      <c r="T262" s="43" t="str">
        <f aca="false">IF(S262=1,"绿",IF(S262=-1,"红","蓝"))</f>
        <v>蓝</v>
      </c>
      <c r="U262" s="44" t="n">
        <f aca="false">F262*(E262-E261)</f>
        <v>1064064</v>
      </c>
      <c r="V262" s="44" t="n">
        <f aca="false">2/(p_FiS+1)*U262+(1-2/(p_FiS+1))*V261</f>
        <v>-240510.649622184</v>
      </c>
      <c r="W262" s="44" t="n">
        <f aca="false">2/(p_FiL+1)*U262+(1-2/(p_FiL+1))*W261</f>
        <v>-793980.086192873</v>
      </c>
      <c r="X262" s="41" t="n">
        <f aca="false">MAX(C262-D262,ABS(C262-E261),ABS(D262-E261))</f>
        <v>0.830000000000002</v>
      </c>
      <c r="Y262" s="41" t="n">
        <f aca="true">AVERAGE(OFFSET(X262,1-MIN(p_AtrN,ROW()-4),0,MIN(p_AtrN,ROW()-4),1))</f>
        <v>0.834615384615385</v>
      </c>
      <c r="Z262" s="41" t="n">
        <f aca="false">IF(AND(C262-C261&gt;D261-D262,C262-C261&gt;0),C262-C261,0)</f>
        <v>0</v>
      </c>
      <c r="AA262" s="41" t="n">
        <f aca="false">IF(AND(D261-D262&gt;C262-C261,D261-D262&gt;0),D261-D262,0)</f>
        <v>0.100000000000001</v>
      </c>
      <c r="AB262" s="41" t="n">
        <f aca="false">2/(p_AdxN+1)*X262+(1-2/(p_AdxN+1))*AB261</f>
        <v>0.846459366496432</v>
      </c>
      <c r="AC262" s="41" t="n">
        <f aca="false">2/(p_AdxN+1)*Z262+(1-2/(p_AdxN+1))*AC261</f>
        <v>0.0324106324802729</v>
      </c>
      <c r="AD262" s="41" t="n">
        <f aca="false">2/(p_AdxN+1)*AA262+(1-2/(p_AdxN+1))*AD261</f>
        <v>0.291581702128412</v>
      </c>
      <c r="AE262" s="45" t="n">
        <f aca="false">100*AC262/AB262</f>
        <v>3.82896495249658</v>
      </c>
      <c r="AF262" s="45" t="n">
        <f aca="false">100*AD262/AB262</f>
        <v>34.4472178664989</v>
      </c>
      <c r="AG262" s="45" t="n">
        <f aca="false">IFERROR(100*ABS(AE262-AF262)/(AE262+AF262),0)</f>
        <v>79.9929634017927</v>
      </c>
      <c r="AH262" s="45" t="n">
        <f aca="false">2/(p_AdxN+1)*AG262+(1-2/(p_AdxN+1))*AH261</f>
        <v>52.3495688155606</v>
      </c>
      <c r="AI262" s="40" t="n">
        <f aca="false">I262*(1+p_ChPct)</f>
        <v>32.0892699471819</v>
      </c>
      <c r="AJ262" s="40" t="n">
        <f aca="false">I262*(1-p_ChPct)</f>
        <v>28.4565224059915</v>
      </c>
      <c r="AK262" s="40" t="n">
        <f aca="false">I262+1*Y262</f>
        <v>31.1075115612021</v>
      </c>
      <c r="AL262" s="40" t="n">
        <f aca="false">I262+2*Y262</f>
        <v>31.9421269458175</v>
      </c>
      <c r="AM262" s="40" t="n">
        <f aca="false">I262+3*Y262</f>
        <v>32.7767423304328</v>
      </c>
      <c r="AN262" s="40" t="n">
        <f aca="false">I262-1*Y262</f>
        <v>29.4382807919713</v>
      </c>
      <c r="AO262" s="40" t="n">
        <f aca="false">I262-2*Y262</f>
        <v>28.6036654073559</v>
      </c>
      <c r="AP262" s="40" t="n">
        <f aca="false">I262-3*Y262</f>
        <v>27.7690500227405</v>
      </c>
      <c r="AQ262" s="40" t="n">
        <f aca="true">MAX(OFFSET(C262,1-MIN(p_StochN,ROW()-4),0,MIN(p_StochN,ROW()-4),1))</f>
        <v>30.76</v>
      </c>
      <c r="AR262" s="40" t="n">
        <f aca="true">MIN(OFFSET(D262,1-MIN(p_StochN,ROW()-4),0,MIN(p_StochN,ROW()-4),1))</f>
        <v>28.38</v>
      </c>
      <c r="AS262" s="45" t="n">
        <f aca="false">IF(AQ262=AR262,50,100*(E262-AR262)/(AQ262-AR262))</f>
        <v>26.0504201680672</v>
      </c>
      <c r="AT262" s="45" t="n">
        <f aca="true">AVERAGE(OFFSET(AS262,1-MIN(p_StochSm,ROW()-4),0,MIN(p_StochSm,ROW()-4),1))</f>
        <v>12.8285292611668</v>
      </c>
      <c r="AU262" s="45" t="n">
        <f aca="true">AVERAGE(OFFSET(AT262,1-MIN(p_StochSm,ROW()-4),0,MIN(p_StochSm,ROW()-4),1))</f>
        <v>15.6524513438444</v>
      </c>
      <c r="AV262" s="41" t="n">
        <f aca="false">MAX(0,H262-D262)</f>
        <v>1.6768923453651</v>
      </c>
      <c r="AW262" s="41" t="n">
        <f aca="true">IF(COUNTIF(OFFSET(AV262,1-MIN(p_PenLb,ROW()-4),0,MIN(p_PenLb,ROW()-4),1),"&gt;0")&gt;0,SUM(OFFSET(AV262,1-MIN(p_PenLb,ROW()-4),0,MIN(p_PenLb,ROW()-4),1))/COUNTIF(OFFSET(AV262,1-MIN(p_PenLb,ROW()-4),0,MIN(p_PenLb,ROW()-4),1),"&gt;0"),0.5*Y262)</f>
        <v>0.763116928596717</v>
      </c>
      <c r="AX262" s="41" t="n">
        <f aca="false">2*H262-H261</f>
        <v>29.8807436211376</v>
      </c>
      <c r="AY262" s="40" t="n">
        <f aca="false">ROUND(MAX(AX262-AW262,0.01),2)</f>
        <v>29.12</v>
      </c>
      <c r="AZ262" s="40" t="n">
        <f aca="true">IF(MIN(p_StopLb,ROW()-4)&lt;2,D262,SMALL(OFFSET(D262,1-MIN(p_StopLb,ROW()-4),0,MIN(p_StopLb,ROW()-4),1),2))</f>
        <v>28.48</v>
      </c>
      <c r="BA262" s="40" t="n">
        <f aca="false">IF(MOD(ROUND(ROUNDDOWN(MIN(AZ262-0.01,AY262-p_StopAtr*Y262),2)*100,0),50)=0,ROUNDDOWN(MIN(AZ262-0.01,AY262-p_StopAtr*Y262),2)-0.01,ROUNDDOWN(MIN(AZ262-0.01,AY262-p_StopAtr*Y262),2))</f>
        <v>28.28</v>
      </c>
      <c r="BB262" s="40" t="n">
        <f aca="false">ROUND(AI262,2)</f>
        <v>32.09</v>
      </c>
      <c r="BC262" s="40" t="n">
        <f aca="false">IF(AY262-BA262&gt;0,(BB262-AY262)/(AY262-BA262),0)</f>
        <v>3.53571428571429</v>
      </c>
      <c r="BD262" s="42" t="n">
        <f aca="false">IF(N262&lt;0,1,0)</f>
        <v>1</v>
      </c>
      <c r="BE262" s="41" t="n">
        <f aca="false">IF(AND(BD262=1,BD261=0),N262,IF(BD262=1,MIN(BE261,N262),BE261))</f>
        <v>-0.356654552541767</v>
      </c>
      <c r="BF262" s="40" t="n">
        <f aca="false">IF(AND(BD262=1,BD261=0),D262,IF(BD262=1,MIN(BF261,D262),BF261))</f>
        <v>28.38</v>
      </c>
      <c r="BG262" s="42" t="n">
        <f aca="false">IF(AND(BD262=1,BD261=0),ROW(),IF(BD262=1,IF(N262&lt;BE261,ROW(),BG261),BG261))</f>
        <v>261</v>
      </c>
      <c r="BH262" s="41" t="n">
        <f aca="false">IF(AND(BD262=1,BD261=0),BE261,BH261)</f>
        <v>-0.153190541609803</v>
      </c>
      <c r="BI262" s="40" t="n">
        <f aca="false">IF(AND(BD262=1,BD261=0),BF261,BI261)</f>
        <v>27.9</v>
      </c>
      <c r="BJ262" s="42" t="n">
        <f aca="false">IF(AND(BD262=1,BD261=0),BG261,BJ261)</f>
        <v>226</v>
      </c>
      <c r="BK262" s="42" t="n">
        <f aca="false">IF(AND(ISNUMBER(BG262),ISNUMBER(BJ262)),BG262-BJ262,"")</f>
        <v>35</v>
      </c>
      <c r="BL262" s="42" t="n">
        <f aca="false">IF(AND(BD262=1,N262&gt;N261,ISNUMBER(BH262),ISNUMBER(BK262)),IF(AND(BE262&gt;BH262,BF262&lt;BI262,BK262&gt;=p_GapMin,BK262&lt;=p_GapMax),1,0),0)</f>
        <v>0</v>
      </c>
      <c r="BM262" s="42" t="n">
        <f aca="false">IF(AND(BL262=1,E262&gt;BI262),1,0)</f>
        <v>0</v>
      </c>
      <c r="BN262" s="42" t="n">
        <f aca="false">IF(BL262=1,IF(BE262&gt;=BH262*0.5,1,0),0)</f>
        <v>0</v>
      </c>
      <c r="BO262" s="42" t="n">
        <f aca="true">IF(V262&gt;MIN(OFFSET(V262,-MIN(p_FiLb-1,ROW()-5),0,MIN(p_FiLb-1,ROW()-5),1)),1,0)</f>
        <v>1</v>
      </c>
      <c r="BP262" s="44" t="n">
        <f aca="true">IF(COUNTIF(OFFSET(V262,1-MIN(100,ROW()-4),0,MIN(100,ROW()-4),1),"&lt;0")&gt;=5,AVERAGEIF(OFFSET(V262,1-MIN(100,ROW()-4),0,MIN(100,ROW()-4),1),"&lt;0"),"")</f>
        <v>-1018451.00441853</v>
      </c>
      <c r="BQ262" s="42" t="n">
        <f aca="false">IF(ISNUMBER(BP262),IF(AND(V262&lt;5*BP262,V262&gt;V261,E262&lt;AJ262),1,0),0)</f>
        <v>0</v>
      </c>
      <c r="BR262" s="44" t="n">
        <f aca="true">AVERAGE(OFFSET(F262,1-MIN(5,ROW()-4),0,MIN(5,ROW()-4),1))</f>
        <v>3905320</v>
      </c>
      <c r="BS262" s="42" t="n">
        <f aca="false">IFERROR(IF(MATCH(G262,周线!$A$5:$A$84,0)&lt;=1,"",INDEX(周线!$R$5:$R$84,MATCH(G262,周线!$A$5:$A$84,0)-1)),"")</f>
        <v>1</v>
      </c>
      <c r="BT262" s="42" t="n">
        <f aca="false">IFERROR(IF(MATCH(G262,周线!$A$5:$A$84,0)&lt;=1,"",INDEX(周线!$S$5:$S$84,MATCH(G262,周线!$A$5:$A$84,0)-1)),"")</f>
        <v>0</v>
      </c>
      <c r="BU262" s="42" t="n">
        <f aca="false">IFERROR(IF(MATCH(G262,周线!$A$5:$A$84,0)&lt;=1,"",INDEX(周线!$U$5:$U$84,MATCH(G262,周线!$A$5:$A$84,0)-1)),"")</f>
        <v>-1</v>
      </c>
      <c r="BV262" s="42" t="n">
        <f aca="false">IF(AND(BS262=1,S262&lt;&gt;-1,V262&lt;0,BO262=1,E262&lt;=H262,E262&gt;=AJ262),1,0)</f>
        <v>1</v>
      </c>
      <c r="BW262" s="42" t="n">
        <f aca="false">BL262</f>
        <v>0</v>
      </c>
      <c r="BX262" s="42" t="n">
        <f aca="false">BQ262</f>
        <v>0</v>
      </c>
      <c r="BY262" s="42" t="n">
        <f aca="false">IF(BS262=1,10,0)+IF(BU262=1,5,IF(BU262=-1,0,3))+IF(BT262=1,5,0)+IF(AND(AE262&gt;AF262,AH262&gt;AH261),5,0)</f>
        <v>10</v>
      </c>
      <c r="BZ262" s="42" t="n">
        <f aca="false">IF(AND(E262&lt;=H262,E262&gt;=I262),10,IF(AND(E262&gt;=AJ262,E262&lt;I262),6,0))+IF(AND(V262&lt;0,BO262=1),8,0)+IF(AT262&lt;30,7,IF(AT262&lt;50,3,0))</f>
        <v>21</v>
      </c>
      <c r="CA262" s="42" t="n">
        <f aca="false">IF(AND(BV262=1,BW262=1),25,IF(BW262=1,22,IF(BV262=1,15,IF(BX262=1,12,0))))</f>
        <v>15</v>
      </c>
      <c r="CB262" s="42" t="n">
        <f aca="false">IF(W262&gt;0,6,0)+IF(F262&lt;BR262,4,0)</f>
        <v>4</v>
      </c>
      <c r="CC262" s="42" t="n">
        <f aca="false">IF(BC262&gt;=3,15,IF(BC262&gt;=p_RRmin,10,IF(BC262&gt;=1.5,4,0)))</f>
        <v>15</v>
      </c>
      <c r="CD262" s="42" t="n">
        <f aca="false">BY262+BZ262+CA262+CB262+CC262</f>
        <v>65</v>
      </c>
      <c r="CE262" s="42" t="n">
        <f aca="false">IF(AND(BS262&lt;&gt;1,BW262+BX262=0),1,0)</f>
        <v>0</v>
      </c>
      <c r="CF262" s="42" t="n">
        <f aca="false">IF(BU262=-1,1,0)</f>
        <v>1</v>
      </c>
      <c r="CG262" s="42" t="n">
        <f aca="false">IF(S262=-1,1,0)</f>
        <v>0</v>
      </c>
      <c r="CH262" s="42" t="n">
        <f aca="false">IF(BV262+BW262+BX262=0,1,0)</f>
        <v>0</v>
      </c>
      <c r="CI262" s="42" t="n">
        <f aca="false">IF(BC262&lt;p_RRmin,1,0)</f>
        <v>0</v>
      </c>
      <c r="CJ262" s="46" t="str">
        <f aca="false">IF(SUM(CE262:CI262)=0,IF(CD262&gt;=p_GradeA,"A",IF(CD262&gt;=p_GradeB,"B","C")),IF(AND(CI262=1,SUM(CE262:CH262)=0,CD262&gt;=p_GradeB),"B","C"))</f>
        <v>C</v>
      </c>
    </row>
    <row r="263" customFormat="false" ht="15" hidden="false" customHeight="false" outlineLevel="0" collapsed="false">
      <c r="A263" s="36" t="n">
        <v>46021</v>
      </c>
      <c r="B263" s="37" t="n">
        <v>29.03</v>
      </c>
      <c r="C263" s="37" t="n">
        <v>29.27</v>
      </c>
      <c r="D263" s="37" t="n">
        <v>28.93</v>
      </c>
      <c r="E263" s="37" t="n">
        <v>29.05</v>
      </c>
      <c r="F263" s="38" t="n">
        <v>2946900</v>
      </c>
      <c r="G263" s="39" t="n">
        <f aca="false">A263-WEEKDAY(A263,3)</f>
        <v>46020</v>
      </c>
      <c r="H263" s="40" t="n">
        <f aca="false">2/(p_EmaF+1)*E263+(1-2/(p_EmaF+1))*H262</f>
        <v>29.9130505817415</v>
      </c>
      <c r="I263" s="40" t="n">
        <f aca="false">2/(p_EmaS+1)*E263+(1-2/(p_EmaS+1))*I262</f>
        <v>30.1823112746173</v>
      </c>
      <c r="J263" s="41" t="n">
        <f aca="false">2/(p_MacdF+1)*E263+(1-2/(p_MacdF+1))*J262</f>
        <v>29.854557225105</v>
      </c>
      <c r="K263" s="41" t="n">
        <f aca="false">2/(p_MacdS+1)*E263+(1-2/(p_MacdS+1))*K262</f>
        <v>30.1823112746173</v>
      </c>
      <c r="L263" s="41" t="n">
        <f aca="false">J263-K263</f>
        <v>-0.327754049512279</v>
      </c>
      <c r="M263" s="41" t="n">
        <f aca="false">2/(p_MacdSig+1)*L263+(1-2/(p_MacdSig+1))*M262</f>
        <v>-0.00364741287918312</v>
      </c>
      <c r="N263" s="41" t="n">
        <f aca="false">L263-M263</f>
        <v>-0.324106636633096</v>
      </c>
      <c r="O263" s="42" t="n">
        <f aca="false">IF(H263&gt;H262,1,0)</f>
        <v>0</v>
      </c>
      <c r="P263" s="42" t="n">
        <f aca="false">IF(H263&lt;H262,1,0)</f>
        <v>1</v>
      </c>
      <c r="Q263" s="42" t="n">
        <f aca="false">IF(N263&gt;N262,1,0)</f>
        <v>1</v>
      </c>
      <c r="R263" s="42" t="n">
        <f aca="false">IF(N263&lt;N262,1,0)</f>
        <v>0</v>
      </c>
      <c r="S263" s="42" t="n">
        <f aca="false">IF(AND(O263=1,Q263=1),1,IF(AND(P263=1,R263=1),-1,0))</f>
        <v>0</v>
      </c>
      <c r="T263" s="43" t="str">
        <f aca="false">IF(S263=1,"绿",IF(S263=-1,"红","蓝"))</f>
        <v>蓝</v>
      </c>
      <c r="U263" s="44" t="n">
        <f aca="false">F263*(E263-E262)</f>
        <v>147345.000000002</v>
      </c>
      <c r="V263" s="44" t="n">
        <f aca="false">2/(p_FiS+1)*U263+(1-2/(p_FiS+1))*V262</f>
        <v>18059.7834592735</v>
      </c>
      <c r="W263" s="44" t="n">
        <f aca="false">2/(p_FiL+1)*U263+(1-2/(p_FiL+1))*W262</f>
        <v>-659505.073879605</v>
      </c>
      <c r="X263" s="41" t="n">
        <f aca="false">MAX(C263-D263,ABS(C263-E262),ABS(D263-E262))</f>
        <v>0.34</v>
      </c>
      <c r="Y263" s="41" t="n">
        <f aca="true">AVERAGE(OFFSET(X263,1-MIN(p_AtrN,ROW()-4),0,MIN(p_AtrN,ROW()-4),1))</f>
        <v>0.808461538461539</v>
      </c>
      <c r="Z263" s="41" t="n">
        <f aca="false">IF(AND(C263-C262&gt;D262-D263,C263-C262&gt;0),C263-C262,0)</f>
        <v>0.0599999999999987</v>
      </c>
      <c r="AA263" s="41" t="n">
        <f aca="false">IF(AND(D262-D263&gt;C263-C262,D262-D263&gt;0),D262-D263,0)</f>
        <v>0</v>
      </c>
      <c r="AB263" s="41" t="n">
        <f aca="false">2/(p_AdxN+1)*X263+(1-2/(p_AdxN+1))*AB262</f>
        <v>0.774108028425513</v>
      </c>
      <c r="AC263" s="41" t="n">
        <f aca="false">2/(p_AdxN+1)*Z263+(1-2/(p_AdxN+1))*AC262</f>
        <v>0.0363519706973766</v>
      </c>
      <c r="AD263" s="41" t="n">
        <f aca="false">2/(p_AdxN+1)*AA263+(1-2/(p_AdxN+1))*AD262</f>
        <v>0.249927173252924</v>
      </c>
      <c r="AE263" s="45" t="n">
        <f aca="false">100*AC263/AB263</f>
        <v>4.69598161529396</v>
      </c>
      <c r="AF263" s="45" t="n">
        <f aca="false">100*AD263/AB263</f>
        <v>32.2858262768907</v>
      </c>
      <c r="AG263" s="45" t="n">
        <f aca="false">IFERROR(100*ABS(AE263-AF263)/(AE263+AF263),0)</f>
        <v>74.603828839388</v>
      </c>
      <c r="AH263" s="45" t="n">
        <f aca="false">2/(p_AdxN+1)*AG263+(1-2/(p_AdxN+1))*AH262</f>
        <v>55.5287488189645</v>
      </c>
      <c r="AI263" s="40" t="n">
        <f aca="false">I263*(1+p_ChPct)</f>
        <v>31.9932499510943</v>
      </c>
      <c r="AJ263" s="40" t="n">
        <f aca="false">I263*(1-p_ChPct)</f>
        <v>28.3713725981403</v>
      </c>
      <c r="AK263" s="40" t="n">
        <f aca="false">I263+1*Y263</f>
        <v>30.9907728130788</v>
      </c>
      <c r="AL263" s="40" t="n">
        <f aca="false">I263+2*Y263</f>
        <v>31.7992343515404</v>
      </c>
      <c r="AM263" s="40" t="n">
        <f aca="false">I263+3*Y263</f>
        <v>32.6076958900019</v>
      </c>
      <c r="AN263" s="40" t="n">
        <f aca="false">I263-1*Y263</f>
        <v>29.3738497361558</v>
      </c>
      <c r="AO263" s="40" t="n">
        <f aca="false">I263-2*Y263</f>
        <v>28.5653881976942</v>
      </c>
      <c r="AP263" s="40" t="n">
        <f aca="false">I263-3*Y263</f>
        <v>27.7569266592327</v>
      </c>
      <c r="AQ263" s="40" t="n">
        <f aca="true">MAX(OFFSET(C263,1-MIN(p_StochN,ROW()-4),0,MIN(p_StochN,ROW()-4),1))</f>
        <v>30.75</v>
      </c>
      <c r="AR263" s="40" t="n">
        <f aca="true">MIN(OFFSET(D263,1-MIN(p_StochN,ROW()-4),0,MIN(p_StochN,ROW()-4),1))</f>
        <v>28.38</v>
      </c>
      <c r="AS263" s="45" t="n">
        <f aca="false">IF(AQ263=AR263,50,100*(E263-AR263)/(AQ263-AR263))</f>
        <v>28.2700421940929</v>
      </c>
      <c r="AT263" s="45" t="n">
        <f aca="true">AVERAGE(OFFSET(AS263,1-MIN(p_StochSm,ROW()-4),0,MIN(p_StochSm,ROW()-4),1))</f>
        <v>20.4597619638573</v>
      </c>
      <c r="AU263" s="45" t="n">
        <f aca="true">AVERAGE(OFFSET(AT263,1-MIN(p_StochSm,ROW()-4),0,MIN(p_StochSm,ROW()-4),1))</f>
        <v>14.340338563428</v>
      </c>
      <c r="AV263" s="41" t="n">
        <f aca="false">MAX(0,H263-D263)</f>
        <v>0.983050581741519</v>
      </c>
      <c r="AW263" s="41" t="n">
        <f aca="true">IF(COUNTIF(OFFSET(AV263,1-MIN(p_PenLb,ROW()-4),0,MIN(p_PenLb,ROW()-4),1),"&gt;0")&gt;0,SUM(OFFSET(AV263,1-MIN(p_PenLb,ROW()-4),0,MIN(p_PenLb,ROW()-4),1))/COUNTIF(OFFSET(AV263,1-MIN(p_PenLb,ROW()-4),0,MIN(p_PenLb,ROW()-4),1),"&gt;0"),0.5*Y263)</f>
        <v>0.803985667726913</v>
      </c>
      <c r="AX263" s="41" t="n">
        <f aca="false">2*H263-H262</f>
        <v>29.7692088181179</v>
      </c>
      <c r="AY263" s="40" t="n">
        <f aca="false">ROUND(MAX(AX263-AW263,0.01),2)</f>
        <v>28.97</v>
      </c>
      <c r="AZ263" s="40" t="n">
        <f aca="true">IF(MIN(p_StopLb,ROW()-4)&lt;2,D263,SMALL(OFFSET(D263,1-MIN(p_StopLb,ROW()-4),0,MIN(p_StopLb,ROW()-4),1),2))</f>
        <v>28.48</v>
      </c>
      <c r="BA263" s="40" t="n">
        <f aca="false">IF(MOD(ROUND(ROUNDDOWN(MIN(AZ263-0.01,AY263-p_StopAtr*Y263),2)*100,0),50)=0,ROUNDDOWN(MIN(AZ263-0.01,AY263-p_StopAtr*Y263),2)-0.01,ROUNDDOWN(MIN(AZ263-0.01,AY263-p_StopAtr*Y263),2))</f>
        <v>28.16</v>
      </c>
      <c r="BB263" s="40" t="n">
        <f aca="false">ROUND(AI263,2)</f>
        <v>31.99</v>
      </c>
      <c r="BC263" s="40" t="n">
        <f aca="false">IF(AY263-BA263&gt;0,(BB263-AY263)/(AY263-BA263),0)</f>
        <v>3.7283950617284</v>
      </c>
      <c r="BD263" s="42" t="n">
        <f aca="false">IF(N263&lt;0,1,0)</f>
        <v>1</v>
      </c>
      <c r="BE263" s="41" t="n">
        <f aca="false">IF(AND(BD263=1,BD262=0),N263,IF(BD263=1,MIN(BE262,N263),BE262))</f>
        <v>-0.356654552541767</v>
      </c>
      <c r="BF263" s="40" t="n">
        <f aca="false">IF(AND(BD263=1,BD262=0),D263,IF(BD263=1,MIN(BF262,D263),BF262))</f>
        <v>28.38</v>
      </c>
      <c r="BG263" s="42" t="n">
        <f aca="false">IF(AND(BD263=1,BD262=0),ROW(),IF(BD263=1,IF(N263&lt;BE262,ROW(),BG262),BG262))</f>
        <v>261</v>
      </c>
      <c r="BH263" s="41" t="n">
        <f aca="false">IF(AND(BD263=1,BD262=0),BE262,BH262)</f>
        <v>-0.153190541609803</v>
      </c>
      <c r="BI263" s="40" t="n">
        <f aca="false">IF(AND(BD263=1,BD262=0),BF262,BI262)</f>
        <v>27.9</v>
      </c>
      <c r="BJ263" s="42" t="n">
        <f aca="false">IF(AND(BD263=1,BD262=0),BG262,BJ262)</f>
        <v>226</v>
      </c>
      <c r="BK263" s="42" t="n">
        <f aca="false">IF(AND(ISNUMBER(BG263),ISNUMBER(BJ263)),BG263-BJ263,"")</f>
        <v>35</v>
      </c>
      <c r="BL263" s="42" t="n">
        <f aca="false">IF(AND(BD263=1,N263&gt;N262,ISNUMBER(BH263),ISNUMBER(BK263)),IF(AND(BE263&gt;BH263,BF263&lt;BI263,BK263&gt;=p_GapMin,BK263&lt;=p_GapMax),1,0),0)</f>
        <v>0</v>
      </c>
      <c r="BM263" s="42" t="n">
        <f aca="false">IF(AND(BL263=1,E263&gt;BI263),1,0)</f>
        <v>0</v>
      </c>
      <c r="BN263" s="42" t="n">
        <f aca="false">IF(BL263=1,IF(BE263&gt;=BH263*0.5,1,0),0)</f>
        <v>0</v>
      </c>
      <c r="BO263" s="42" t="n">
        <f aca="true">IF(V263&gt;MIN(OFFSET(V263,-MIN(p_FiLb-1,ROW()-5),0,MIN(p_FiLb-1,ROW()-5),1)),1,0)</f>
        <v>1</v>
      </c>
      <c r="BP263" s="44" t="n">
        <f aca="true">IF(COUNTIF(OFFSET(V263,1-MIN(100,ROW()-4),0,MIN(100,ROW()-4),1),"&lt;0")&gt;=5,AVERAGEIF(OFFSET(V263,1-MIN(100,ROW()-4),0,MIN(100,ROW()-4),1),"&lt;0"),"")</f>
        <v>-1018451.00441853</v>
      </c>
      <c r="BQ263" s="42" t="n">
        <f aca="false">IF(ISNUMBER(BP263),IF(AND(V263&lt;5*BP263,V263&gt;V262,E263&lt;AJ263),1,0),0)</f>
        <v>0</v>
      </c>
      <c r="BR263" s="44" t="n">
        <f aca="true">AVERAGE(OFFSET(F263,1-MIN(5,ROW()-4),0,MIN(5,ROW()-4),1))</f>
        <v>3716380</v>
      </c>
      <c r="BS263" s="42" t="n">
        <f aca="false">IFERROR(IF(MATCH(G263,周线!$A$5:$A$84,0)&lt;=1,"",INDEX(周线!$R$5:$R$84,MATCH(G263,周线!$A$5:$A$84,0)-1)),"")</f>
        <v>1</v>
      </c>
      <c r="BT263" s="42" t="n">
        <f aca="false">IFERROR(IF(MATCH(G263,周线!$A$5:$A$84,0)&lt;=1,"",INDEX(周线!$S$5:$S$84,MATCH(G263,周线!$A$5:$A$84,0)-1)),"")</f>
        <v>0</v>
      </c>
      <c r="BU263" s="42" t="n">
        <f aca="false">IFERROR(IF(MATCH(G263,周线!$A$5:$A$84,0)&lt;=1,"",INDEX(周线!$U$5:$U$84,MATCH(G263,周线!$A$5:$A$84,0)-1)),"")</f>
        <v>-1</v>
      </c>
      <c r="BV263" s="42" t="n">
        <f aca="false">IF(AND(BS263=1,S263&lt;&gt;-1,V263&lt;0,BO263=1,E263&lt;=H263,E263&gt;=AJ263),1,0)</f>
        <v>0</v>
      </c>
      <c r="BW263" s="42" t="n">
        <f aca="false">BL263</f>
        <v>0</v>
      </c>
      <c r="BX263" s="42" t="n">
        <f aca="false">BQ263</f>
        <v>0</v>
      </c>
      <c r="BY263" s="42" t="n">
        <f aca="false">IF(BS263=1,10,0)+IF(BU263=1,5,IF(BU263=-1,0,3))+IF(BT263=1,5,0)+IF(AND(AE263&gt;AF263,AH263&gt;AH262),5,0)</f>
        <v>10</v>
      </c>
      <c r="BZ263" s="42" t="n">
        <f aca="false">IF(AND(E263&lt;=H263,E263&gt;=I263),10,IF(AND(E263&gt;=AJ263,E263&lt;I263),6,0))+IF(AND(V263&lt;0,BO263=1),8,0)+IF(AT263&lt;30,7,IF(AT263&lt;50,3,0))</f>
        <v>13</v>
      </c>
      <c r="CA263" s="42" t="n">
        <f aca="false">IF(AND(BV263=1,BW263=1),25,IF(BW263=1,22,IF(BV263=1,15,IF(BX263=1,12,0))))</f>
        <v>0</v>
      </c>
      <c r="CB263" s="42" t="n">
        <f aca="false">IF(W263&gt;0,6,0)+IF(F263&lt;BR263,4,0)</f>
        <v>4</v>
      </c>
      <c r="CC263" s="42" t="n">
        <f aca="false">IF(BC263&gt;=3,15,IF(BC263&gt;=p_RRmin,10,IF(BC263&gt;=1.5,4,0)))</f>
        <v>15</v>
      </c>
      <c r="CD263" s="42" t="n">
        <f aca="false">BY263+BZ263+CA263+CB263+CC263</f>
        <v>42</v>
      </c>
      <c r="CE263" s="42" t="n">
        <f aca="false">IF(AND(BS263&lt;&gt;1,BW263+BX263=0),1,0)</f>
        <v>0</v>
      </c>
      <c r="CF263" s="42" t="n">
        <f aca="false">IF(BU263=-1,1,0)</f>
        <v>1</v>
      </c>
      <c r="CG263" s="42" t="n">
        <f aca="false">IF(S263=-1,1,0)</f>
        <v>0</v>
      </c>
      <c r="CH263" s="42" t="n">
        <f aca="false">IF(BV263+BW263+BX263=0,1,0)</f>
        <v>1</v>
      </c>
      <c r="CI263" s="42" t="n">
        <f aca="false">IF(BC263&lt;p_RRmin,1,0)</f>
        <v>0</v>
      </c>
      <c r="CJ263" s="46" t="str">
        <f aca="false">IF(SUM(CE263:CI263)=0,IF(CD263&gt;=p_GradeA,"A",IF(CD263&gt;=p_GradeB,"B","C")),IF(AND(CI263=1,SUM(CE263:CH263)=0,CD263&gt;=p_GradeB),"B","C"))</f>
        <v>C</v>
      </c>
    </row>
    <row r="264" customFormat="false" ht="15" hidden="false" customHeight="false" outlineLevel="0" collapsed="false">
      <c r="A264" s="36" t="n">
        <v>46022</v>
      </c>
      <c r="B264" s="37" t="n">
        <v>28.89</v>
      </c>
      <c r="C264" s="37" t="n">
        <v>29.32</v>
      </c>
      <c r="D264" s="37" t="n">
        <v>28.77</v>
      </c>
      <c r="E264" s="37" t="n">
        <v>29.16</v>
      </c>
      <c r="F264" s="38" t="n">
        <v>2777800</v>
      </c>
      <c r="G264" s="39" t="n">
        <f aca="false">A264-WEEKDAY(A264,3)</f>
        <v>46020</v>
      </c>
      <c r="H264" s="40" t="n">
        <f aca="false">2/(p_EmaF+1)*E264+(1-2/(p_EmaF+1))*H263</f>
        <v>29.805471927207</v>
      </c>
      <c r="I264" s="40" t="n">
        <f aca="false">2/(p_EmaS+1)*E264+(1-2/(p_EmaS+1))*I263</f>
        <v>30.1065845135345</v>
      </c>
      <c r="J264" s="41" t="n">
        <f aca="false">2/(p_MacdF+1)*E264+(1-2/(p_MacdF+1))*J263</f>
        <v>29.7477022673966</v>
      </c>
      <c r="K264" s="41" t="n">
        <f aca="false">2/(p_MacdS+1)*E264+(1-2/(p_MacdS+1))*K263</f>
        <v>30.1065845135345</v>
      </c>
      <c r="L264" s="41" t="n">
        <f aca="false">J264-K264</f>
        <v>-0.358882246137981</v>
      </c>
      <c r="M264" s="41" t="n">
        <f aca="false">2/(p_MacdSig+1)*L264+(1-2/(p_MacdSig+1))*M263</f>
        <v>-0.0746943795309426</v>
      </c>
      <c r="N264" s="41" t="n">
        <f aca="false">L264-M264</f>
        <v>-0.284187866607038</v>
      </c>
      <c r="O264" s="42" t="n">
        <f aca="false">IF(H264&gt;H263,1,0)</f>
        <v>0</v>
      </c>
      <c r="P264" s="42" t="n">
        <f aca="false">IF(H264&lt;H263,1,0)</f>
        <v>1</v>
      </c>
      <c r="Q264" s="42" t="n">
        <f aca="false">IF(N264&gt;N263,1,0)</f>
        <v>1</v>
      </c>
      <c r="R264" s="42" t="n">
        <f aca="false">IF(N264&lt;N263,1,0)</f>
        <v>0</v>
      </c>
      <c r="S264" s="42" t="n">
        <f aca="false">IF(AND(O264=1,Q264=1),1,IF(AND(P264=1,R264=1),-1,0))</f>
        <v>0</v>
      </c>
      <c r="T264" s="43" t="str">
        <f aca="false">IF(S264=1,"绿",IF(S264=-1,"红","蓝"))</f>
        <v>蓝</v>
      </c>
      <c r="U264" s="44" t="n">
        <f aca="false">F264*(E264-E263)</f>
        <v>305557.999999998</v>
      </c>
      <c r="V264" s="44" t="n">
        <f aca="false">2/(p_FiS+1)*U264+(1-2/(p_FiS+1))*V263</f>
        <v>209725.26115309</v>
      </c>
      <c r="W264" s="44" t="n">
        <f aca="false">2/(p_FiL+1)*U264+(1-2/(p_FiL+1))*W263</f>
        <v>-521638.920468233</v>
      </c>
      <c r="X264" s="41" t="n">
        <f aca="false">MAX(C264-D264,ABS(C264-E263),ABS(D264-E263))</f>
        <v>0.550000000000001</v>
      </c>
      <c r="Y264" s="41" t="n">
        <f aca="true">AVERAGE(OFFSET(X264,1-MIN(p_AtrN,ROW()-4),0,MIN(p_AtrN,ROW()-4),1))</f>
        <v>0.809230769230769</v>
      </c>
      <c r="Z264" s="41" t="n">
        <f aca="false">IF(AND(C264-C263&gt;D263-D264,C264-C263&gt;0),C264-C263,0)</f>
        <v>0</v>
      </c>
      <c r="AA264" s="41" t="n">
        <f aca="false">IF(AND(D263-D264&gt;C264-C263,D263-D264&gt;0),D263-D264,0)</f>
        <v>0.16</v>
      </c>
      <c r="AB264" s="41" t="n">
        <f aca="false">2/(p_AdxN+1)*X264+(1-2/(p_AdxN+1))*AB263</f>
        <v>0.742092595793297</v>
      </c>
      <c r="AC264" s="41" t="n">
        <f aca="false">2/(p_AdxN+1)*Z264+(1-2/(p_AdxN+1))*AC263</f>
        <v>0.0311588320263228</v>
      </c>
      <c r="AD264" s="41" t="n">
        <f aca="false">2/(p_AdxN+1)*AA264+(1-2/(p_AdxN+1))*AD263</f>
        <v>0.237080434216792</v>
      </c>
      <c r="AE264" s="45" t="n">
        <f aca="false">100*AC264/AB264</f>
        <v>4.19877953276357</v>
      </c>
      <c r="AF264" s="45" t="n">
        <f aca="false">100*AD264/AB264</f>
        <v>31.9475541948176</v>
      </c>
      <c r="AG264" s="45" t="n">
        <f aca="false">IFERROR(100*ABS(AE264-AF264)/(AE264+AF264),0)</f>
        <v>76.7678815538644</v>
      </c>
      <c r="AH264" s="45" t="n">
        <f aca="false">2/(p_AdxN+1)*AG264+(1-2/(p_AdxN+1))*AH263</f>
        <v>58.5629106382359</v>
      </c>
      <c r="AI264" s="40" t="n">
        <f aca="false">I264*(1+p_ChPct)</f>
        <v>31.9129795843466</v>
      </c>
      <c r="AJ264" s="40" t="n">
        <f aca="false">I264*(1-p_ChPct)</f>
        <v>28.3001894427225</v>
      </c>
      <c r="AK264" s="40" t="n">
        <f aca="false">I264+1*Y264</f>
        <v>30.9158152827653</v>
      </c>
      <c r="AL264" s="40" t="n">
        <f aca="false">I264+2*Y264</f>
        <v>31.7250460519961</v>
      </c>
      <c r="AM264" s="40" t="n">
        <f aca="false">I264+3*Y264</f>
        <v>32.5342768212269</v>
      </c>
      <c r="AN264" s="40" t="n">
        <f aca="false">I264-1*Y264</f>
        <v>29.2973537443038</v>
      </c>
      <c r="AO264" s="40" t="n">
        <f aca="false">I264-2*Y264</f>
        <v>28.488122975073</v>
      </c>
      <c r="AP264" s="40" t="n">
        <f aca="false">I264-3*Y264</f>
        <v>27.6788922058422</v>
      </c>
      <c r="AQ264" s="40" t="n">
        <f aca="true">MAX(OFFSET(C264,1-MIN(p_StochN,ROW()-4),0,MIN(p_StochN,ROW()-4),1))</f>
        <v>29.92</v>
      </c>
      <c r="AR264" s="40" t="n">
        <f aca="true">MIN(OFFSET(D264,1-MIN(p_StochN,ROW()-4),0,MIN(p_StochN,ROW()-4),1))</f>
        <v>28.38</v>
      </c>
      <c r="AS264" s="45" t="n">
        <f aca="false">IF(AQ264=AR264,50,100*(E264-AR264)/(AQ264-AR264))</f>
        <v>50.6493506493506</v>
      </c>
      <c r="AT264" s="45" t="n">
        <f aca="true">AVERAGE(OFFSET(AS264,1-MIN(p_StochSm,ROW()-4),0,MIN(p_StochSm,ROW()-4),1))</f>
        <v>34.9899376705036</v>
      </c>
      <c r="AU264" s="45" t="n">
        <f aca="true">AVERAGE(OFFSET(AT264,1-MIN(p_StochSm,ROW()-4),0,MIN(p_StochSm,ROW()-4),1))</f>
        <v>22.7594096318426</v>
      </c>
      <c r="AV264" s="41" t="n">
        <f aca="false">MAX(0,H264-D264)</f>
        <v>1.03547192720702</v>
      </c>
      <c r="AW264" s="41" t="n">
        <f aca="true">IF(COUNTIF(OFFSET(AV264,1-MIN(p_PenLb,ROW()-4),0,MIN(p_PenLb,ROW()-4),1),"&gt;0")&gt;0,SUM(OFFSET(AV264,1-MIN(p_PenLb,ROW()-4),0,MIN(p_PenLb,ROW()-4),1))/COUNTIF(OFFSET(AV264,1-MIN(p_PenLb,ROW()-4),0,MIN(p_PenLb,ROW()-4),1),"&gt;0"),0.5*Y264)</f>
        <v>0.816169155067971</v>
      </c>
      <c r="AX264" s="41" t="n">
        <f aca="false">2*H264-H263</f>
        <v>29.6978932726725</v>
      </c>
      <c r="AY264" s="40" t="n">
        <f aca="false">ROUND(MAX(AX264-AW264,0.01),2)</f>
        <v>28.88</v>
      </c>
      <c r="AZ264" s="40" t="n">
        <f aca="true">IF(MIN(p_StopLb,ROW()-4)&lt;2,D264,SMALL(OFFSET(D264,1-MIN(p_StopLb,ROW()-4),0,MIN(p_StopLb,ROW()-4),1),2))</f>
        <v>28.48</v>
      </c>
      <c r="BA264" s="40" t="n">
        <f aca="false">IF(MOD(ROUND(ROUNDDOWN(MIN(AZ264-0.01,AY264-p_StopAtr*Y264),2)*100,0),50)=0,ROUNDDOWN(MIN(AZ264-0.01,AY264-p_StopAtr*Y264),2)-0.01,ROUNDDOWN(MIN(AZ264-0.01,AY264-p_StopAtr*Y264),2))</f>
        <v>28.07</v>
      </c>
      <c r="BB264" s="40" t="n">
        <f aca="false">ROUND(AI264,2)</f>
        <v>31.91</v>
      </c>
      <c r="BC264" s="40" t="n">
        <f aca="false">IF(AY264-BA264&gt;0,(BB264-AY264)/(AY264-BA264),0)</f>
        <v>3.74074074074075</v>
      </c>
      <c r="BD264" s="42" t="n">
        <f aca="false">IF(N264&lt;0,1,0)</f>
        <v>1</v>
      </c>
      <c r="BE264" s="41" t="n">
        <f aca="false">IF(AND(BD264=1,BD263=0),N264,IF(BD264=1,MIN(BE263,N264),BE263))</f>
        <v>-0.356654552541767</v>
      </c>
      <c r="BF264" s="40" t="n">
        <f aca="false">IF(AND(BD264=1,BD263=0),D264,IF(BD264=1,MIN(BF263,D264),BF263))</f>
        <v>28.38</v>
      </c>
      <c r="BG264" s="42" t="n">
        <f aca="false">IF(AND(BD264=1,BD263=0),ROW(),IF(BD264=1,IF(N264&lt;BE263,ROW(),BG263),BG263))</f>
        <v>261</v>
      </c>
      <c r="BH264" s="41" t="n">
        <f aca="false">IF(AND(BD264=1,BD263=0),BE263,BH263)</f>
        <v>-0.153190541609803</v>
      </c>
      <c r="BI264" s="40" t="n">
        <f aca="false">IF(AND(BD264=1,BD263=0),BF263,BI263)</f>
        <v>27.9</v>
      </c>
      <c r="BJ264" s="42" t="n">
        <f aca="false">IF(AND(BD264=1,BD263=0),BG263,BJ263)</f>
        <v>226</v>
      </c>
      <c r="BK264" s="42" t="n">
        <f aca="false">IF(AND(ISNUMBER(BG264),ISNUMBER(BJ264)),BG264-BJ264,"")</f>
        <v>35</v>
      </c>
      <c r="BL264" s="42" t="n">
        <f aca="false">IF(AND(BD264=1,N264&gt;N263,ISNUMBER(BH264),ISNUMBER(BK264)),IF(AND(BE264&gt;BH264,BF264&lt;BI264,BK264&gt;=p_GapMin,BK264&lt;=p_GapMax),1,0),0)</f>
        <v>0</v>
      </c>
      <c r="BM264" s="42" t="n">
        <f aca="false">IF(AND(BL264=1,E264&gt;BI264),1,0)</f>
        <v>0</v>
      </c>
      <c r="BN264" s="42" t="n">
        <f aca="false">IF(BL264=1,IF(BE264&gt;=BH264*0.5,1,0),0)</f>
        <v>0</v>
      </c>
      <c r="BO264" s="42" t="n">
        <f aca="true">IF(V264&gt;MIN(OFFSET(V264,-MIN(p_FiLb-1,ROW()-5),0,MIN(p_FiLb-1,ROW()-5),1)),1,0)</f>
        <v>1</v>
      </c>
      <c r="BP264" s="44" t="n">
        <f aca="true">IF(COUNTIF(OFFSET(V264,1-MIN(100,ROW()-4),0,MIN(100,ROW()-4),1),"&lt;0")&gt;=5,AVERAGEIF(OFFSET(V264,1-MIN(100,ROW()-4),0,MIN(100,ROW()-4),1),"&lt;0"),"")</f>
        <v>-1018451.00441853</v>
      </c>
      <c r="BQ264" s="42" t="n">
        <f aca="false">IF(ISNUMBER(BP264),IF(AND(V264&lt;5*BP264,V264&gt;V263,E264&lt;AJ264),1,0),0)</f>
        <v>0</v>
      </c>
      <c r="BR264" s="44" t="n">
        <f aca="true">AVERAGE(OFFSET(F264,1-MIN(5,ROW()-4),0,MIN(5,ROW()-4),1))</f>
        <v>3279820</v>
      </c>
      <c r="BS264" s="42" t="n">
        <f aca="false">IFERROR(IF(MATCH(G264,周线!$A$5:$A$84,0)&lt;=1,"",INDEX(周线!$R$5:$R$84,MATCH(G264,周线!$A$5:$A$84,0)-1)),"")</f>
        <v>1</v>
      </c>
      <c r="BT264" s="42" t="n">
        <f aca="false">IFERROR(IF(MATCH(G264,周线!$A$5:$A$84,0)&lt;=1,"",INDEX(周线!$S$5:$S$84,MATCH(G264,周线!$A$5:$A$84,0)-1)),"")</f>
        <v>0</v>
      </c>
      <c r="BU264" s="42" t="n">
        <f aca="false">IFERROR(IF(MATCH(G264,周线!$A$5:$A$84,0)&lt;=1,"",INDEX(周线!$U$5:$U$84,MATCH(G264,周线!$A$5:$A$84,0)-1)),"")</f>
        <v>-1</v>
      </c>
      <c r="BV264" s="42" t="n">
        <f aca="false">IF(AND(BS264=1,S264&lt;&gt;-1,V264&lt;0,BO264=1,E264&lt;=H264,E264&gt;=AJ264),1,0)</f>
        <v>0</v>
      </c>
      <c r="BW264" s="42" t="n">
        <f aca="false">BL264</f>
        <v>0</v>
      </c>
      <c r="BX264" s="42" t="n">
        <f aca="false">BQ264</f>
        <v>0</v>
      </c>
      <c r="BY264" s="42" t="n">
        <f aca="false">IF(BS264=1,10,0)+IF(BU264=1,5,IF(BU264=-1,0,3))+IF(BT264=1,5,0)+IF(AND(AE264&gt;AF264,AH264&gt;AH263),5,0)</f>
        <v>10</v>
      </c>
      <c r="BZ264" s="42" t="n">
        <f aca="false">IF(AND(E264&lt;=H264,E264&gt;=I264),10,IF(AND(E264&gt;=AJ264,E264&lt;I264),6,0))+IF(AND(V264&lt;0,BO264=1),8,0)+IF(AT264&lt;30,7,IF(AT264&lt;50,3,0))</f>
        <v>9</v>
      </c>
      <c r="CA264" s="42" t="n">
        <f aca="false">IF(AND(BV264=1,BW264=1),25,IF(BW264=1,22,IF(BV264=1,15,IF(BX264=1,12,0))))</f>
        <v>0</v>
      </c>
      <c r="CB264" s="42" t="n">
        <f aca="false">IF(W264&gt;0,6,0)+IF(F264&lt;BR264,4,0)</f>
        <v>4</v>
      </c>
      <c r="CC264" s="42" t="n">
        <f aca="false">IF(BC264&gt;=3,15,IF(BC264&gt;=p_RRmin,10,IF(BC264&gt;=1.5,4,0)))</f>
        <v>15</v>
      </c>
      <c r="CD264" s="42" t="n">
        <f aca="false">BY264+BZ264+CA264+CB264+CC264</f>
        <v>38</v>
      </c>
      <c r="CE264" s="42" t="n">
        <f aca="false">IF(AND(BS264&lt;&gt;1,BW264+BX264=0),1,0)</f>
        <v>0</v>
      </c>
      <c r="CF264" s="42" t="n">
        <f aca="false">IF(BU264=-1,1,0)</f>
        <v>1</v>
      </c>
      <c r="CG264" s="42" t="n">
        <f aca="false">IF(S264=-1,1,0)</f>
        <v>0</v>
      </c>
      <c r="CH264" s="42" t="n">
        <f aca="false">IF(BV264+BW264+BX264=0,1,0)</f>
        <v>1</v>
      </c>
      <c r="CI264" s="42" t="n">
        <f aca="false">IF(BC264&lt;p_RRmin,1,0)</f>
        <v>0</v>
      </c>
      <c r="CJ264" s="46" t="str">
        <f aca="false">IF(SUM(CE264:CI264)=0,IF(CD264&gt;=p_GradeA,"A",IF(CD264&gt;=p_GradeB,"B","C")),IF(AND(CI264=1,SUM(CE264:CH264)=0,CD264&gt;=p_GradeB),"B","C"))</f>
        <v>C</v>
      </c>
    </row>
    <row r="265" customFormat="false" ht="15" hidden="false" customHeight="false" outlineLevel="0" collapsed="false">
      <c r="A265" s="36" t="n">
        <v>46023</v>
      </c>
      <c r="B265" s="37" t="n">
        <v>29.31</v>
      </c>
      <c r="C265" s="37" t="n">
        <v>29.45</v>
      </c>
      <c r="D265" s="37" t="n">
        <v>28.93</v>
      </c>
      <c r="E265" s="37" t="n">
        <v>29.06</v>
      </c>
      <c r="F265" s="38" t="n">
        <v>3579100</v>
      </c>
      <c r="G265" s="39" t="n">
        <f aca="false">A265-WEEKDAY(A265,3)</f>
        <v>46020</v>
      </c>
      <c r="H265" s="40" t="n">
        <f aca="false">2/(p_EmaF+1)*E265+(1-2/(p_EmaF+1))*H264</f>
        <v>29.698975937606</v>
      </c>
      <c r="I265" s="40" t="n">
        <f aca="false">2/(p_EmaS+1)*E265+(1-2/(p_EmaS+1))*I264</f>
        <v>30.0290597347542</v>
      </c>
      <c r="J265" s="41" t="n">
        <f aca="false">2/(p_MacdF+1)*E265+(1-2/(p_MacdF+1))*J264</f>
        <v>29.6419019185663</v>
      </c>
      <c r="K265" s="41" t="n">
        <f aca="false">2/(p_MacdS+1)*E265+(1-2/(p_MacdS+1))*K264</f>
        <v>30.0290597347542</v>
      </c>
      <c r="L265" s="41" t="n">
        <f aca="false">J265-K265</f>
        <v>-0.387157816187884</v>
      </c>
      <c r="M265" s="41" t="n">
        <f aca="false">2/(p_MacdSig+1)*L265+(1-2/(p_MacdSig+1))*M264</f>
        <v>-0.137187066862331</v>
      </c>
      <c r="N265" s="41" t="n">
        <f aca="false">L265-M265</f>
        <v>-0.249970749325553</v>
      </c>
      <c r="O265" s="42" t="n">
        <f aca="false">IF(H265&gt;H264,1,0)</f>
        <v>0</v>
      </c>
      <c r="P265" s="42" t="n">
        <f aca="false">IF(H265&lt;H264,1,0)</f>
        <v>1</v>
      </c>
      <c r="Q265" s="42" t="n">
        <f aca="false">IF(N265&gt;N264,1,0)</f>
        <v>1</v>
      </c>
      <c r="R265" s="42" t="n">
        <f aca="false">IF(N265&lt;N264,1,0)</f>
        <v>0</v>
      </c>
      <c r="S265" s="42" t="n">
        <f aca="false">IF(AND(O265=1,Q265=1),1,IF(AND(P265=1,R265=1),-1,0))</f>
        <v>0</v>
      </c>
      <c r="T265" s="43" t="str">
        <f aca="false">IF(S265=1,"绿",IF(S265=-1,"红","蓝"))</f>
        <v>蓝</v>
      </c>
      <c r="U265" s="44" t="n">
        <f aca="false">F265*(E265-E264)</f>
        <v>-357910.000000005</v>
      </c>
      <c r="V265" s="44" t="n">
        <f aca="false">2/(p_FiS+1)*U265+(1-2/(p_FiS+1))*V264</f>
        <v>-168698.246282307</v>
      </c>
      <c r="W265" s="44" t="n">
        <f aca="false">2/(p_FiL+1)*U265+(1-2/(p_FiL+1))*W264</f>
        <v>-498249.074687058</v>
      </c>
      <c r="X265" s="41" t="n">
        <f aca="false">MAX(C265-D265,ABS(C265-E264),ABS(D265-E264))</f>
        <v>0.52</v>
      </c>
      <c r="Y265" s="41" t="n">
        <f aca="true">AVERAGE(OFFSET(X265,1-MIN(p_AtrN,ROW()-4),0,MIN(p_AtrN,ROW()-4),1))</f>
        <v>0.77</v>
      </c>
      <c r="Z265" s="41" t="n">
        <f aca="false">IF(AND(C265-C264&gt;D264-D265,C265-C264&gt;0),C265-C264,0)</f>
        <v>0.129999999999999</v>
      </c>
      <c r="AA265" s="41" t="n">
        <f aca="false">IF(AND(D264-D265&gt;C265-C264,D264-D265&gt;0),D264-D265,0)</f>
        <v>0</v>
      </c>
      <c r="AB265" s="41" t="n">
        <f aca="false">2/(p_AdxN+1)*X265+(1-2/(p_AdxN+1))*AB264</f>
        <v>0.71036508210854</v>
      </c>
      <c r="AC265" s="41" t="n">
        <f aca="false">2/(p_AdxN+1)*Z265+(1-2/(p_AdxN+1))*AC264</f>
        <v>0.0452789988797051</v>
      </c>
      <c r="AD265" s="41" t="n">
        <f aca="false">2/(p_AdxN+1)*AA265+(1-2/(p_AdxN+1))*AD264</f>
        <v>0.203211800757251</v>
      </c>
      <c r="AE265" s="45" t="n">
        <f aca="false">100*AC265/AB265</f>
        <v>6.37404625031763</v>
      </c>
      <c r="AF265" s="45" t="n">
        <f aca="false">100*AD265/AB265</f>
        <v>28.6066708338292</v>
      </c>
      <c r="AG265" s="45" t="n">
        <f aca="false">IFERROR(100*ABS(AE265-AF265)/(AE265+AF265),0)</f>
        <v>63.5568005367945</v>
      </c>
      <c r="AH265" s="45" t="n">
        <f aca="false">2/(p_AdxN+1)*AG265+(1-2/(p_AdxN+1))*AH264</f>
        <v>59.2763234808871</v>
      </c>
      <c r="AI265" s="40" t="n">
        <f aca="false">I265*(1+p_ChPct)</f>
        <v>31.8308033188395</v>
      </c>
      <c r="AJ265" s="40" t="n">
        <f aca="false">I265*(1-p_ChPct)</f>
        <v>28.227316150669</v>
      </c>
      <c r="AK265" s="40" t="n">
        <f aca="false">I265+1*Y265</f>
        <v>30.7990597347542</v>
      </c>
      <c r="AL265" s="40" t="n">
        <f aca="false">I265+2*Y265</f>
        <v>31.5690597347542</v>
      </c>
      <c r="AM265" s="40" t="n">
        <f aca="false">I265+3*Y265</f>
        <v>32.3390597347542</v>
      </c>
      <c r="AN265" s="40" t="n">
        <f aca="false">I265-1*Y265</f>
        <v>29.2590597347542</v>
      </c>
      <c r="AO265" s="40" t="n">
        <f aca="false">I265-2*Y265</f>
        <v>28.4890597347542</v>
      </c>
      <c r="AP265" s="40" t="n">
        <f aca="false">I265-3*Y265</f>
        <v>27.7190597347542</v>
      </c>
      <c r="AQ265" s="40" t="n">
        <f aca="true">MAX(OFFSET(C265,1-MIN(p_StochN,ROW()-4),0,MIN(p_StochN,ROW()-4),1))</f>
        <v>29.45</v>
      </c>
      <c r="AR265" s="40" t="n">
        <f aca="true">MIN(OFFSET(D265,1-MIN(p_StochN,ROW()-4),0,MIN(p_StochN,ROW()-4),1))</f>
        <v>28.38</v>
      </c>
      <c r="AS265" s="45" t="n">
        <f aca="false">IF(AQ265=AR265,50,100*(E265-AR265)/(AQ265-AR265))</f>
        <v>63.5514018691588</v>
      </c>
      <c r="AT265" s="45" t="n">
        <f aca="true">AVERAGE(OFFSET(AS265,1-MIN(p_StochSm,ROW()-4),0,MIN(p_StochSm,ROW()-4),1))</f>
        <v>47.4902649042008</v>
      </c>
      <c r="AU265" s="45" t="n">
        <f aca="true">AVERAGE(OFFSET(AT265,1-MIN(p_StochSm,ROW()-4),0,MIN(p_StochSm,ROW()-4),1))</f>
        <v>34.3133215128539</v>
      </c>
      <c r="AV265" s="41" t="n">
        <f aca="false">MAX(0,H265-D265)</f>
        <v>0.768975937606015</v>
      </c>
      <c r="AW265" s="41" t="n">
        <f aca="true">IF(COUNTIF(OFFSET(AV265,1-MIN(p_PenLb,ROW()-4),0,MIN(p_PenLb,ROW()-4),1),"&gt;0")&gt;0,SUM(OFFSET(AV265,1-MIN(p_PenLb,ROW()-4),0,MIN(p_PenLb,ROW()-4),1))/COUNTIF(OFFSET(AV265,1-MIN(p_PenLb,ROW()-4),0,MIN(p_PenLb,ROW()-4),1),"&gt;0"),0.5*Y265)</f>
        <v>0.813809494194874</v>
      </c>
      <c r="AX265" s="41" t="n">
        <f aca="false">2*H265-H264</f>
        <v>29.592479948005</v>
      </c>
      <c r="AY265" s="40" t="n">
        <f aca="false">ROUND(MAX(AX265-AW265,0.01),2)</f>
        <v>28.78</v>
      </c>
      <c r="AZ265" s="40" t="n">
        <f aca="true">IF(MIN(p_StopLb,ROW()-4)&lt;2,D265,SMALL(OFFSET(D265,1-MIN(p_StopLb,ROW()-4),0,MIN(p_StopLb,ROW()-4),1),2))</f>
        <v>28.48</v>
      </c>
      <c r="BA265" s="40" t="n">
        <f aca="false">IF(MOD(ROUND(ROUNDDOWN(MIN(AZ265-0.01,AY265-p_StopAtr*Y265),2)*100,0),50)=0,ROUNDDOWN(MIN(AZ265-0.01,AY265-p_StopAtr*Y265),2)-0.01,ROUNDDOWN(MIN(AZ265-0.01,AY265-p_StopAtr*Y265),2))</f>
        <v>28.01</v>
      </c>
      <c r="BB265" s="40" t="n">
        <f aca="false">ROUND(AI265,2)</f>
        <v>31.83</v>
      </c>
      <c r="BC265" s="40" t="n">
        <f aca="false">IF(AY265-BA265&gt;0,(BB265-AY265)/(AY265-BA265),0)</f>
        <v>3.96103896103896</v>
      </c>
      <c r="BD265" s="42" t="n">
        <f aca="false">IF(N265&lt;0,1,0)</f>
        <v>1</v>
      </c>
      <c r="BE265" s="41" t="n">
        <f aca="false">IF(AND(BD265=1,BD264=0),N265,IF(BD265=1,MIN(BE264,N265),BE264))</f>
        <v>-0.356654552541767</v>
      </c>
      <c r="BF265" s="40" t="n">
        <f aca="false">IF(AND(BD265=1,BD264=0),D265,IF(BD265=1,MIN(BF264,D265),BF264))</f>
        <v>28.38</v>
      </c>
      <c r="BG265" s="42" t="n">
        <f aca="false">IF(AND(BD265=1,BD264=0),ROW(),IF(BD265=1,IF(N265&lt;BE264,ROW(),BG264),BG264))</f>
        <v>261</v>
      </c>
      <c r="BH265" s="41" t="n">
        <f aca="false">IF(AND(BD265=1,BD264=0),BE264,BH264)</f>
        <v>-0.153190541609803</v>
      </c>
      <c r="BI265" s="40" t="n">
        <f aca="false">IF(AND(BD265=1,BD264=0),BF264,BI264)</f>
        <v>27.9</v>
      </c>
      <c r="BJ265" s="42" t="n">
        <f aca="false">IF(AND(BD265=1,BD264=0),BG264,BJ264)</f>
        <v>226</v>
      </c>
      <c r="BK265" s="42" t="n">
        <f aca="false">IF(AND(ISNUMBER(BG265),ISNUMBER(BJ265)),BG265-BJ265,"")</f>
        <v>35</v>
      </c>
      <c r="BL265" s="42" t="n">
        <f aca="false">IF(AND(BD265=1,N265&gt;N264,ISNUMBER(BH265),ISNUMBER(BK265)),IF(AND(BE265&gt;BH265,BF265&lt;BI265,BK265&gt;=p_GapMin,BK265&lt;=p_GapMax),1,0),0)</f>
        <v>0</v>
      </c>
      <c r="BM265" s="42" t="n">
        <f aca="false">IF(AND(BL265=1,E265&gt;BI265),1,0)</f>
        <v>0</v>
      </c>
      <c r="BN265" s="42" t="n">
        <f aca="false">IF(BL265=1,IF(BE265&gt;=BH265*0.5,1,0),0)</f>
        <v>0</v>
      </c>
      <c r="BO265" s="42" t="n">
        <f aca="true">IF(V265&gt;MIN(OFFSET(V265,-MIN(p_FiLb-1,ROW()-5),0,MIN(p_FiLb-1,ROW()-5),1)),1,0)</f>
        <v>1</v>
      </c>
      <c r="BP265" s="44" t="n">
        <f aca="true">IF(COUNTIF(OFFSET(V265,1-MIN(100,ROW()-4),0,MIN(100,ROW()-4),1),"&lt;0")&gt;=5,AVERAGEIF(OFFSET(V265,1-MIN(100,ROW()-4),0,MIN(100,ROW()-4),1),"&lt;0"),"")</f>
        <v>-964349.428005683</v>
      </c>
      <c r="BQ265" s="42" t="n">
        <f aca="false">IF(ISNUMBER(BP265),IF(AND(V265&lt;5*BP265,V265&gt;V264,E265&lt;AJ265),1,0),0)</f>
        <v>0</v>
      </c>
      <c r="BR265" s="44" t="n">
        <f aca="true">AVERAGE(OFFSET(F265,1-MIN(5,ROW()-4),0,MIN(5,ROW()-4),1))</f>
        <v>3453920</v>
      </c>
      <c r="BS265" s="42" t="n">
        <f aca="false">IFERROR(IF(MATCH(G265,周线!$A$5:$A$84,0)&lt;=1,"",INDEX(周线!$R$5:$R$84,MATCH(G265,周线!$A$5:$A$84,0)-1)),"")</f>
        <v>1</v>
      </c>
      <c r="BT265" s="42" t="n">
        <f aca="false">IFERROR(IF(MATCH(G265,周线!$A$5:$A$84,0)&lt;=1,"",INDEX(周线!$S$5:$S$84,MATCH(G265,周线!$A$5:$A$84,0)-1)),"")</f>
        <v>0</v>
      </c>
      <c r="BU265" s="42" t="n">
        <f aca="false">IFERROR(IF(MATCH(G265,周线!$A$5:$A$84,0)&lt;=1,"",INDEX(周线!$U$5:$U$84,MATCH(G265,周线!$A$5:$A$84,0)-1)),"")</f>
        <v>-1</v>
      </c>
      <c r="BV265" s="42" t="n">
        <f aca="false">IF(AND(BS265=1,S265&lt;&gt;-1,V265&lt;0,BO265=1,E265&lt;=H265,E265&gt;=AJ265),1,0)</f>
        <v>1</v>
      </c>
      <c r="BW265" s="42" t="n">
        <f aca="false">BL265</f>
        <v>0</v>
      </c>
      <c r="BX265" s="42" t="n">
        <f aca="false">BQ265</f>
        <v>0</v>
      </c>
      <c r="BY265" s="42" t="n">
        <f aca="false">IF(BS265=1,10,0)+IF(BU265=1,5,IF(BU265=-1,0,3))+IF(BT265=1,5,0)+IF(AND(AE265&gt;AF265,AH265&gt;AH264),5,0)</f>
        <v>10</v>
      </c>
      <c r="BZ265" s="42" t="n">
        <f aca="false">IF(AND(E265&lt;=H265,E265&gt;=I265),10,IF(AND(E265&gt;=AJ265,E265&lt;I265),6,0))+IF(AND(V265&lt;0,BO265=1),8,0)+IF(AT265&lt;30,7,IF(AT265&lt;50,3,0))</f>
        <v>17</v>
      </c>
      <c r="CA265" s="42" t="n">
        <f aca="false">IF(AND(BV265=1,BW265=1),25,IF(BW265=1,22,IF(BV265=1,15,IF(BX265=1,12,0))))</f>
        <v>15</v>
      </c>
      <c r="CB265" s="42" t="n">
        <f aca="false">IF(W265&gt;0,6,0)+IF(F265&lt;BR265,4,0)</f>
        <v>0</v>
      </c>
      <c r="CC265" s="42" t="n">
        <f aca="false">IF(BC265&gt;=3,15,IF(BC265&gt;=p_RRmin,10,IF(BC265&gt;=1.5,4,0)))</f>
        <v>15</v>
      </c>
      <c r="CD265" s="42" t="n">
        <f aca="false">BY265+BZ265+CA265+CB265+CC265</f>
        <v>57</v>
      </c>
      <c r="CE265" s="42" t="n">
        <f aca="false">IF(AND(BS265&lt;&gt;1,BW265+BX265=0),1,0)</f>
        <v>0</v>
      </c>
      <c r="CF265" s="42" t="n">
        <f aca="false">IF(BU265=-1,1,0)</f>
        <v>1</v>
      </c>
      <c r="CG265" s="42" t="n">
        <f aca="false">IF(S265=-1,1,0)</f>
        <v>0</v>
      </c>
      <c r="CH265" s="42" t="n">
        <f aca="false">IF(BV265+BW265+BX265=0,1,0)</f>
        <v>0</v>
      </c>
      <c r="CI265" s="42" t="n">
        <f aca="false">IF(BC265&lt;p_RRmin,1,0)</f>
        <v>0</v>
      </c>
      <c r="CJ265" s="46" t="str">
        <f aca="false">IF(SUM(CE265:CI265)=0,IF(CD265&gt;=p_GradeA,"A",IF(CD265&gt;=p_GradeB,"B","C")),IF(AND(CI265=1,SUM(CE265:CH265)=0,CD265&gt;=p_GradeB),"B","C"))</f>
        <v>C</v>
      </c>
    </row>
    <row r="266" customFormat="false" ht="15" hidden="false" customHeight="false" outlineLevel="0" collapsed="false">
      <c r="A266" s="36" t="n">
        <v>46024</v>
      </c>
      <c r="B266" s="37" t="n">
        <v>29.15</v>
      </c>
      <c r="C266" s="37" t="n">
        <v>29.31</v>
      </c>
      <c r="D266" s="37" t="n">
        <v>28.4</v>
      </c>
      <c r="E266" s="37" t="n">
        <v>28.54</v>
      </c>
      <c r="F266" s="38" t="n">
        <v>3085800</v>
      </c>
      <c r="G266" s="39" t="n">
        <f aca="false">A266-WEEKDAY(A266,3)</f>
        <v>46020</v>
      </c>
      <c r="H266" s="40" t="n">
        <f aca="false">2/(p_EmaF+1)*E266+(1-2/(p_EmaF+1))*H265</f>
        <v>29.5334079465194</v>
      </c>
      <c r="I266" s="40" t="n">
        <f aca="false">2/(p_EmaS+1)*E266+(1-2/(p_EmaS+1))*I265</f>
        <v>29.9187590136613</v>
      </c>
      <c r="J266" s="41" t="n">
        <f aca="false">2/(p_MacdF+1)*E266+(1-2/(p_MacdF+1))*J265</f>
        <v>29.4723785464792</v>
      </c>
      <c r="K266" s="41" t="n">
        <f aca="false">2/(p_MacdS+1)*E266+(1-2/(p_MacdS+1))*K265</f>
        <v>29.9187590136613</v>
      </c>
      <c r="L266" s="41" t="n">
        <f aca="false">J266-K266</f>
        <v>-0.446380467182109</v>
      </c>
      <c r="M266" s="41" t="n">
        <f aca="false">2/(p_MacdSig+1)*L266+(1-2/(p_MacdSig+1))*M265</f>
        <v>-0.199025746926287</v>
      </c>
      <c r="N266" s="41" t="n">
        <f aca="false">L266-M266</f>
        <v>-0.247354720255823</v>
      </c>
      <c r="O266" s="42" t="n">
        <f aca="false">IF(H266&gt;H265,1,0)</f>
        <v>0</v>
      </c>
      <c r="P266" s="42" t="n">
        <f aca="false">IF(H266&lt;H265,1,0)</f>
        <v>1</v>
      </c>
      <c r="Q266" s="42" t="n">
        <f aca="false">IF(N266&gt;N265,1,0)</f>
        <v>1</v>
      </c>
      <c r="R266" s="42" t="n">
        <f aca="false">IF(N266&lt;N265,1,0)</f>
        <v>0</v>
      </c>
      <c r="S266" s="42" t="n">
        <f aca="false">IF(AND(O266=1,Q266=1),1,IF(AND(P266=1,R266=1),-1,0))</f>
        <v>0</v>
      </c>
      <c r="T266" s="43" t="str">
        <f aca="false">IF(S266=1,"绿",IF(S266=-1,"红","蓝"))</f>
        <v>蓝</v>
      </c>
      <c r="U266" s="44" t="n">
        <f aca="false">F266*(E266-E265)</f>
        <v>-1604616</v>
      </c>
      <c r="V266" s="44" t="n">
        <f aca="false">2/(p_FiS+1)*U266+(1-2/(p_FiS+1))*V265</f>
        <v>-1125976.74876077</v>
      </c>
      <c r="W266" s="44" t="n">
        <f aca="false">2/(p_FiL+1)*U266+(1-2/(p_FiL+1))*W265</f>
        <v>-656301.492588907</v>
      </c>
      <c r="X266" s="41" t="n">
        <f aca="false">MAX(C266-D266,ABS(C266-E265),ABS(D266-E265))</f>
        <v>0.91</v>
      </c>
      <c r="Y266" s="41" t="n">
        <f aca="true">AVERAGE(OFFSET(X266,1-MIN(p_AtrN,ROW()-4),0,MIN(p_AtrN,ROW()-4),1))</f>
        <v>0.793076923076923</v>
      </c>
      <c r="Z266" s="41" t="n">
        <f aca="false">IF(AND(C266-C265&gt;D265-D266,C266-C265&gt;0),C266-C265,0)</f>
        <v>0</v>
      </c>
      <c r="AA266" s="41" t="n">
        <f aca="false">IF(AND(D265-D266&gt;C266-C265,D265-D266&gt;0),D265-D266,0)</f>
        <v>0.530000000000001</v>
      </c>
      <c r="AB266" s="41" t="n">
        <f aca="false">2/(p_AdxN+1)*X266+(1-2/(p_AdxN+1))*AB265</f>
        <v>0.738884356093034</v>
      </c>
      <c r="AC266" s="41" t="n">
        <f aca="false">2/(p_AdxN+1)*Z266+(1-2/(p_AdxN+1))*AC265</f>
        <v>0.0388105704683187</v>
      </c>
      <c r="AD266" s="41" t="n">
        <f aca="false">2/(p_AdxN+1)*AA266+(1-2/(p_AdxN+1))*AD265</f>
        <v>0.249895829220501</v>
      </c>
      <c r="AE266" s="45" t="n">
        <f aca="false">100*AC266/AB266</f>
        <v>5.25259063184604</v>
      </c>
      <c r="AF266" s="45" t="n">
        <f aca="false">100*AD266/AB266</f>
        <v>33.8206956419897</v>
      </c>
      <c r="AG266" s="45" t="n">
        <f aca="false">IFERROR(100*ABS(AE266-AF266)/(AE266+AF266),0)</f>
        <v>73.114159914605</v>
      </c>
      <c r="AH266" s="45" t="n">
        <f aca="false">2/(p_AdxN+1)*AG266+(1-2/(p_AdxN+1))*AH265</f>
        <v>61.2531572571325</v>
      </c>
      <c r="AI266" s="40" t="n">
        <f aca="false">I266*(1+p_ChPct)</f>
        <v>31.713884554481</v>
      </c>
      <c r="AJ266" s="40" t="n">
        <f aca="false">I266*(1-p_ChPct)</f>
        <v>28.1236334728416</v>
      </c>
      <c r="AK266" s="40" t="n">
        <f aca="false">I266+1*Y266</f>
        <v>30.7118359367382</v>
      </c>
      <c r="AL266" s="40" t="n">
        <f aca="false">I266+2*Y266</f>
        <v>31.5049128598152</v>
      </c>
      <c r="AM266" s="40" t="n">
        <f aca="false">I266+3*Y266</f>
        <v>32.2979897828921</v>
      </c>
      <c r="AN266" s="40" t="n">
        <f aca="false">I266-1*Y266</f>
        <v>29.1256820905844</v>
      </c>
      <c r="AO266" s="40" t="n">
        <f aca="false">I266-2*Y266</f>
        <v>28.3326051675075</v>
      </c>
      <c r="AP266" s="40" t="n">
        <f aca="false">I266-3*Y266</f>
        <v>27.5395282444305</v>
      </c>
      <c r="AQ266" s="40" t="n">
        <f aca="true">MAX(OFFSET(C266,1-MIN(p_StochN,ROW()-4),0,MIN(p_StochN,ROW()-4),1))</f>
        <v>29.45</v>
      </c>
      <c r="AR266" s="40" t="n">
        <f aca="true">MIN(OFFSET(D266,1-MIN(p_StochN,ROW()-4),0,MIN(p_StochN,ROW()-4),1))</f>
        <v>28.38</v>
      </c>
      <c r="AS266" s="45" t="n">
        <f aca="false">IF(AQ266=AR266,50,100*(E266-AR266)/(AQ266-AR266))</f>
        <v>14.9532710280374</v>
      </c>
      <c r="AT266" s="45" t="n">
        <f aca="true">AVERAGE(OFFSET(AS266,1-MIN(p_StochSm,ROW()-4),0,MIN(p_StochSm,ROW()-4),1))</f>
        <v>43.0513411821823</v>
      </c>
      <c r="AU266" s="45" t="n">
        <f aca="true">AVERAGE(OFFSET(AT266,1-MIN(p_StochSm,ROW()-4),0,MIN(p_StochSm,ROW()-4),1))</f>
        <v>41.8438479189622</v>
      </c>
      <c r="AV266" s="41" t="n">
        <f aca="false">MAX(0,H266-D266)</f>
        <v>1.13340794651944</v>
      </c>
      <c r="AW266" s="41" t="n">
        <f aca="true">IF(COUNTIF(OFFSET(AV266,1-MIN(p_PenLb,ROW()-4),0,MIN(p_PenLb,ROW()-4),1),"&gt;0")&gt;0,SUM(OFFSET(AV266,1-MIN(p_PenLb,ROW()-4),0,MIN(p_PenLb,ROW()-4),1))/COUNTIF(OFFSET(AV266,1-MIN(p_PenLb,ROW()-4),0,MIN(p_PenLb,ROW()-4),1),"&gt;0"),0.5*Y266)</f>
        <v>0.829028468115091</v>
      </c>
      <c r="AX266" s="41" t="n">
        <f aca="false">2*H266-H265</f>
        <v>29.3678399554329</v>
      </c>
      <c r="AY266" s="40" t="n">
        <f aca="false">ROUND(MAX(AX266-AW266,0.01),2)</f>
        <v>28.54</v>
      </c>
      <c r="AZ266" s="40" t="n">
        <f aca="true">IF(MIN(p_StopLb,ROW()-4)&lt;2,D266,SMALL(OFFSET(D266,1-MIN(p_StopLb,ROW()-4),0,MIN(p_StopLb,ROW()-4),1),2))</f>
        <v>28.4</v>
      </c>
      <c r="BA266" s="40" t="n">
        <f aca="false">IF(MOD(ROUND(ROUNDDOWN(MIN(AZ266-0.01,AY266-p_StopAtr*Y266),2)*100,0),50)=0,ROUNDDOWN(MIN(AZ266-0.01,AY266-p_StopAtr*Y266),2)-0.01,ROUNDDOWN(MIN(AZ266-0.01,AY266-p_StopAtr*Y266),2))</f>
        <v>27.74</v>
      </c>
      <c r="BB266" s="40" t="n">
        <f aca="false">ROUND(AI266,2)</f>
        <v>31.71</v>
      </c>
      <c r="BC266" s="40" t="n">
        <f aca="false">IF(AY266-BA266&gt;0,(BB266-AY266)/(AY266-BA266),0)</f>
        <v>3.9625</v>
      </c>
      <c r="BD266" s="42" t="n">
        <f aca="false">IF(N266&lt;0,1,0)</f>
        <v>1</v>
      </c>
      <c r="BE266" s="41" t="n">
        <f aca="false">IF(AND(BD266=1,BD265=0),N266,IF(BD266=1,MIN(BE265,N266),BE265))</f>
        <v>-0.356654552541767</v>
      </c>
      <c r="BF266" s="40" t="n">
        <f aca="false">IF(AND(BD266=1,BD265=0),D266,IF(BD266=1,MIN(BF265,D266),BF265))</f>
        <v>28.38</v>
      </c>
      <c r="BG266" s="42" t="n">
        <f aca="false">IF(AND(BD266=1,BD265=0),ROW(),IF(BD266=1,IF(N266&lt;BE265,ROW(),BG265),BG265))</f>
        <v>261</v>
      </c>
      <c r="BH266" s="41" t="n">
        <f aca="false">IF(AND(BD266=1,BD265=0),BE265,BH265)</f>
        <v>-0.153190541609803</v>
      </c>
      <c r="BI266" s="40" t="n">
        <f aca="false">IF(AND(BD266=1,BD265=0),BF265,BI265)</f>
        <v>27.9</v>
      </c>
      <c r="BJ266" s="42" t="n">
        <f aca="false">IF(AND(BD266=1,BD265=0),BG265,BJ265)</f>
        <v>226</v>
      </c>
      <c r="BK266" s="42" t="n">
        <f aca="false">IF(AND(ISNUMBER(BG266),ISNUMBER(BJ266)),BG266-BJ266,"")</f>
        <v>35</v>
      </c>
      <c r="BL266" s="42" t="n">
        <f aca="false">IF(AND(BD266=1,N266&gt;N265,ISNUMBER(BH266),ISNUMBER(BK266)),IF(AND(BE266&gt;BH266,BF266&lt;BI266,BK266&gt;=p_GapMin,BK266&lt;=p_GapMax),1,0),0)</f>
        <v>0</v>
      </c>
      <c r="BM266" s="42" t="n">
        <f aca="false">IF(AND(BL266=1,E266&gt;BI266),1,0)</f>
        <v>0</v>
      </c>
      <c r="BN266" s="42" t="n">
        <f aca="false">IF(BL266=1,IF(BE266&gt;=BH266*0.5,1,0),0)</f>
        <v>0</v>
      </c>
      <c r="BO266" s="42" t="n">
        <f aca="true">IF(V266&gt;MIN(OFFSET(V266,-MIN(p_FiLb-1,ROW()-5),0,MIN(p_FiLb-1,ROW()-5),1)),1,0)</f>
        <v>1</v>
      </c>
      <c r="BP266" s="44" t="n">
        <f aca="true">IF(COUNTIF(OFFSET(V266,1-MIN(100,ROW()-4),0,MIN(100,ROW()-4),1),"&lt;0")&gt;=5,AVERAGEIF(OFFSET(V266,1-MIN(100,ROW()-4),0,MIN(100,ROW()-4),1),"&lt;0"),"")</f>
        <v>-968022.776204662</v>
      </c>
      <c r="BQ266" s="42" t="n">
        <f aca="false">IF(ISNUMBER(BP266),IF(AND(V266&lt;5*BP266,V266&gt;V265,E266&lt;AJ266),1,0),0)</f>
        <v>0</v>
      </c>
      <c r="BR266" s="44" t="n">
        <f aca="true">AVERAGE(OFFSET(F266,1-MIN(5,ROW()-4),0,MIN(5,ROW()-4),1))</f>
        <v>3103840</v>
      </c>
      <c r="BS266" s="42" t="n">
        <f aca="false">IFERROR(IF(MATCH(G266,周线!$A$5:$A$84,0)&lt;=1,"",INDEX(周线!$R$5:$R$84,MATCH(G266,周线!$A$5:$A$84,0)-1)),"")</f>
        <v>1</v>
      </c>
      <c r="BT266" s="42" t="n">
        <f aca="false">IFERROR(IF(MATCH(G266,周线!$A$5:$A$84,0)&lt;=1,"",INDEX(周线!$S$5:$S$84,MATCH(G266,周线!$A$5:$A$84,0)-1)),"")</f>
        <v>0</v>
      </c>
      <c r="BU266" s="42" t="n">
        <f aca="false">IFERROR(IF(MATCH(G266,周线!$A$5:$A$84,0)&lt;=1,"",INDEX(周线!$U$5:$U$84,MATCH(G266,周线!$A$5:$A$84,0)-1)),"")</f>
        <v>-1</v>
      </c>
      <c r="BV266" s="42" t="n">
        <f aca="false">IF(AND(BS266=1,S266&lt;&gt;-1,V266&lt;0,BO266=1,E266&lt;=H266,E266&gt;=AJ266),1,0)</f>
        <v>1</v>
      </c>
      <c r="BW266" s="42" t="n">
        <f aca="false">BL266</f>
        <v>0</v>
      </c>
      <c r="BX266" s="42" t="n">
        <f aca="false">BQ266</f>
        <v>0</v>
      </c>
      <c r="BY266" s="42" t="n">
        <f aca="false">IF(BS266=1,10,0)+IF(BU266=1,5,IF(BU266=-1,0,3))+IF(BT266=1,5,0)+IF(AND(AE266&gt;AF266,AH266&gt;AH265),5,0)</f>
        <v>10</v>
      </c>
      <c r="BZ266" s="42" t="n">
        <f aca="false">IF(AND(E266&lt;=H266,E266&gt;=I266),10,IF(AND(E266&gt;=AJ266,E266&lt;I266),6,0))+IF(AND(V266&lt;0,BO266=1),8,0)+IF(AT266&lt;30,7,IF(AT266&lt;50,3,0))</f>
        <v>17</v>
      </c>
      <c r="CA266" s="42" t="n">
        <f aca="false">IF(AND(BV266=1,BW266=1),25,IF(BW266=1,22,IF(BV266=1,15,IF(BX266=1,12,0))))</f>
        <v>15</v>
      </c>
      <c r="CB266" s="42" t="n">
        <f aca="false">IF(W266&gt;0,6,0)+IF(F266&lt;BR266,4,0)</f>
        <v>4</v>
      </c>
      <c r="CC266" s="42" t="n">
        <f aca="false">IF(BC266&gt;=3,15,IF(BC266&gt;=p_RRmin,10,IF(BC266&gt;=1.5,4,0)))</f>
        <v>15</v>
      </c>
      <c r="CD266" s="42" t="n">
        <f aca="false">BY266+BZ266+CA266+CB266+CC266</f>
        <v>61</v>
      </c>
      <c r="CE266" s="42" t="n">
        <f aca="false">IF(AND(BS266&lt;&gt;1,BW266+BX266=0),1,0)</f>
        <v>0</v>
      </c>
      <c r="CF266" s="42" t="n">
        <f aca="false">IF(BU266=-1,1,0)</f>
        <v>1</v>
      </c>
      <c r="CG266" s="42" t="n">
        <f aca="false">IF(S266=-1,1,0)</f>
        <v>0</v>
      </c>
      <c r="CH266" s="42" t="n">
        <f aca="false">IF(BV266+BW266+BX266=0,1,0)</f>
        <v>0</v>
      </c>
      <c r="CI266" s="42" t="n">
        <f aca="false">IF(BC266&lt;p_RRmin,1,0)</f>
        <v>0</v>
      </c>
      <c r="CJ266" s="46" t="str">
        <f aca="false">IF(SUM(CE266:CI266)=0,IF(CD266&gt;=p_GradeA,"A",IF(CD266&gt;=p_GradeB,"B","C")),IF(AND(CI266=1,SUM(CE266:CH266)=0,CD266&gt;=p_GradeB),"B","C"))</f>
        <v>C</v>
      </c>
    </row>
    <row r="267" customFormat="false" ht="15" hidden="false" customHeight="false" outlineLevel="0" collapsed="false">
      <c r="A267" s="36" t="n">
        <v>46027</v>
      </c>
      <c r="B267" s="37" t="n">
        <v>28.5</v>
      </c>
      <c r="C267" s="37" t="n">
        <v>28.65</v>
      </c>
      <c r="D267" s="37" t="n">
        <v>28.24</v>
      </c>
      <c r="E267" s="37" t="n">
        <v>28.36</v>
      </c>
      <c r="F267" s="38" t="n">
        <v>2588500</v>
      </c>
      <c r="G267" s="39" t="n">
        <f aca="false">A267-WEEKDAY(A267,3)</f>
        <v>46027</v>
      </c>
      <c r="H267" s="40" t="n">
        <f aca="false">2/(p_EmaF+1)*E267+(1-2/(p_EmaF+1))*H266</f>
        <v>29.3657782398738</v>
      </c>
      <c r="I267" s="40" t="n">
        <f aca="false">2/(p_EmaS+1)*E267+(1-2/(p_EmaS+1))*I266</f>
        <v>29.8032953830197</v>
      </c>
      <c r="J267" s="41" t="n">
        <f aca="false">2/(p_MacdF+1)*E267+(1-2/(p_MacdF+1))*J266</f>
        <v>29.3012433854824</v>
      </c>
      <c r="K267" s="41" t="n">
        <f aca="false">2/(p_MacdS+1)*E267+(1-2/(p_MacdS+1))*K266</f>
        <v>29.8032953830197</v>
      </c>
      <c r="L267" s="41" t="n">
        <f aca="false">J267-K267</f>
        <v>-0.502051997537333</v>
      </c>
      <c r="M267" s="41" t="n">
        <f aca="false">2/(p_MacdSig+1)*L267+(1-2/(p_MacdSig+1))*M266</f>
        <v>-0.259630997048496</v>
      </c>
      <c r="N267" s="41" t="n">
        <f aca="false">L267-M267</f>
        <v>-0.242421000488837</v>
      </c>
      <c r="O267" s="42" t="n">
        <f aca="false">IF(H267&gt;H266,1,0)</f>
        <v>0</v>
      </c>
      <c r="P267" s="42" t="n">
        <f aca="false">IF(H267&lt;H266,1,0)</f>
        <v>1</v>
      </c>
      <c r="Q267" s="42" t="n">
        <f aca="false">IF(N267&gt;N266,1,0)</f>
        <v>1</v>
      </c>
      <c r="R267" s="42" t="n">
        <f aca="false">IF(N267&lt;N266,1,0)</f>
        <v>0</v>
      </c>
      <c r="S267" s="42" t="n">
        <f aca="false">IF(AND(O267=1,Q267=1),1,IF(AND(P267=1,R267=1),-1,0))</f>
        <v>0</v>
      </c>
      <c r="T267" s="43" t="str">
        <f aca="false">IF(S267=1,"绿",IF(S267=-1,"红","蓝"))</f>
        <v>蓝</v>
      </c>
      <c r="U267" s="44" t="n">
        <f aca="false">F267*(E267-E266)</f>
        <v>-465929.999999999</v>
      </c>
      <c r="V267" s="44" t="n">
        <f aca="false">2/(p_FiS+1)*U267+(1-2/(p_FiS+1))*V266</f>
        <v>-685945.582920256</v>
      </c>
      <c r="W267" s="44" t="n">
        <f aca="false">2/(p_FiL+1)*U267+(1-2/(p_FiL+1))*W266</f>
        <v>-629105.565076206</v>
      </c>
      <c r="X267" s="41" t="n">
        <f aca="false">MAX(C267-D267,ABS(C267-E266),ABS(D267-E266))</f>
        <v>0.41</v>
      </c>
      <c r="Y267" s="41" t="n">
        <f aca="true">AVERAGE(OFFSET(X267,1-MIN(p_AtrN,ROW()-4),0,MIN(p_AtrN,ROW()-4),1))</f>
        <v>0.781538461538462</v>
      </c>
      <c r="Z267" s="41" t="n">
        <f aca="false">IF(AND(C267-C266&gt;D266-D267,C267-C266&gt;0),C267-C266,0)</f>
        <v>0</v>
      </c>
      <c r="AA267" s="41" t="n">
        <f aca="false">IF(AND(D266-D267&gt;C267-C266,D266-D267&gt;0),D266-D267,0)</f>
        <v>0.16</v>
      </c>
      <c r="AB267" s="41" t="n">
        <f aca="false">2/(p_AdxN+1)*X267+(1-2/(p_AdxN+1))*AB266</f>
        <v>0.691900876651172</v>
      </c>
      <c r="AC267" s="41" t="n">
        <f aca="false">2/(p_AdxN+1)*Z267+(1-2/(p_AdxN+1))*AC266</f>
        <v>0.0332662032585589</v>
      </c>
      <c r="AD267" s="41" t="n">
        <f aca="false">2/(p_AdxN+1)*AA267+(1-2/(p_AdxN+1))*AD266</f>
        <v>0.237053567903286</v>
      </c>
      <c r="AE267" s="45" t="n">
        <f aca="false">100*AC267/AB267</f>
        <v>4.80794350479343</v>
      </c>
      <c r="AF267" s="45" t="n">
        <f aca="false">100*AD267/AB267</f>
        <v>34.2612035774019</v>
      </c>
      <c r="AG267" s="45" t="n">
        <f aca="false">IFERROR(100*ABS(AE267-AF267)/(AE267+AF267),0)</f>
        <v>75.3875174460385</v>
      </c>
      <c r="AH267" s="45" t="n">
        <f aca="false">2/(p_AdxN+1)*AG267+(1-2/(p_AdxN+1))*AH266</f>
        <v>63.2723515698334</v>
      </c>
      <c r="AI267" s="40" t="n">
        <f aca="false">I267*(1+p_ChPct)</f>
        <v>31.5914931060009</v>
      </c>
      <c r="AJ267" s="40" t="n">
        <f aca="false">I267*(1-p_ChPct)</f>
        <v>28.0150976600385</v>
      </c>
      <c r="AK267" s="40" t="n">
        <f aca="false">I267+1*Y267</f>
        <v>30.5848338445582</v>
      </c>
      <c r="AL267" s="40" t="n">
        <f aca="false">I267+2*Y267</f>
        <v>31.3663723060967</v>
      </c>
      <c r="AM267" s="40" t="n">
        <f aca="false">I267+3*Y267</f>
        <v>32.1479107676351</v>
      </c>
      <c r="AN267" s="40" t="n">
        <f aca="false">I267-1*Y267</f>
        <v>29.0217569214813</v>
      </c>
      <c r="AO267" s="40" t="n">
        <f aca="false">I267-2*Y267</f>
        <v>28.2402184599428</v>
      </c>
      <c r="AP267" s="40" t="n">
        <f aca="false">I267-3*Y267</f>
        <v>27.4586799984043</v>
      </c>
      <c r="AQ267" s="40" t="n">
        <f aca="true">MAX(OFFSET(C267,1-MIN(p_StochN,ROW()-4),0,MIN(p_StochN,ROW()-4),1))</f>
        <v>29.45</v>
      </c>
      <c r="AR267" s="40" t="n">
        <f aca="true">MIN(OFFSET(D267,1-MIN(p_StochN,ROW()-4),0,MIN(p_StochN,ROW()-4),1))</f>
        <v>28.24</v>
      </c>
      <c r="AS267" s="45" t="n">
        <f aca="false">IF(AQ267=AR267,50,100*(E267-AR267)/(AQ267-AR267))</f>
        <v>9.9173553719009</v>
      </c>
      <c r="AT267" s="45" t="n">
        <f aca="true">AVERAGE(OFFSET(AS267,1-MIN(p_StochSm,ROW()-4),0,MIN(p_StochSm,ROW()-4),1))</f>
        <v>29.4740094230324</v>
      </c>
      <c r="AU267" s="45" t="n">
        <f aca="true">AVERAGE(OFFSET(AT267,1-MIN(p_StochSm,ROW()-4),0,MIN(p_StochSm,ROW()-4),1))</f>
        <v>40.0052051698051</v>
      </c>
      <c r="AV267" s="41" t="n">
        <f aca="false">MAX(0,H267-D267)</f>
        <v>1.12577823987381</v>
      </c>
      <c r="AW267" s="41" t="n">
        <f aca="true">IF(COUNTIF(OFFSET(AV267,1-MIN(p_PenLb,ROW()-4),0,MIN(p_PenLb,ROW()-4),1),"&gt;0")&gt;0,SUM(OFFSET(AV267,1-MIN(p_PenLb,ROW()-4),0,MIN(p_PenLb,ROW()-4),1))/COUNTIF(OFFSET(AV267,1-MIN(p_PenLb,ROW()-4),0,MIN(p_PenLb,ROW()-4),1),"&gt;0"),0.5*Y267)</f>
        <v>0.842517094104124</v>
      </c>
      <c r="AX267" s="41" t="n">
        <f aca="false">2*H267-H266</f>
        <v>29.1981485332282</v>
      </c>
      <c r="AY267" s="40" t="n">
        <f aca="false">ROUND(MAX(AX267-AW267,0.01),2)</f>
        <v>28.36</v>
      </c>
      <c r="AZ267" s="40" t="n">
        <f aca="true">IF(MIN(p_StopLb,ROW()-4)&lt;2,D267,SMALL(OFFSET(D267,1-MIN(p_StopLb,ROW()-4),0,MIN(p_StopLb,ROW()-4),1),2))</f>
        <v>28.38</v>
      </c>
      <c r="BA267" s="40" t="n">
        <f aca="false">IF(MOD(ROUND(ROUNDDOWN(MIN(AZ267-0.01,AY267-p_StopAtr*Y267),2)*100,0),50)=0,ROUNDDOWN(MIN(AZ267-0.01,AY267-p_StopAtr*Y267),2)-0.01,ROUNDDOWN(MIN(AZ267-0.01,AY267-p_StopAtr*Y267),2))</f>
        <v>27.57</v>
      </c>
      <c r="BB267" s="40" t="n">
        <f aca="false">ROUND(AI267,2)</f>
        <v>31.59</v>
      </c>
      <c r="BC267" s="40" t="n">
        <f aca="false">IF(AY267-BA267&gt;0,(BB267-AY267)/(AY267-BA267),0)</f>
        <v>4.08860759493671</v>
      </c>
      <c r="BD267" s="42" t="n">
        <f aca="false">IF(N267&lt;0,1,0)</f>
        <v>1</v>
      </c>
      <c r="BE267" s="41" t="n">
        <f aca="false">IF(AND(BD267=1,BD266=0),N267,IF(BD267=1,MIN(BE266,N267),BE266))</f>
        <v>-0.356654552541767</v>
      </c>
      <c r="BF267" s="40" t="n">
        <f aca="false">IF(AND(BD267=1,BD266=0),D267,IF(BD267=1,MIN(BF266,D267),BF266))</f>
        <v>28.24</v>
      </c>
      <c r="BG267" s="42" t="n">
        <f aca="false">IF(AND(BD267=1,BD266=0),ROW(),IF(BD267=1,IF(N267&lt;BE266,ROW(),BG266),BG266))</f>
        <v>261</v>
      </c>
      <c r="BH267" s="41" t="n">
        <f aca="false">IF(AND(BD267=1,BD266=0),BE266,BH266)</f>
        <v>-0.153190541609803</v>
      </c>
      <c r="BI267" s="40" t="n">
        <f aca="false">IF(AND(BD267=1,BD266=0),BF266,BI266)</f>
        <v>27.9</v>
      </c>
      <c r="BJ267" s="42" t="n">
        <f aca="false">IF(AND(BD267=1,BD266=0),BG266,BJ266)</f>
        <v>226</v>
      </c>
      <c r="BK267" s="42" t="n">
        <f aca="false">IF(AND(ISNUMBER(BG267),ISNUMBER(BJ267)),BG267-BJ267,"")</f>
        <v>35</v>
      </c>
      <c r="BL267" s="42" t="n">
        <f aca="false">IF(AND(BD267=1,N267&gt;N266,ISNUMBER(BH267),ISNUMBER(BK267)),IF(AND(BE267&gt;BH267,BF267&lt;BI267,BK267&gt;=p_GapMin,BK267&lt;=p_GapMax),1,0),0)</f>
        <v>0</v>
      </c>
      <c r="BM267" s="42" t="n">
        <f aca="false">IF(AND(BL267=1,E267&gt;BI267),1,0)</f>
        <v>0</v>
      </c>
      <c r="BN267" s="42" t="n">
        <f aca="false">IF(BL267=1,IF(BE267&gt;=BH267*0.5,1,0),0)</f>
        <v>0</v>
      </c>
      <c r="BO267" s="42" t="n">
        <f aca="true">IF(V267&gt;MIN(OFFSET(V267,-MIN(p_FiLb-1,ROW()-5),0,MIN(p_FiLb-1,ROW()-5),1)),1,0)</f>
        <v>1</v>
      </c>
      <c r="BP267" s="44" t="n">
        <f aca="true">IF(COUNTIF(OFFSET(V267,1-MIN(100,ROW()-4),0,MIN(100,ROW()-4),1),"&lt;0")&gt;=5,AVERAGEIF(OFFSET(V267,1-MIN(100,ROW()-4),0,MIN(100,ROW()-4),1),"&lt;0"),"")</f>
        <v>-961754.394131675</v>
      </c>
      <c r="BQ267" s="42" t="n">
        <f aca="false">IF(ISNUMBER(BP267),IF(AND(V267&lt;5*BP267,V267&gt;V266,E267&lt;AJ267),1,0),0)</f>
        <v>0</v>
      </c>
      <c r="BR267" s="44" t="n">
        <f aca="true">AVERAGE(OFFSET(F267,1-MIN(5,ROW()-4),0,MIN(5,ROW()-4),1))</f>
        <v>2995620</v>
      </c>
      <c r="BS267" s="42" t="n">
        <f aca="false">IFERROR(IF(MATCH(G267,周线!$A$5:$A$84,0)&lt;=1,"",INDEX(周线!$R$5:$R$84,MATCH(G267,周线!$A$5:$A$84,0)-1)),"")</f>
        <v>1</v>
      </c>
      <c r="BT267" s="42" t="n">
        <f aca="false">IFERROR(IF(MATCH(G267,周线!$A$5:$A$84,0)&lt;=1,"",INDEX(周线!$S$5:$S$84,MATCH(G267,周线!$A$5:$A$84,0)-1)),"")</f>
        <v>0</v>
      </c>
      <c r="BU267" s="42" t="n">
        <f aca="false">IFERROR(IF(MATCH(G267,周线!$A$5:$A$84,0)&lt;=1,"",INDEX(周线!$U$5:$U$84,MATCH(G267,周线!$A$5:$A$84,0)-1)),"")</f>
        <v>-1</v>
      </c>
      <c r="BV267" s="42" t="n">
        <f aca="false">IF(AND(BS267=1,S267&lt;&gt;-1,V267&lt;0,BO267=1,E267&lt;=H267,E267&gt;=AJ267),1,0)</f>
        <v>1</v>
      </c>
      <c r="BW267" s="42" t="n">
        <f aca="false">BL267</f>
        <v>0</v>
      </c>
      <c r="BX267" s="42" t="n">
        <f aca="false">BQ267</f>
        <v>0</v>
      </c>
      <c r="BY267" s="42" t="n">
        <f aca="false">IF(BS267=1,10,0)+IF(BU267=1,5,IF(BU267=-1,0,3))+IF(BT267=1,5,0)+IF(AND(AE267&gt;AF267,AH267&gt;AH266),5,0)</f>
        <v>10</v>
      </c>
      <c r="BZ267" s="42" t="n">
        <f aca="false">IF(AND(E267&lt;=H267,E267&gt;=I267),10,IF(AND(E267&gt;=AJ267,E267&lt;I267),6,0))+IF(AND(V267&lt;0,BO267=1),8,0)+IF(AT267&lt;30,7,IF(AT267&lt;50,3,0))</f>
        <v>21</v>
      </c>
      <c r="CA267" s="42" t="n">
        <f aca="false">IF(AND(BV267=1,BW267=1),25,IF(BW267=1,22,IF(BV267=1,15,IF(BX267=1,12,0))))</f>
        <v>15</v>
      </c>
      <c r="CB267" s="42" t="n">
        <f aca="false">IF(W267&gt;0,6,0)+IF(F267&lt;BR267,4,0)</f>
        <v>4</v>
      </c>
      <c r="CC267" s="42" t="n">
        <f aca="false">IF(BC267&gt;=3,15,IF(BC267&gt;=p_RRmin,10,IF(BC267&gt;=1.5,4,0)))</f>
        <v>15</v>
      </c>
      <c r="CD267" s="42" t="n">
        <f aca="false">BY267+BZ267+CA267+CB267+CC267</f>
        <v>65</v>
      </c>
      <c r="CE267" s="42" t="n">
        <f aca="false">IF(AND(BS267&lt;&gt;1,BW267+BX267=0),1,0)</f>
        <v>0</v>
      </c>
      <c r="CF267" s="42" t="n">
        <f aca="false">IF(BU267=-1,1,0)</f>
        <v>1</v>
      </c>
      <c r="CG267" s="42" t="n">
        <f aca="false">IF(S267=-1,1,0)</f>
        <v>0</v>
      </c>
      <c r="CH267" s="42" t="n">
        <f aca="false">IF(BV267+BW267+BX267=0,1,0)</f>
        <v>0</v>
      </c>
      <c r="CI267" s="42" t="n">
        <f aca="false">IF(BC267&lt;p_RRmin,1,0)</f>
        <v>0</v>
      </c>
      <c r="CJ267" s="46" t="str">
        <f aca="false">IF(SUM(CE267:CI267)=0,IF(CD267&gt;=p_GradeA,"A",IF(CD267&gt;=p_GradeB,"B","C")),IF(AND(CI267=1,SUM(CE267:CH267)=0,CD267&gt;=p_GradeB),"B","C"))</f>
        <v>C</v>
      </c>
    </row>
    <row r="268" customFormat="false" ht="15" hidden="false" customHeight="false" outlineLevel="0" collapsed="false">
      <c r="A268" s="36" t="n">
        <v>46028</v>
      </c>
      <c r="B268" s="37" t="n">
        <v>28.34</v>
      </c>
      <c r="C268" s="37" t="n">
        <v>28.73</v>
      </c>
      <c r="D268" s="37" t="n">
        <v>28.2</v>
      </c>
      <c r="E268" s="37" t="n">
        <v>28.64</v>
      </c>
      <c r="F268" s="38" t="n">
        <v>4542100</v>
      </c>
      <c r="G268" s="39" t="n">
        <f aca="false">A268-WEEKDAY(A268,3)</f>
        <v>46027</v>
      </c>
      <c r="H268" s="40" t="n">
        <f aca="false">2/(p_EmaF+1)*E268+(1-2/(p_EmaF+1))*H267</f>
        <v>29.2620956341776</v>
      </c>
      <c r="I268" s="40" t="n">
        <f aca="false">2/(p_EmaS+1)*E268+(1-2/(p_EmaS+1))*I267</f>
        <v>29.7171253546479</v>
      </c>
      <c r="J268" s="41" t="n">
        <f aca="false">2/(p_MacdF+1)*E268+(1-2/(p_MacdF+1))*J267</f>
        <v>29.1995136338697</v>
      </c>
      <c r="K268" s="41" t="n">
        <f aca="false">2/(p_MacdS+1)*E268+(1-2/(p_MacdS+1))*K267</f>
        <v>29.7171253546479</v>
      </c>
      <c r="L268" s="41" t="n">
        <f aca="false">J268-K268</f>
        <v>-0.517611720778177</v>
      </c>
      <c r="M268" s="41" t="n">
        <f aca="false">2/(p_MacdSig+1)*L268+(1-2/(p_MacdSig+1))*M267</f>
        <v>-0.311227141794432</v>
      </c>
      <c r="N268" s="41" t="n">
        <f aca="false">L268-M268</f>
        <v>-0.206384578983745</v>
      </c>
      <c r="O268" s="42" t="n">
        <f aca="false">IF(H268&gt;H267,1,0)</f>
        <v>0</v>
      </c>
      <c r="P268" s="42" t="n">
        <f aca="false">IF(H268&lt;H267,1,0)</f>
        <v>1</v>
      </c>
      <c r="Q268" s="42" t="n">
        <f aca="false">IF(N268&gt;N267,1,0)</f>
        <v>1</v>
      </c>
      <c r="R268" s="42" t="n">
        <f aca="false">IF(N268&lt;N267,1,0)</f>
        <v>0</v>
      </c>
      <c r="S268" s="42" t="n">
        <f aca="false">IF(AND(O268=1,Q268=1),1,IF(AND(P268=1,R268=1),-1,0))</f>
        <v>0</v>
      </c>
      <c r="T268" s="43" t="str">
        <f aca="false">IF(S268=1,"绿",IF(S268=-1,"红","蓝"))</f>
        <v>蓝</v>
      </c>
      <c r="U268" s="44" t="n">
        <f aca="false">F268*(E268-E267)</f>
        <v>1271788.00000001</v>
      </c>
      <c r="V268" s="44" t="n">
        <f aca="false">2/(p_FiS+1)*U268+(1-2/(p_FiS+1))*V267</f>
        <v>619210.139026585</v>
      </c>
      <c r="W268" s="44" t="n">
        <f aca="false">2/(p_FiL+1)*U268+(1-2/(p_FiL+1))*W267</f>
        <v>-357549.34149389</v>
      </c>
      <c r="X268" s="41" t="n">
        <f aca="false">MAX(C268-D268,ABS(C268-E267),ABS(D268-E267))</f>
        <v>0.530000000000001</v>
      </c>
      <c r="Y268" s="41" t="n">
        <f aca="true">AVERAGE(OFFSET(X268,1-MIN(p_AtrN,ROW()-4),0,MIN(p_AtrN,ROW()-4),1))</f>
        <v>0.772307692307693</v>
      </c>
      <c r="Z268" s="41" t="n">
        <f aca="false">IF(AND(C268-C267&gt;D267-D268,C268-C267&gt;0),C268-C267,0)</f>
        <v>0.0800000000000019</v>
      </c>
      <c r="AA268" s="41" t="n">
        <f aca="false">IF(AND(D267-D268&gt;C268-C267,D267-D268&gt;0),D267-D268,0)</f>
        <v>0</v>
      </c>
      <c r="AB268" s="41" t="n">
        <f aca="false">2/(p_AdxN+1)*X268+(1-2/(p_AdxN+1))*AB267</f>
        <v>0.668772179986719</v>
      </c>
      <c r="AC268" s="41" t="n">
        <f aca="false">2/(p_AdxN+1)*Z268+(1-2/(p_AdxN+1))*AC267</f>
        <v>0.0399424599359079</v>
      </c>
      <c r="AD268" s="41" t="n">
        <f aca="false">2/(p_AdxN+1)*AA268+(1-2/(p_AdxN+1))*AD267</f>
        <v>0.203188772488531</v>
      </c>
      <c r="AE268" s="45" t="n">
        <f aca="false">100*AC268/AB268</f>
        <v>5.97250620333834</v>
      </c>
      <c r="AF268" s="45" t="n">
        <f aca="false">100*AD268/AB268</f>
        <v>30.3823601772081</v>
      </c>
      <c r="AG268" s="45" t="n">
        <f aca="false">IFERROR(100*ABS(AE268-AF268)/(AE268+AF268),0)</f>
        <v>67.1432916802894</v>
      </c>
      <c r="AH268" s="45" t="n">
        <f aca="false">2/(p_AdxN+1)*AG268+(1-2/(p_AdxN+1))*AH267</f>
        <v>63.8253430141843</v>
      </c>
      <c r="AI268" s="40" t="n">
        <f aca="false">I268*(1+p_ChPct)</f>
        <v>31.5001528759268</v>
      </c>
      <c r="AJ268" s="40" t="n">
        <f aca="false">I268*(1-p_ChPct)</f>
        <v>27.934097833369</v>
      </c>
      <c r="AK268" s="40" t="n">
        <f aca="false">I268+1*Y268</f>
        <v>30.4894330469556</v>
      </c>
      <c r="AL268" s="40" t="n">
        <f aca="false">I268+2*Y268</f>
        <v>31.2617407392633</v>
      </c>
      <c r="AM268" s="40" t="n">
        <f aca="false">I268+3*Y268</f>
        <v>32.034048431571</v>
      </c>
      <c r="AN268" s="40" t="n">
        <f aca="false">I268-1*Y268</f>
        <v>28.9448176623402</v>
      </c>
      <c r="AO268" s="40" t="n">
        <f aca="false">I268-2*Y268</f>
        <v>28.1725099700325</v>
      </c>
      <c r="AP268" s="40" t="n">
        <f aca="false">I268-3*Y268</f>
        <v>27.4002022777248</v>
      </c>
      <c r="AQ268" s="40" t="n">
        <f aca="true">MAX(OFFSET(C268,1-MIN(p_StochN,ROW()-4),0,MIN(p_StochN,ROW()-4),1))</f>
        <v>29.45</v>
      </c>
      <c r="AR268" s="40" t="n">
        <f aca="true">MIN(OFFSET(D268,1-MIN(p_StochN,ROW()-4),0,MIN(p_StochN,ROW()-4),1))</f>
        <v>28.2</v>
      </c>
      <c r="AS268" s="45" t="n">
        <f aca="false">IF(AQ268=AR268,50,100*(E268-AR268)/(AQ268-AR268))</f>
        <v>35.2000000000001</v>
      </c>
      <c r="AT268" s="45" t="n">
        <f aca="true">AVERAGE(OFFSET(AS268,1-MIN(p_StochSm,ROW()-4),0,MIN(p_StochSm,ROW()-4),1))</f>
        <v>20.0235421333128</v>
      </c>
      <c r="AU268" s="45" t="n">
        <f aca="true">AVERAGE(OFFSET(AT268,1-MIN(p_StochSm,ROW()-4),0,MIN(p_StochSm,ROW()-4),1))</f>
        <v>30.8496309128425</v>
      </c>
      <c r="AV268" s="41" t="n">
        <f aca="false">MAX(0,H268-D268)</f>
        <v>1.06209563417755</v>
      </c>
      <c r="AW268" s="41" t="n">
        <f aca="true">IF(COUNTIF(OFFSET(AV268,1-MIN(p_PenLb,ROW()-4),0,MIN(p_PenLb,ROW()-4),1),"&gt;0")&gt;0,SUM(OFFSET(AV268,1-MIN(p_PenLb,ROW()-4),0,MIN(p_PenLb,ROW()-4),1))/COUNTIF(OFFSET(AV268,1-MIN(p_PenLb,ROW()-4),0,MIN(p_PenLb,ROW()-4),1),"&gt;0"),0.5*Y268)</f>
        <v>0.852063987150795</v>
      </c>
      <c r="AX268" s="41" t="n">
        <f aca="false">2*H268-H267</f>
        <v>29.1584130284813</v>
      </c>
      <c r="AY268" s="40" t="n">
        <f aca="false">ROUND(MAX(AX268-AW268,0.01),2)</f>
        <v>28.31</v>
      </c>
      <c r="AZ268" s="40" t="n">
        <f aca="true">IF(MIN(p_StopLb,ROW()-4)&lt;2,D268,SMALL(OFFSET(D268,1-MIN(p_StopLb,ROW()-4),0,MIN(p_StopLb,ROW()-4),1),2))</f>
        <v>28.24</v>
      </c>
      <c r="BA268" s="40" t="n">
        <f aca="false">IF(MOD(ROUND(ROUNDDOWN(MIN(AZ268-0.01,AY268-p_StopAtr*Y268),2)*100,0),50)=0,ROUNDDOWN(MIN(AZ268-0.01,AY268-p_StopAtr*Y268),2)-0.01,ROUNDDOWN(MIN(AZ268-0.01,AY268-p_StopAtr*Y268),2))</f>
        <v>27.53</v>
      </c>
      <c r="BB268" s="40" t="n">
        <f aca="false">ROUND(AI268,2)</f>
        <v>31.5</v>
      </c>
      <c r="BC268" s="40" t="n">
        <f aca="false">IF(AY268-BA268&gt;0,(BB268-AY268)/(AY268-BA268),0)</f>
        <v>4.0897435897436</v>
      </c>
      <c r="BD268" s="42" t="n">
        <f aca="false">IF(N268&lt;0,1,0)</f>
        <v>1</v>
      </c>
      <c r="BE268" s="41" t="n">
        <f aca="false">IF(AND(BD268=1,BD267=0),N268,IF(BD268=1,MIN(BE267,N268),BE267))</f>
        <v>-0.356654552541767</v>
      </c>
      <c r="BF268" s="40" t="n">
        <f aca="false">IF(AND(BD268=1,BD267=0),D268,IF(BD268=1,MIN(BF267,D268),BF267))</f>
        <v>28.2</v>
      </c>
      <c r="BG268" s="42" t="n">
        <f aca="false">IF(AND(BD268=1,BD267=0),ROW(),IF(BD268=1,IF(N268&lt;BE267,ROW(),BG267),BG267))</f>
        <v>261</v>
      </c>
      <c r="BH268" s="41" t="n">
        <f aca="false">IF(AND(BD268=1,BD267=0),BE267,BH267)</f>
        <v>-0.153190541609803</v>
      </c>
      <c r="BI268" s="40" t="n">
        <f aca="false">IF(AND(BD268=1,BD267=0),BF267,BI267)</f>
        <v>27.9</v>
      </c>
      <c r="BJ268" s="42" t="n">
        <f aca="false">IF(AND(BD268=1,BD267=0),BG267,BJ267)</f>
        <v>226</v>
      </c>
      <c r="BK268" s="42" t="n">
        <f aca="false">IF(AND(ISNUMBER(BG268),ISNUMBER(BJ268)),BG268-BJ268,"")</f>
        <v>35</v>
      </c>
      <c r="BL268" s="42" t="n">
        <f aca="false">IF(AND(BD268=1,N268&gt;N267,ISNUMBER(BH268),ISNUMBER(BK268)),IF(AND(BE268&gt;BH268,BF268&lt;BI268,BK268&gt;=p_GapMin,BK268&lt;=p_GapMax),1,0),0)</f>
        <v>0</v>
      </c>
      <c r="BM268" s="42" t="n">
        <f aca="false">IF(AND(BL268=1,E268&gt;BI268),1,0)</f>
        <v>0</v>
      </c>
      <c r="BN268" s="42" t="n">
        <f aca="false">IF(BL268=1,IF(BE268&gt;=BH268*0.5,1,0),0)</f>
        <v>0</v>
      </c>
      <c r="BO268" s="42" t="n">
        <f aca="true">IF(V268&gt;MIN(OFFSET(V268,-MIN(p_FiLb-1,ROW()-5),0,MIN(p_FiLb-1,ROW()-5),1)),1,0)</f>
        <v>1</v>
      </c>
      <c r="BP268" s="44" t="n">
        <f aca="true">IF(COUNTIF(OFFSET(V268,1-MIN(100,ROW()-4),0,MIN(100,ROW()-4),1),"&lt;0")&gt;=5,AVERAGEIF(OFFSET(V268,1-MIN(100,ROW()-4),0,MIN(100,ROW()-4),1),"&lt;0"),"")</f>
        <v>-961754.394131675</v>
      </c>
      <c r="BQ268" s="42" t="n">
        <f aca="false">IF(ISNUMBER(BP268),IF(AND(V268&lt;5*BP268,V268&gt;V267,E268&lt;AJ268),1,0),0)</f>
        <v>0</v>
      </c>
      <c r="BR268" s="44" t="n">
        <f aca="true">AVERAGE(OFFSET(F268,1-MIN(5,ROW()-4),0,MIN(5,ROW()-4),1))</f>
        <v>3314660</v>
      </c>
      <c r="BS268" s="42" t="n">
        <f aca="false">IFERROR(IF(MATCH(G268,周线!$A$5:$A$84,0)&lt;=1,"",INDEX(周线!$R$5:$R$84,MATCH(G268,周线!$A$5:$A$84,0)-1)),"")</f>
        <v>1</v>
      </c>
      <c r="BT268" s="42" t="n">
        <f aca="false">IFERROR(IF(MATCH(G268,周线!$A$5:$A$84,0)&lt;=1,"",INDEX(周线!$S$5:$S$84,MATCH(G268,周线!$A$5:$A$84,0)-1)),"")</f>
        <v>0</v>
      </c>
      <c r="BU268" s="42" t="n">
        <f aca="false">IFERROR(IF(MATCH(G268,周线!$A$5:$A$84,0)&lt;=1,"",INDEX(周线!$U$5:$U$84,MATCH(G268,周线!$A$5:$A$84,0)-1)),"")</f>
        <v>-1</v>
      </c>
      <c r="BV268" s="42" t="n">
        <f aca="false">IF(AND(BS268=1,S268&lt;&gt;-1,V268&lt;0,BO268=1,E268&lt;=H268,E268&gt;=AJ268),1,0)</f>
        <v>0</v>
      </c>
      <c r="BW268" s="42" t="n">
        <f aca="false">BL268</f>
        <v>0</v>
      </c>
      <c r="BX268" s="42" t="n">
        <f aca="false">BQ268</f>
        <v>0</v>
      </c>
      <c r="BY268" s="42" t="n">
        <f aca="false">IF(BS268=1,10,0)+IF(BU268=1,5,IF(BU268=-1,0,3))+IF(BT268=1,5,0)+IF(AND(AE268&gt;AF268,AH268&gt;AH267),5,0)</f>
        <v>10</v>
      </c>
      <c r="BZ268" s="42" t="n">
        <f aca="false">IF(AND(E268&lt;=H268,E268&gt;=I268),10,IF(AND(E268&gt;=AJ268,E268&lt;I268),6,0))+IF(AND(V268&lt;0,BO268=1),8,0)+IF(AT268&lt;30,7,IF(AT268&lt;50,3,0))</f>
        <v>13</v>
      </c>
      <c r="CA268" s="42" t="n">
        <f aca="false">IF(AND(BV268=1,BW268=1),25,IF(BW268=1,22,IF(BV268=1,15,IF(BX268=1,12,0))))</f>
        <v>0</v>
      </c>
      <c r="CB268" s="42" t="n">
        <f aca="false">IF(W268&gt;0,6,0)+IF(F268&lt;BR268,4,0)</f>
        <v>0</v>
      </c>
      <c r="CC268" s="42" t="n">
        <f aca="false">IF(BC268&gt;=3,15,IF(BC268&gt;=p_RRmin,10,IF(BC268&gt;=1.5,4,0)))</f>
        <v>15</v>
      </c>
      <c r="CD268" s="42" t="n">
        <f aca="false">BY268+BZ268+CA268+CB268+CC268</f>
        <v>38</v>
      </c>
      <c r="CE268" s="42" t="n">
        <f aca="false">IF(AND(BS268&lt;&gt;1,BW268+BX268=0),1,0)</f>
        <v>0</v>
      </c>
      <c r="CF268" s="42" t="n">
        <f aca="false">IF(BU268=-1,1,0)</f>
        <v>1</v>
      </c>
      <c r="CG268" s="42" t="n">
        <f aca="false">IF(S268=-1,1,0)</f>
        <v>0</v>
      </c>
      <c r="CH268" s="42" t="n">
        <f aca="false">IF(BV268+BW268+BX268=0,1,0)</f>
        <v>1</v>
      </c>
      <c r="CI268" s="42" t="n">
        <f aca="false">IF(BC268&lt;p_RRmin,1,0)</f>
        <v>0</v>
      </c>
      <c r="CJ268" s="46" t="str">
        <f aca="false">IF(SUM(CE268:CI268)=0,IF(CD268&gt;=p_GradeA,"A",IF(CD268&gt;=p_GradeB,"B","C")),IF(AND(CI268=1,SUM(CE268:CH268)=0,CD268&gt;=p_GradeB),"B","C"))</f>
        <v>C</v>
      </c>
    </row>
    <row r="269" customFormat="false" ht="15" hidden="false" customHeight="false" outlineLevel="0" collapsed="false">
      <c r="A269" s="36" t="n">
        <v>46029</v>
      </c>
      <c r="B269" s="37" t="n">
        <v>28.85</v>
      </c>
      <c r="C269" s="37" t="n">
        <v>28.98</v>
      </c>
      <c r="D269" s="37" t="n">
        <v>28.17</v>
      </c>
      <c r="E269" s="37" t="n">
        <v>28.42</v>
      </c>
      <c r="F269" s="38" t="n">
        <v>3978200</v>
      </c>
      <c r="G269" s="39" t="n">
        <f aca="false">A269-WEEKDAY(A269,3)</f>
        <v>46027</v>
      </c>
      <c r="H269" s="40" t="n">
        <f aca="false">2/(p_EmaF+1)*E269+(1-2/(p_EmaF+1))*H268</f>
        <v>29.1417962578665</v>
      </c>
      <c r="I269" s="40" t="n">
        <f aca="false">2/(p_EmaS+1)*E269+(1-2/(p_EmaS+1))*I268</f>
        <v>29.6210419950443</v>
      </c>
      <c r="J269" s="41" t="n">
        <f aca="false">2/(p_MacdF+1)*E269+(1-2/(p_MacdF+1))*J268</f>
        <v>29.0795884594282</v>
      </c>
      <c r="K269" s="41" t="n">
        <f aca="false">2/(p_MacdS+1)*E269+(1-2/(p_MacdS+1))*K268</f>
        <v>29.6210419950443</v>
      </c>
      <c r="L269" s="41" t="n">
        <f aca="false">J269-K269</f>
        <v>-0.541453535616125</v>
      </c>
      <c r="M269" s="41" t="n">
        <f aca="false">2/(p_MacdSig+1)*L269+(1-2/(p_MacdSig+1))*M268</f>
        <v>-0.357272420558771</v>
      </c>
      <c r="N269" s="41" t="n">
        <f aca="false">L269-M269</f>
        <v>-0.184181115057354</v>
      </c>
      <c r="O269" s="42" t="n">
        <f aca="false">IF(H269&gt;H268,1,0)</f>
        <v>0</v>
      </c>
      <c r="P269" s="42" t="n">
        <f aca="false">IF(H269&lt;H268,1,0)</f>
        <v>1</v>
      </c>
      <c r="Q269" s="42" t="n">
        <f aca="false">IF(N269&gt;N268,1,0)</f>
        <v>1</v>
      </c>
      <c r="R269" s="42" t="n">
        <f aca="false">IF(N269&lt;N268,1,0)</f>
        <v>0</v>
      </c>
      <c r="S269" s="42" t="n">
        <f aca="false">IF(AND(O269=1,Q269=1),1,IF(AND(P269=1,R269=1),-1,0))</f>
        <v>0</v>
      </c>
      <c r="T269" s="43" t="str">
        <f aca="false">IF(S269=1,"绿",IF(S269=-1,"红","蓝"))</f>
        <v>蓝</v>
      </c>
      <c r="U269" s="44" t="n">
        <f aca="false">F269*(E269-E268)</f>
        <v>-875203.999999996</v>
      </c>
      <c r="V269" s="44" t="n">
        <f aca="false">2/(p_FiS+1)*U269+(1-2/(p_FiS+1))*V268</f>
        <v>-377065.953657802</v>
      </c>
      <c r="W269" s="44" t="n">
        <f aca="false">2/(p_FiL+1)*U269+(1-2/(p_FiL+1))*W268</f>
        <v>-431500.006994762</v>
      </c>
      <c r="X269" s="41" t="n">
        <f aca="false">MAX(C269-D269,ABS(C269-E268),ABS(D269-E268))</f>
        <v>0.809999999999999</v>
      </c>
      <c r="Y269" s="41" t="n">
        <f aca="true">AVERAGE(OFFSET(X269,1-MIN(p_AtrN,ROW()-4),0,MIN(p_AtrN,ROW()-4),1))</f>
        <v>0.733846153846154</v>
      </c>
      <c r="Z269" s="41" t="n">
        <f aca="false">IF(AND(C269-C268&gt;D268-D269,C269-C268&gt;0),C269-C268,0)</f>
        <v>0.25</v>
      </c>
      <c r="AA269" s="41" t="n">
        <f aca="false">IF(AND(D268-D269&gt;C269-C268,D268-D269&gt;0),D268-D269,0)</f>
        <v>0</v>
      </c>
      <c r="AB269" s="41" t="n">
        <f aca="false">2/(p_AdxN+1)*X269+(1-2/(p_AdxN+1))*AB268</f>
        <v>0.688947582845759</v>
      </c>
      <c r="AC269" s="41" t="n">
        <f aca="false">2/(p_AdxN+1)*Z269+(1-2/(p_AdxN+1))*AC268</f>
        <v>0.0699506799450639</v>
      </c>
      <c r="AD269" s="41" t="n">
        <f aca="false">2/(p_AdxN+1)*AA269+(1-2/(p_AdxN+1))*AD268</f>
        <v>0.17416180499017</v>
      </c>
      <c r="AE269" s="45" t="n">
        <f aca="false">100*AC269/AB269</f>
        <v>10.1532658923232</v>
      </c>
      <c r="AF269" s="45" t="n">
        <f aca="false">100*AD269/AB269</f>
        <v>25.2793985096484</v>
      </c>
      <c r="AG269" s="45" t="n">
        <f aca="false">IFERROR(100*ABS(AE269-AF269)/(AE269+AF269),0)</f>
        <v>42.6897973173123</v>
      </c>
      <c r="AH269" s="45" t="n">
        <f aca="false">2/(p_AdxN+1)*AG269+(1-2/(p_AdxN+1))*AH268</f>
        <v>60.8059793432026</v>
      </c>
      <c r="AI269" s="40" t="n">
        <f aca="false">I269*(1+p_ChPct)</f>
        <v>31.398304514747</v>
      </c>
      <c r="AJ269" s="40" t="n">
        <f aca="false">I269*(1-p_ChPct)</f>
        <v>27.8437794753417</v>
      </c>
      <c r="AK269" s="40" t="n">
        <f aca="false">I269+1*Y269</f>
        <v>30.3548881488905</v>
      </c>
      <c r="AL269" s="40" t="n">
        <f aca="false">I269+2*Y269</f>
        <v>31.0887343027367</v>
      </c>
      <c r="AM269" s="40" t="n">
        <f aca="false">I269+3*Y269</f>
        <v>31.8225804565828</v>
      </c>
      <c r="AN269" s="40" t="n">
        <f aca="false">I269-1*Y269</f>
        <v>28.8871958411982</v>
      </c>
      <c r="AO269" s="40" t="n">
        <f aca="false">I269-2*Y269</f>
        <v>28.153349687352</v>
      </c>
      <c r="AP269" s="40" t="n">
        <f aca="false">I269-3*Y269</f>
        <v>27.4195035335059</v>
      </c>
      <c r="AQ269" s="40" t="n">
        <f aca="true">MAX(OFFSET(C269,1-MIN(p_StochN,ROW()-4),0,MIN(p_StochN,ROW()-4),1))</f>
        <v>29.45</v>
      </c>
      <c r="AR269" s="40" t="n">
        <f aca="true">MIN(OFFSET(D269,1-MIN(p_StochN,ROW()-4),0,MIN(p_StochN,ROW()-4),1))</f>
        <v>28.17</v>
      </c>
      <c r="AS269" s="45" t="n">
        <f aca="false">IF(AQ269=AR269,50,100*(E269-AR269)/(AQ269-AR269))</f>
        <v>19.53125</v>
      </c>
      <c r="AT269" s="45" t="n">
        <f aca="true">AVERAGE(OFFSET(AS269,1-MIN(p_StochSm,ROW()-4),0,MIN(p_StochSm,ROW()-4),1))</f>
        <v>21.549535123967</v>
      </c>
      <c r="AU269" s="45" t="n">
        <f aca="true">AVERAGE(OFFSET(AT269,1-MIN(p_StochSm,ROW()-4),0,MIN(p_StochSm,ROW()-4),1))</f>
        <v>23.6823622267707</v>
      </c>
      <c r="AV269" s="41" t="n">
        <f aca="false">MAX(0,H269-D269)</f>
        <v>0.971796257866473</v>
      </c>
      <c r="AW269" s="41" t="n">
        <f aca="true">IF(COUNTIF(OFFSET(AV269,1-MIN(p_PenLb,ROW()-4),0,MIN(p_PenLb,ROW()-4),1),"&gt;0")&gt;0,SUM(OFFSET(AV269,1-MIN(p_PenLb,ROW()-4),0,MIN(p_PenLb,ROW()-4),1))/COUNTIF(OFFSET(AV269,1-MIN(p_PenLb,ROW()-4),0,MIN(p_PenLb,ROW()-4),1),"&gt;0"),0.5*Y269)</f>
        <v>0.857052831763948</v>
      </c>
      <c r="AX269" s="41" t="n">
        <f aca="false">2*H269-H268</f>
        <v>29.0214968815554</v>
      </c>
      <c r="AY269" s="40" t="n">
        <f aca="false">ROUND(MAX(AX269-AW269,0.01),2)</f>
        <v>28.16</v>
      </c>
      <c r="AZ269" s="40" t="n">
        <f aca="true">IF(MIN(p_StopLb,ROW()-4)&lt;2,D269,SMALL(OFFSET(D269,1-MIN(p_StopLb,ROW()-4),0,MIN(p_StopLb,ROW()-4),1),2))</f>
        <v>28.2</v>
      </c>
      <c r="BA269" s="40" t="n">
        <f aca="false">IF(MOD(ROUND(ROUNDDOWN(MIN(AZ269-0.01,AY269-p_StopAtr*Y269),2)*100,0),50)=0,ROUNDDOWN(MIN(AZ269-0.01,AY269-p_StopAtr*Y269),2)-0.01,ROUNDDOWN(MIN(AZ269-0.01,AY269-p_StopAtr*Y269),2))</f>
        <v>27.42</v>
      </c>
      <c r="BB269" s="40" t="n">
        <f aca="false">ROUND(AI269,2)</f>
        <v>31.4</v>
      </c>
      <c r="BC269" s="40" t="n">
        <f aca="false">IF(AY269-BA269&gt;0,(BB269-AY269)/(AY269-BA269),0)</f>
        <v>4.37837837837839</v>
      </c>
      <c r="BD269" s="42" t="n">
        <f aca="false">IF(N269&lt;0,1,0)</f>
        <v>1</v>
      </c>
      <c r="BE269" s="41" t="n">
        <f aca="false">IF(AND(BD269=1,BD268=0),N269,IF(BD269=1,MIN(BE268,N269),BE268))</f>
        <v>-0.356654552541767</v>
      </c>
      <c r="BF269" s="40" t="n">
        <f aca="false">IF(AND(BD269=1,BD268=0),D269,IF(BD269=1,MIN(BF268,D269),BF268))</f>
        <v>28.17</v>
      </c>
      <c r="BG269" s="42" t="n">
        <f aca="false">IF(AND(BD269=1,BD268=0),ROW(),IF(BD269=1,IF(N269&lt;BE268,ROW(),BG268),BG268))</f>
        <v>261</v>
      </c>
      <c r="BH269" s="41" t="n">
        <f aca="false">IF(AND(BD269=1,BD268=0),BE268,BH268)</f>
        <v>-0.153190541609803</v>
      </c>
      <c r="BI269" s="40" t="n">
        <f aca="false">IF(AND(BD269=1,BD268=0),BF268,BI268)</f>
        <v>27.9</v>
      </c>
      <c r="BJ269" s="42" t="n">
        <f aca="false">IF(AND(BD269=1,BD268=0),BG268,BJ268)</f>
        <v>226</v>
      </c>
      <c r="BK269" s="42" t="n">
        <f aca="false">IF(AND(ISNUMBER(BG269),ISNUMBER(BJ269)),BG269-BJ269,"")</f>
        <v>35</v>
      </c>
      <c r="BL269" s="42" t="n">
        <f aca="false">IF(AND(BD269=1,N269&gt;N268,ISNUMBER(BH269),ISNUMBER(BK269)),IF(AND(BE269&gt;BH269,BF269&lt;BI269,BK269&gt;=p_GapMin,BK269&lt;=p_GapMax),1,0),0)</f>
        <v>0</v>
      </c>
      <c r="BM269" s="42" t="n">
        <f aca="false">IF(AND(BL269=1,E269&gt;BI269),1,0)</f>
        <v>0</v>
      </c>
      <c r="BN269" s="42" t="n">
        <f aca="false">IF(BL269=1,IF(BE269&gt;=BH269*0.5,1,0),0)</f>
        <v>0</v>
      </c>
      <c r="BO269" s="42" t="n">
        <f aca="true">IF(V269&gt;MIN(OFFSET(V269,-MIN(p_FiLb-1,ROW()-5),0,MIN(p_FiLb-1,ROW()-5),1)),1,0)</f>
        <v>1</v>
      </c>
      <c r="BP269" s="44" t="n">
        <f aca="true">IF(COUNTIF(OFFSET(V269,1-MIN(100,ROW()-4),0,MIN(100,ROW()-4),1),"&lt;0")&gt;=5,AVERAGEIF(OFFSET(V269,1-MIN(100,ROW()-4),0,MIN(100,ROW()-4),1),"&lt;0"),"")</f>
        <v>-949043.775860504</v>
      </c>
      <c r="BQ269" s="42" t="n">
        <f aca="false">IF(ISNUMBER(BP269),IF(AND(V269&lt;5*BP269,V269&gt;V268,E269&lt;AJ269),1,0),0)</f>
        <v>0</v>
      </c>
      <c r="BR269" s="44" t="n">
        <f aca="true">AVERAGE(OFFSET(F269,1-MIN(5,ROW()-4),0,MIN(5,ROW()-4),1))</f>
        <v>3554740</v>
      </c>
      <c r="BS269" s="42" t="n">
        <f aca="false">IFERROR(IF(MATCH(G269,周线!$A$5:$A$84,0)&lt;=1,"",INDEX(周线!$R$5:$R$84,MATCH(G269,周线!$A$5:$A$84,0)-1)),"")</f>
        <v>1</v>
      </c>
      <c r="BT269" s="42" t="n">
        <f aca="false">IFERROR(IF(MATCH(G269,周线!$A$5:$A$84,0)&lt;=1,"",INDEX(周线!$S$5:$S$84,MATCH(G269,周线!$A$5:$A$84,0)-1)),"")</f>
        <v>0</v>
      </c>
      <c r="BU269" s="42" t="n">
        <f aca="false">IFERROR(IF(MATCH(G269,周线!$A$5:$A$84,0)&lt;=1,"",INDEX(周线!$U$5:$U$84,MATCH(G269,周线!$A$5:$A$84,0)-1)),"")</f>
        <v>-1</v>
      </c>
      <c r="BV269" s="42" t="n">
        <f aca="false">IF(AND(BS269=1,S269&lt;&gt;-1,V269&lt;0,BO269=1,E269&lt;=H269,E269&gt;=AJ269),1,0)</f>
        <v>1</v>
      </c>
      <c r="BW269" s="42" t="n">
        <f aca="false">BL269</f>
        <v>0</v>
      </c>
      <c r="BX269" s="42" t="n">
        <f aca="false">BQ269</f>
        <v>0</v>
      </c>
      <c r="BY269" s="42" t="n">
        <f aca="false">IF(BS269=1,10,0)+IF(BU269=1,5,IF(BU269=-1,0,3))+IF(BT269=1,5,0)+IF(AND(AE269&gt;AF269,AH269&gt;AH268),5,0)</f>
        <v>10</v>
      </c>
      <c r="BZ269" s="42" t="n">
        <f aca="false">IF(AND(E269&lt;=H269,E269&gt;=I269),10,IF(AND(E269&gt;=AJ269,E269&lt;I269),6,0))+IF(AND(V269&lt;0,BO269=1),8,0)+IF(AT269&lt;30,7,IF(AT269&lt;50,3,0))</f>
        <v>21</v>
      </c>
      <c r="CA269" s="42" t="n">
        <f aca="false">IF(AND(BV269=1,BW269=1),25,IF(BW269=1,22,IF(BV269=1,15,IF(BX269=1,12,0))))</f>
        <v>15</v>
      </c>
      <c r="CB269" s="42" t="n">
        <f aca="false">IF(W269&gt;0,6,0)+IF(F269&lt;BR269,4,0)</f>
        <v>0</v>
      </c>
      <c r="CC269" s="42" t="n">
        <f aca="false">IF(BC269&gt;=3,15,IF(BC269&gt;=p_RRmin,10,IF(BC269&gt;=1.5,4,0)))</f>
        <v>15</v>
      </c>
      <c r="CD269" s="42" t="n">
        <f aca="false">BY269+BZ269+CA269+CB269+CC269</f>
        <v>61</v>
      </c>
      <c r="CE269" s="42" t="n">
        <f aca="false">IF(AND(BS269&lt;&gt;1,BW269+BX269=0),1,0)</f>
        <v>0</v>
      </c>
      <c r="CF269" s="42" t="n">
        <f aca="false">IF(BU269=-1,1,0)</f>
        <v>1</v>
      </c>
      <c r="CG269" s="42" t="n">
        <f aca="false">IF(S269=-1,1,0)</f>
        <v>0</v>
      </c>
      <c r="CH269" s="42" t="n">
        <f aca="false">IF(BV269+BW269+BX269=0,1,0)</f>
        <v>0</v>
      </c>
      <c r="CI269" s="42" t="n">
        <f aca="false">IF(BC269&lt;p_RRmin,1,0)</f>
        <v>0</v>
      </c>
      <c r="CJ269" s="46" t="str">
        <f aca="false">IF(SUM(CE269:CI269)=0,IF(CD269&gt;=p_GradeA,"A",IF(CD269&gt;=p_GradeB,"B","C")),IF(AND(CI269=1,SUM(CE269:CH269)=0,CD269&gt;=p_GradeB),"B","C"))</f>
        <v>C</v>
      </c>
    </row>
    <row r="270" customFormat="false" ht="15" hidden="false" customHeight="false" outlineLevel="0" collapsed="false">
      <c r="A270" s="36" t="n">
        <v>46030</v>
      </c>
      <c r="B270" s="37" t="n">
        <v>28.42</v>
      </c>
      <c r="C270" s="37" t="n">
        <v>28.49</v>
      </c>
      <c r="D270" s="37" t="n">
        <v>27.55</v>
      </c>
      <c r="E270" s="37" t="n">
        <v>27.73</v>
      </c>
      <c r="F270" s="38" t="n">
        <v>5844200</v>
      </c>
      <c r="G270" s="39" t="n">
        <f aca="false">A270-WEEKDAY(A270,3)</f>
        <v>46027</v>
      </c>
      <c r="H270" s="40" t="n">
        <f aca="false">2/(p_EmaF+1)*E270+(1-2/(p_EmaF+1))*H269</f>
        <v>28.9401110781713</v>
      </c>
      <c r="I270" s="40" t="n">
        <f aca="false">2/(p_EmaS+1)*E270+(1-2/(p_EmaS+1))*I269</f>
        <v>29.4809648102262</v>
      </c>
      <c r="J270" s="41" t="n">
        <f aca="false">2/(p_MacdF+1)*E270+(1-2/(p_MacdF+1))*J269</f>
        <v>28.87195946567</v>
      </c>
      <c r="K270" s="41" t="n">
        <f aca="false">2/(p_MacdS+1)*E270+(1-2/(p_MacdS+1))*K269</f>
        <v>29.4809648102262</v>
      </c>
      <c r="L270" s="41" t="n">
        <f aca="false">J270-K270</f>
        <v>-0.609005344556209</v>
      </c>
      <c r="M270" s="41" t="n">
        <f aca="false">2/(p_MacdSig+1)*L270+(1-2/(p_MacdSig+1))*M269</f>
        <v>-0.407619005358258</v>
      </c>
      <c r="N270" s="41" t="n">
        <f aca="false">L270-M270</f>
        <v>-0.201386339197951</v>
      </c>
      <c r="O270" s="42" t="n">
        <f aca="false">IF(H270&gt;H269,1,0)</f>
        <v>0</v>
      </c>
      <c r="P270" s="42" t="n">
        <f aca="false">IF(H270&lt;H269,1,0)</f>
        <v>1</v>
      </c>
      <c r="Q270" s="42" t="n">
        <f aca="false">IF(N270&gt;N269,1,0)</f>
        <v>0</v>
      </c>
      <c r="R270" s="42" t="n">
        <f aca="false">IF(N270&lt;N269,1,0)</f>
        <v>1</v>
      </c>
      <c r="S270" s="42" t="n">
        <f aca="false">IF(AND(O270=1,Q270=1),1,IF(AND(P270=1,R270=1),-1,0))</f>
        <v>-1</v>
      </c>
      <c r="T270" s="43" t="str">
        <f aca="false">IF(S270=1,"绿",IF(S270=-1,"红","蓝"))</f>
        <v>红</v>
      </c>
      <c r="U270" s="44" t="n">
        <f aca="false">F270*(E270-E269)</f>
        <v>-4032498.00000001</v>
      </c>
      <c r="V270" s="44" t="n">
        <f aca="false">2/(p_FiS+1)*U270+(1-2/(p_FiS+1))*V269</f>
        <v>-2814020.65121927</v>
      </c>
      <c r="W270" s="44" t="n">
        <f aca="false">2/(p_FiL+1)*U270+(1-2/(p_FiL+1))*W269</f>
        <v>-945928.291709797</v>
      </c>
      <c r="X270" s="41" t="n">
        <f aca="false">MAX(C270-D270,ABS(C270-E269),ABS(D270-E269))</f>
        <v>0.939999999999998</v>
      </c>
      <c r="Y270" s="41" t="n">
        <f aca="true">AVERAGE(OFFSET(X270,1-MIN(p_AtrN,ROW()-4),0,MIN(p_AtrN,ROW()-4),1))</f>
        <v>0.706153846153846</v>
      </c>
      <c r="Z270" s="41" t="n">
        <f aca="false">IF(AND(C270-C269&gt;D269-D270,C270-C269&gt;0),C270-C269,0)</f>
        <v>0</v>
      </c>
      <c r="AA270" s="41" t="n">
        <f aca="false">IF(AND(D269-D270&gt;C270-C269,D269-D270&gt;0),D269-D270,0)</f>
        <v>0.620000000000001</v>
      </c>
      <c r="AB270" s="41" t="n">
        <f aca="false">2/(p_AdxN+1)*X270+(1-2/(p_AdxN+1))*AB269</f>
        <v>0.724812213867794</v>
      </c>
      <c r="AC270" s="41" t="n">
        <f aca="false">2/(p_AdxN+1)*Z270+(1-2/(p_AdxN+1))*AC269</f>
        <v>0.0599577256671976</v>
      </c>
      <c r="AD270" s="41" t="n">
        <f aca="false">2/(p_AdxN+1)*AA270+(1-2/(p_AdxN+1))*AD269</f>
        <v>0.23785297570586</v>
      </c>
      <c r="AE270" s="45" t="n">
        <f aca="false">100*AC270/AB270</f>
        <v>8.27217374652767</v>
      </c>
      <c r="AF270" s="45" t="n">
        <f aca="false">100*AD270/AB270</f>
        <v>32.8158067917499</v>
      </c>
      <c r="AG270" s="45" t="n">
        <f aca="false">IFERROR(100*ABS(AE270-AF270)/(AE270+AF270),0)</f>
        <v>59.7343376911828</v>
      </c>
      <c r="AH270" s="45" t="n">
        <f aca="false">2/(p_AdxN+1)*AG270+(1-2/(p_AdxN+1))*AH269</f>
        <v>60.6528876786283</v>
      </c>
      <c r="AI270" s="40" t="n">
        <f aca="false">I270*(1+p_ChPct)</f>
        <v>31.2498226988398</v>
      </c>
      <c r="AJ270" s="40" t="n">
        <f aca="false">I270*(1-p_ChPct)</f>
        <v>27.7121069216127</v>
      </c>
      <c r="AK270" s="40" t="n">
        <f aca="false">I270+1*Y270</f>
        <v>30.1871186563801</v>
      </c>
      <c r="AL270" s="40" t="n">
        <f aca="false">I270+2*Y270</f>
        <v>30.8932725025339</v>
      </c>
      <c r="AM270" s="40" t="n">
        <f aca="false">I270+3*Y270</f>
        <v>31.5994263486878</v>
      </c>
      <c r="AN270" s="40" t="n">
        <f aca="false">I270-1*Y270</f>
        <v>28.7748109640724</v>
      </c>
      <c r="AO270" s="40" t="n">
        <f aca="false">I270-2*Y270</f>
        <v>28.0686571179186</v>
      </c>
      <c r="AP270" s="40" t="n">
        <f aca="false">I270-3*Y270</f>
        <v>27.3625032717647</v>
      </c>
      <c r="AQ270" s="40" t="n">
        <f aca="true">MAX(OFFSET(C270,1-MIN(p_StochN,ROW()-4),0,MIN(p_StochN,ROW()-4),1))</f>
        <v>29.31</v>
      </c>
      <c r="AR270" s="40" t="n">
        <f aca="true">MIN(OFFSET(D270,1-MIN(p_StochN,ROW()-4),0,MIN(p_StochN,ROW()-4),1))</f>
        <v>27.55</v>
      </c>
      <c r="AS270" s="45" t="n">
        <f aca="false">IF(AQ270=AR270,50,100*(E270-AR270)/(AQ270-AR270))</f>
        <v>10.2272727272727</v>
      </c>
      <c r="AT270" s="45" t="n">
        <f aca="true">AVERAGE(OFFSET(AS270,1-MIN(p_StochSm,ROW()-4),0,MIN(p_StochSm,ROW()-4),1))</f>
        <v>21.652840909091</v>
      </c>
      <c r="AU270" s="45" t="n">
        <f aca="true">AVERAGE(OFFSET(AT270,1-MIN(p_StochSm,ROW()-4),0,MIN(p_StochSm,ROW()-4),1))</f>
        <v>21.0753060554569</v>
      </c>
      <c r="AV270" s="41" t="n">
        <f aca="false">MAX(0,H270-D270)</f>
        <v>1.39011107817126</v>
      </c>
      <c r="AW270" s="41" t="n">
        <f aca="true">IF(COUNTIF(OFFSET(AV270,1-MIN(p_PenLb,ROW()-4),0,MIN(p_PenLb,ROW()-4),1),"&gt;0")&gt;0,SUM(OFFSET(AV270,1-MIN(p_PenLb,ROW()-4),0,MIN(p_PenLb,ROW()-4),1))/COUNTIF(OFFSET(AV270,1-MIN(p_PenLb,ROW()-4),0,MIN(p_PenLb,ROW()-4),1),"&gt;0"),0.5*Y270)</f>
        <v>0.87837516162024</v>
      </c>
      <c r="AX270" s="41" t="n">
        <f aca="false">2*H270-H269</f>
        <v>28.7384258984761</v>
      </c>
      <c r="AY270" s="40" t="n">
        <f aca="false">ROUND(MAX(AX270-AW270,0.01),2)</f>
        <v>27.86</v>
      </c>
      <c r="AZ270" s="40" t="n">
        <f aca="true">IF(MIN(p_StopLb,ROW()-4)&lt;2,D270,SMALL(OFFSET(D270,1-MIN(p_StopLb,ROW()-4),0,MIN(p_StopLb,ROW()-4),1),2))</f>
        <v>28.17</v>
      </c>
      <c r="BA270" s="40" t="n">
        <f aca="false">IF(MOD(ROUND(ROUNDDOWN(MIN(AZ270-0.01,AY270-p_StopAtr*Y270),2)*100,0),50)=0,ROUNDDOWN(MIN(AZ270-0.01,AY270-p_StopAtr*Y270),2)-0.01,ROUNDDOWN(MIN(AZ270-0.01,AY270-p_StopAtr*Y270),2))</f>
        <v>27.15</v>
      </c>
      <c r="BB270" s="40" t="n">
        <f aca="false">ROUND(AI270,2)</f>
        <v>31.25</v>
      </c>
      <c r="BC270" s="40" t="n">
        <f aca="false">IF(AY270-BA270&gt;0,(BB270-AY270)/(AY270-BA270),0)</f>
        <v>4.77464788732394</v>
      </c>
      <c r="BD270" s="42" t="n">
        <f aca="false">IF(N270&lt;0,1,0)</f>
        <v>1</v>
      </c>
      <c r="BE270" s="41" t="n">
        <f aca="false">IF(AND(BD270=1,BD269=0),N270,IF(BD270=1,MIN(BE269,N270),BE269))</f>
        <v>-0.356654552541767</v>
      </c>
      <c r="BF270" s="40" t="n">
        <f aca="false">IF(AND(BD270=1,BD269=0),D270,IF(BD270=1,MIN(BF269,D270),BF269))</f>
        <v>27.55</v>
      </c>
      <c r="BG270" s="42" t="n">
        <f aca="false">IF(AND(BD270=1,BD269=0),ROW(),IF(BD270=1,IF(N270&lt;BE269,ROW(),BG269),BG269))</f>
        <v>261</v>
      </c>
      <c r="BH270" s="41" t="n">
        <f aca="false">IF(AND(BD270=1,BD269=0),BE269,BH269)</f>
        <v>-0.153190541609803</v>
      </c>
      <c r="BI270" s="40" t="n">
        <f aca="false">IF(AND(BD270=1,BD269=0),BF269,BI269)</f>
        <v>27.9</v>
      </c>
      <c r="BJ270" s="42" t="n">
        <f aca="false">IF(AND(BD270=1,BD269=0),BG269,BJ269)</f>
        <v>226</v>
      </c>
      <c r="BK270" s="42" t="n">
        <f aca="false">IF(AND(ISNUMBER(BG270),ISNUMBER(BJ270)),BG270-BJ270,"")</f>
        <v>35</v>
      </c>
      <c r="BL270" s="42" t="n">
        <f aca="false">IF(AND(BD270=1,N270&gt;N269,ISNUMBER(BH270),ISNUMBER(BK270)),IF(AND(BE270&gt;BH270,BF270&lt;BI270,BK270&gt;=p_GapMin,BK270&lt;=p_GapMax),1,0),0)</f>
        <v>0</v>
      </c>
      <c r="BM270" s="42" t="n">
        <f aca="false">IF(AND(BL270=1,E270&gt;BI270),1,0)</f>
        <v>0</v>
      </c>
      <c r="BN270" s="42" t="n">
        <f aca="false">IF(BL270=1,IF(BE270&gt;=BH270*0.5,1,0),0)</f>
        <v>0</v>
      </c>
      <c r="BO270" s="42" t="n">
        <f aca="true">IF(V270&gt;MIN(OFFSET(V270,-MIN(p_FiLb-1,ROW()-5),0,MIN(p_FiLb-1,ROW()-5),1)),1,0)</f>
        <v>1</v>
      </c>
      <c r="BP270" s="44" t="n">
        <f aca="true">IF(COUNTIF(OFFSET(V270,1-MIN(100,ROW()-4),0,MIN(100,ROW()-4),1),"&lt;0")&gt;=5,AVERAGEIF(OFFSET(V270,1-MIN(100,ROW()-4),0,MIN(100,ROW()-4),1),"&lt;0"),"")</f>
        <v>-988724.13491069</v>
      </c>
      <c r="BQ270" s="42" t="n">
        <f aca="false">IF(ISNUMBER(BP270),IF(AND(V270&lt;5*BP270,V270&gt;V269,E270&lt;AJ270),1,0),0)</f>
        <v>0</v>
      </c>
      <c r="BR270" s="44" t="n">
        <f aca="true">AVERAGE(OFFSET(F270,1-MIN(5,ROW()-4),0,MIN(5,ROW()-4),1))</f>
        <v>4007760</v>
      </c>
      <c r="BS270" s="42" t="n">
        <f aca="false">IFERROR(IF(MATCH(G270,周线!$A$5:$A$84,0)&lt;=1,"",INDEX(周线!$R$5:$R$84,MATCH(G270,周线!$A$5:$A$84,0)-1)),"")</f>
        <v>1</v>
      </c>
      <c r="BT270" s="42" t="n">
        <f aca="false">IFERROR(IF(MATCH(G270,周线!$A$5:$A$84,0)&lt;=1,"",INDEX(周线!$S$5:$S$84,MATCH(G270,周线!$A$5:$A$84,0)-1)),"")</f>
        <v>0</v>
      </c>
      <c r="BU270" s="42" t="n">
        <f aca="false">IFERROR(IF(MATCH(G270,周线!$A$5:$A$84,0)&lt;=1,"",INDEX(周线!$U$5:$U$84,MATCH(G270,周线!$A$5:$A$84,0)-1)),"")</f>
        <v>-1</v>
      </c>
      <c r="BV270" s="42" t="n">
        <f aca="false">IF(AND(BS270=1,S270&lt;&gt;-1,V270&lt;0,BO270=1,E270&lt;=H270,E270&gt;=AJ270),1,0)</f>
        <v>0</v>
      </c>
      <c r="BW270" s="42" t="n">
        <f aca="false">BL270</f>
        <v>0</v>
      </c>
      <c r="BX270" s="42" t="n">
        <f aca="false">BQ270</f>
        <v>0</v>
      </c>
      <c r="BY270" s="42" t="n">
        <f aca="false">IF(BS270=1,10,0)+IF(BU270=1,5,IF(BU270=-1,0,3))+IF(BT270=1,5,0)+IF(AND(AE270&gt;AF270,AH270&gt;AH269),5,0)</f>
        <v>10</v>
      </c>
      <c r="BZ270" s="42" t="n">
        <f aca="false">IF(AND(E270&lt;=H270,E270&gt;=I270),10,IF(AND(E270&gt;=AJ270,E270&lt;I270),6,0))+IF(AND(V270&lt;0,BO270=1),8,0)+IF(AT270&lt;30,7,IF(AT270&lt;50,3,0))</f>
        <v>21</v>
      </c>
      <c r="CA270" s="42" t="n">
        <f aca="false">IF(AND(BV270=1,BW270=1),25,IF(BW270=1,22,IF(BV270=1,15,IF(BX270=1,12,0))))</f>
        <v>0</v>
      </c>
      <c r="CB270" s="42" t="n">
        <f aca="false">IF(W270&gt;0,6,0)+IF(F270&lt;BR270,4,0)</f>
        <v>0</v>
      </c>
      <c r="CC270" s="42" t="n">
        <f aca="false">IF(BC270&gt;=3,15,IF(BC270&gt;=p_RRmin,10,IF(BC270&gt;=1.5,4,0)))</f>
        <v>15</v>
      </c>
      <c r="CD270" s="42" t="n">
        <f aca="false">BY270+BZ270+CA270+CB270+CC270</f>
        <v>46</v>
      </c>
      <c r="CE270" s="42" t="n">
        <f aca="false">IF(AND(BS270&lt;&gt;1,BW270+BX270=0),1,0)</f>
        <v>0</v>
      </c>
      <c r="CF270" s="42" t="n">
        <f aca="false">IF(BU270=-1,1,0)</f>
        <v>1</v>
      </c>
      <c r="CG270" s="42" t="n">
        <f aca="false">IF(S270=-1,1,0)</f>
        <v>1</v>
      </c>
      <c r="CH270" s="42" t="n">
        <f aca="false">IF(BV270+BW270+BX270=0,1,0)</f>
        <v>1</v>
      </c>
      <c r="CI270" s="42" t="n">
        <f aca="false">IF(BC270&lt;p_RRmin,1,0)</f>
        <v>0</v>
      </c>
      <c r="CJ270" s="46" t="str">
        <f aca="false">IF(SUM(CE270:CI270)=0,IF(CD270&gt;=p_GradeA,"A",IF(CD270&gt;=p_GradeB,"B","C")),IF(AND(CI270=1,SUM(CE270:CH270)=0,CD270&gt;=p_GradeB),"B","C"))</f>
        <v>C</v>
      </c>
    </row>
    <row r="271" customFormat="false" ht="15" hidden="false" customHeight="false" outlineLevel="0" collapsed="false">
      <c r="A271" s="36" t="n">
        <v>46031</v>
      </c>
      <c r="B271" s="37" t="n">
        <v>27.87</v>
      </c>
      <c r="C271" s="37" t="n">
        <v>28.09</v>
      </c>
      <c r="D271" s="37" t="n">
        <v>26.51</v>
      </c>
      <c r="E271" s="37" t="n">
        <v>26.87</v>
      </c>
      <c r="F271" s="38" t="n">
        <v>3885700</v>
      </c>
      <c r="G271" s="39" t="n">
        <f aca="false">A271-WEEKDAY(A271,3)</f>
        <v>46027</v>
      </c>
      <c r="H271" s="40" t="n">
        <f aca="false">2/(p_EmaF+1)*E271+(1-2/(p_EmaF+1))*H270</f>
        <v>28.6443809241468</v>
      </c>
      <c r="I271" s="40" t="n">
        <f aca="false">2/(p_EmaS+1)*E271+(1-2/(p_EmaS+1))*I270</f>
        <v>29.2875600094688</v>
      </c>
      <c r="J271" s="41" t="n">
        <f aca="false">2/(p_MacdF+1)*E271+(1-2/(p_MacdF+1))*J270</f>
        <v>28.5639657017208</v>
      </c>
      <c r="K271" s="41" t="n">
        <f aca="false">2/(p_MacdS+1)*E271+(1-2/(p_MacdS+1))*K270</f>
        <v>29.2875600094688</v>
      </c>
      <c r="L271" s="41" t="n">
        <f aca="false">J271-K271</f>
        <v>-0.723594307747948</v>
      </c>
      <c r="M271" s="41" t="n">
        <f aca="false">2/(p_MacdSig+1)*L271+(1-2/(p_MacdSig+1))*M270</f>
        <v>-0.470814065836196</v>
      </c>
      <c r="N271" s="41" t="n">
        <f aca="false">L271-M271</f>
        <v>-0.252780241911752</v>
      </c>
      <c r="O271" s="42" t="n">
        <f aca="false">IF(H271&gt;H270,1,0)</f>
        <v>0</v>
      </c>
      <c r="P271" s="42" t="n">
        <f aca="false">IF(H271&lt;H270,1,0)</f>
        <v>1</v>
      </c>
      <c r="Q271" s="42" t="n">
        <f aca="false">IF(N271&gt;N270,1,0)</f>
        <v>0</v>
      </c>
      <c r="R271" s="42" t="n">
        <f aca="false">IF(N271&lt;N270,1,0)</f>
        <v>1</v>
      </c>
      <c r="S271" s="42" t="n">
        <f aca="false">IF(AND(O271=1,Q271=1),1,IF(AND(P271=1,R271=1),-1,0))</f>
        <v>-1</v>
      </c>
      <c r="T271" s="43" t="str">
        <f aca="false">IF(S271=1,"绿",IF(S271=-1,"红","蓝"))</f>
        <v>红</v>
      </c>
      <c r="U271" s="44" t="n">
        <f aca="false">F271*(E271-E270)</f>
        <v>-3341702</v>
      </c>
      <c r="V271" s="44" t="n">
        <f aca="false">2/(p_FiS+1)*U271+(1-2/(p_FiS+1))*V270</f>
        <v>-3165808.21707309</v>
      </c>
      <c r="W271" s="44" t="n">
        <f aca="false">2/(p_FiL+1)*U271+(1-2/(p_FiL+1))*W270</f>
        <v>-1288181.6786084</v>
      </c>
      <c r="X271" s="41" t="n">
        <f aca="false">MAX(C271-D271,ABS(C271-E270),ABS(D271-E270))</f>
        <v>1.58</v>
      </c>
      <c r="Y271" s="41" t="n">
        <f aca="true">AVERAGE(OFFSET(X271,1-MIN(p_AtrN,ROW()-4),0,MIN(p_AtrN,ROW()-4),1))</f>
        <v>0.790769230769231</v>
      </c>
      <c r="Z271" s="41" t="n">
        <f aca="false">IF(AND(C271-C270&gt;D270-D271,C271-C270&gt;0),C271-C270,0)</f>
        <v>0</v>
      </c>
      <c r="AA271" s="41" t="n">
        <f aca="false">IF(AND(D270-D271&gt;C271-C270,D270-D271&gt;0),D270-D271,0)</f>
        <v>1.04</v>
      </c>
      <c r="AB271" s="41" t="n">
        <f aca="false">2/(p_AdxN+1)*X271+(1-2/(p_AdxN+1))*AB270</f>
        <v>0.846981897600966</v>
      </c>
      <c r="AC271" s="41" t="n">
        <f aca="false">2/(p_AdxN+1)*Z271+(1-2/(p_AdxN+1))*AC270</f>
        <v>0.0513923362861694</v>
      </c>
      <c r="AD271" s="41" t="n">
        <f aca="false">2/(p_AdxN+1)*AA271+(1-2/(p_AdxN+1))*AD270</f>
        <v>0.35244540774788</v>
      </c>
      <c r="AE271" s="45" t="n">
        <f aca="false">100*AC271/AB271</f>
        <v>6.067701851921</v>
      </c>
      <c r="AF271" s="45" t="n">
        <f aca="false">100*AD271/AB271</f>
        <v>41.6119174147835</v>
      </c>
      <c r="AG271" s="45" t="n">
        <f aca="false">IFERROR(100*ABS(AE271-AF271)/(AE271+AF271),0)</f>
        <v>74.5480272483712</v>
      </c>
      <c r="AH271" s="45" t="n">
        <f aca="false">2/(p_AdxN+1)*AG271+(1-2/(p_AdxN+1))*AH270</f>
        <v>62.637907617163</v>
      </c>
      <c r="AI271" s="40" t="n">
        <f aca="false">I271*(1+p_ChPct)</f>
        <v>31.0448136100369</v>
      </c>
      <c r="AJ271" s="40" t="n">
        <f aca="false">I271*(1-p_ChPct)</f>
        <v>27.5303064089006</v>
      </c>
      <c r="AK271" s="40" t="n">
        <f aca="false">I271+1*Y271</f>
        <v>30.078329240238</v>
      </c>
      <c r="AL271" s="40" t="n">
        <f aca="false">I271+2*Y271</f>
        <v>30.8690984710072</v>
      </c>
      <c r="AM271" s="40" t="n">
        <f aca="false">I271+3*Y271</f>
        <v>31.6598677017764</v>
      </c>
      <c r="AN271" s="40" t="n">
        <f aca="false">I271-1*Y271</f>
        <v>28.4967907786995</v>
      </c>
      <c r="AO271" s="40" t="n">
        <f aca="false">I271-2*Y271</f>
        <v>27.7060215479303</v>
      </c>
      <c r="AP271" s="40" t="n">
        <f aca="false">I271-3*Y271</f>
        <v>26.9152523171611</v>
      </c>
      <c r="AQ271" s="40" t="n">
        <f aca="true">MAX(OFFSET(C271,1-MIN(p_StochN,ROW()-4),0,MIN(p_StochN,ROW()-4),1))</f>
        <v>28.98</v>
      </c>
      <c r="AR271" s="40" t="n">
        <f aca="true">MIN(OFFSET(D271,1-MIN(p_StochN,ROW()-4),0,MIN(p_StochN,ROW()-4),1))</f>
        <v>26.51</v>
      </c>
      <c r="AS271" s="45" t="n">
        <f aca="false">IF(AQ271=AR271,50,100*(E271-AR271)/(AQ271-AR271))</f>
        <v>14.5748987854251</v>
      </c>
      <c r="AT271" s="45" t="n">
        <f aca="true">AVERAGE(OFFSET(AS271,1-MIN(p_StochSm,ROW()-4),0,MIN(p_StochSm,ROW()-4),1))</f>
        <v>14.7778071708993</v>
      </c>
      <c r="AU271" s="45" t="n">
        <f aca="true">AVERAGE(OFFSET(AT271,1-MIN(p_StochSm,ROW()-4),0,MIN(p_StochSm,ROW()-4),1))</f>
        <v>19.3267277346524</v>
      </c>
      <c r="AV271" s="41" t="n">
        <f aca="false">MAX(0,H271-D271)</f>
        <v>2.1343809241468</v>
      </c>
      <c r="AW271" s="41" t="n">
        <f aca="true">IF(COUNTIF(OFFSET(AV271,1-MIN(p_PenLb,ROW()-4),0,MIN(p_PenLb,ROW()-4),1),"&gt;0")&gt;0,SUM(OFFSET(AV271,1-MIN(p_PenLb,ROW()-4),0,MIN(p_PenLb,ROW()-4),1))/COUNTIF(OFFSET(AV271,1-MIN(p_PenLb,ROW()-4),0,MIN(p_PenLb,ROW()-4),1),"&gt;0"),0.5*Y271)</f>
        <v>0.92668307556357</v>
      </c>
      <c r="AX271" s="41" t="n">
        <f aca="false">2*H271-H270</f>
        <v>28.3486507701223</v>
      </c>
      <c r="AY271" s="40" t="n">
        <f aca="false">ROUND(MAX(AX271-AW271,0.01),2)</f>
        <v>27.42</v>
      </c>
      <c r="AZ271" s="40" t="n">
        <f aca="true">IF(MIN(p_StopLb,ROW()-4)&lt;2,D271,SMALL(OFFSET(D271,1-MIN(p_StopLb,ROW()-4),0,MIN(p_StopLb,ROW()-4),1),2))</f>
        <v>27.55</v>
      </c>
      <c r="BA271" s="40" t="n">
        <f aca="false">IF(MOD(ROUND(ROUNDDOWN(MIN(AZ271-0.01,AY271-p_StopAtr*Y271),2)*100,0),50)=0,ROUNDDOWN(MIN(AZ271-0.01,AY271-p_StopAtr*Y271),2)-0.01,ROUNDDOWN(MIN(AZ271-0.01,AY271-p_StopAtr*Y271),2))</f>
        <v>26.62</v>
      </c>
      <c r="BB271" s="40" t="n">
        <f aca="false">ROUND(AI271,2)</f>
        <v>31.04</v>
      </c>
      <c r="BC271" s="40" t="n">
        <f aca="false">IF(AY271-BA271&gt;0,(BB271-AY271)/(AY271-BA271),0)</f>
        <v>4.52499999999999</v>
      </c>
      <c r="BD271" s="42" t="n">
        <f aca="false">IF(N271&lt;0,1,0)</f>
        <v>1</v>
      </c>
      <c r="BE271" s="41" t="n">
        <f aca="false">IF(AND(BD271=1,BD270=0),N271,IF(BD271=1,MIN(BE270,N271),BE270))</f>
        <v>-0.356654552541767</v>
      </c>
      <c r="BF271" s="40" t="n">
        <f aca="false">IF(AND(BD271=1,BD270=0),D271,IF(BD271=1,MIN(BF270,D271),BF270))</f>
        <v>26.51</v>
      </c>
      <c r="BG271" s="42" t="n">
        <f aca="false">IF(AND(BD271=1,BD270=0),ROW(),IF(BD271=1,IF(N271&lt;BE270,ROW(),BG270),BG270))</f>
        <v>261</v>
      </c>
      <c r="BH271" s="41" t="n">
        <f aca="false">IF(AND(BD271=1,BD270=0),BE270,BH270)</f>
        <v>-0.153190541609803</v>
      </c>
      <c r="BI271" s="40" t="n">
        <f aca="false">IF(AND(BD271=1,BD270=0),BF270,BI270)</f>
        <v>27.9</v>
      </c>
      <c r="BJ271" s="42" t="n">
        <f aca="false">IF(AND(BD271=1,BD270=0),BG270,BJ270)</f>
        <v>226</v>
      </c>
      <c r="BK271" s="42" t="n">
        <f aca="false">IF(AND(ISNUMBER(BG271),ISNUMBER(BJ271)),BG271-BJ271,"")</f>
        <v>35</v>
      </c>
      <c r="BL271" s="42" t="n">
        <f aca="false">IF(AND(BD271=1,N271&gt;N270,ISNUMBER(BH271),ISNUMBER(BK271)),IF(AND(BE271&gt;BH271,BF271&lt;BI271,BK271&gt;=p_GapMin,BK271&lt;=p_GapMax),1,0),0)</f>
        <v>0</v>
      </c>
      <c r="BM271" s="42" t="n">
        <f aca="false">IF(AND(BL271=1,E271&gt;BI271),1,0)</f>
        <v>0</v>
      </c>
      <c r="BN271" s="42" t="n">
        <f aca="false">IF(BL271=1,IF(BE271&gt;=BH271*0.5,1,0),0)</f>
        <v>0</v>
      </c>
      <c r="BO271" s="42" t="n">
        <f aca="true">IF(V271&gt;MIN(OFFSET(V271,-MIN(p_FiLb-1,ROW()-5),0,MIN(p_FiLb-1,ROW()-5),1)),1,0)</f>
        <v>0</v>
      </c>
      <c r="BP271" s="44" t="n">
        <f aca="true">IF(COUNTIF(OFFSET(V271,1-MIN(100,ROW()-4),0,MIN(100,ROW()-4),1),"&lt;0")&gt;=5,AVERAGEIF(OFFSET(V271,1-MIN(100,ROW()-4),0,MIN(100,ROW()-4),1),"&lt;0"),"")</f>
        <v>-1034080.05328907</v>
      </c>
      <c r="BQ271" s="42" t="n">
        <f aca="false">IF(ISNUMBER(BP271),IF(AND(V271&lt;5*BP271,V271&gt;V270,E271&lt;AJ271),1,0),0)</f>
        <v>0</v>
      </c>
      <c r="BR271" s="44" t="n">
        <f aca="true">AVERAGE(OFFSET(F271,1-MIN(5,ROW()-4),0,MIN(5,ROW()-4),1))</f>
        <v>4167740</v>
      </c>
      <c r="BS271" s="42" t="n">
        <f aca="false">IFERROR(IF(MATCH(G271,周线!$A$5:$A$84,0)&lt;=1,"",INDEX(周线!$R$5:$R$84,MATCH(G271,周线!$A$5:$A$84,0)-1)),"")</f>
        <v>1</v>
      </c>
      <c r="BT271" s="42" t="n">
        <f aca="false">IFERROR(IF(MATCH(G271,周线!$A$5:$A$84,0)&lt;=1,"",INDEX(周线!$S$5:$S$84,MATCH(G271,周线!$A$5:$A$84,0)-1)),"")</f>
        <v>0</v>
      </c>
      <c r="BU271" s="42" t="n">
        <f aca="false">IFERROR(IF(MATCH(G271,周线!$A$5:$A$84,0)&lt;=1,"",INDEX(周线!$U$5:$U$84,MATCH(G271,周线!$A$5:$A$84,0)-1)),"")</f>
        <v>-1</v>
      </c>
      <c r="BV271" s="42" t="n">
        <f aca="false">IF(AND(BS271=1,S271&lt;&gt;-1,V271&lt;0,BO271=1,E271&lt;=H271,E271&gt;=AJ271),1,0)</f>
        <v>0</v>
      </c>
      <c r="BW271" s="42" t="n">
        <f aca="false">BL271</f>
        <v>0</v>
      </c>
      <c r="BX271" s="42" t="n">
        <f aca="false">BQ271</f>
        <v>0</v>
      </c>
      <c r="BY271" s="42" t="n">
        <f aca="false">IF(BS271=1,10,0)+IF(BU271=1,5,IF(BU271=-1,0,3))+IF(BT271=1,5,0)+IF(AND(AE271&gt;AF271,AH271&gt;AH270),5,0)</f>
        <v>10</v>
      </c>
      <c r="BZ271" s="42" t="n">
        <f aca="false">IF(AND(E271&lt;=H271,E271&gt;=I271),10,IF(AND(E271&gt;=AJ271,E271&lt;I271),6,0))+IF(AND(V271&lt;0,BO271=1),8,0)+IF(AT271&lt;30,7,IF(AT271&lt;50,3,0))</f>
        <v>7</v>
      </c>
      <c r="CA271" s="42" t="n">
        <f aca="false">IF(AND(BV271=1,BW271=1),25,IF(BW271=1,22,IF(BV271=1,15,IF(BX271=1,12,0))))</f>
        <v>0</v>
      </c>
      <c r="CB271" s="42" t="n">
        <f aca="false">IF(W271&gt;0,6,0)+IF(F271&lt;BR271,4,0)</f>
        <v>4</v>
      </c>
      <c r="CC271" s="42" t="n">
        <f aca="false">IF(BC271&gt;=3,15,IF(BC271&gt;=p_RRmin,10,IF(BC271&gt;=1.5,4,0)))</f>
        <v>15</v>
      </c>
      <c r="CD271" s="42" t="n">
        <f aca="false">BY271+BZ271+CA271+CB271+CC271</f>
        <v>36</v>
      </c>
      <c r="CE271" s="42" t="n">
        <f aca="false">IF(AND(BS271&lt;&gt;1,BW271+BX271=0),1,0)</f>
        <v>0</v>
      </c>
      <c r="CF271" s="42" t="n">
        <f aca="false">IF(BU271=-1,1,0)</f>
        <v>1</v>
      </c>
      <c r="CG271" s="42" t="n">
        <f aca="false">IF(S271=-1,1,0)</f>
        <v>1</v>
      </c>
      <c r="CH271" s="42" t="n">
        <f aca="false">IF(BV271+BW271+BX271=0,1,0)</f>
        <v>1</v>
      </c>
      <c r="CI271" s="42" t="n">
        <f aca="false">IF(BC271&lt;p_RRmin,1,0)</f>
        <v>0</v>
      </c>
      <c r="CJ271" s="46" t="str">
        <f aca="false">IF(SUM(CE271:CI271)=0,IF(CD271&gt;=p_GradeA,"A",IF(CD271&gt;=p_GradeB,"B","C")),IF(AND(CI271=1,SUM(CE271:CH271)=0,CD271&gt;=p_GradeB),"B","C"))</f>
        <v>C</v>
      </c>
    </row>
    <row r="272" customFormat="false" ht="15" hidden="false" customHeight="false" outlineLevel="0" collapsed="false">
      <c r="A272" s="36" t="n">
        <v>46034</v>
      </c>
      <c r="B272" s="37" t="n">
        <v>26.86</v>
      </c>
      <c r="C272" s="37" t="n">
        <v>27.13</v>
      </c>
      <c r="D272" s="37" t="n">
        <v>26.41</v>
      </c>
      <c r="E272" s="37" t="n">
        <v>26.59</v>
      </c>
      <c r="F272" s="38" t="n">
        <v>3651800</v>
      </c>
      <c r="G272" s="39" t="n">
        <f aca="false">A272-WEEKDAY(A272,3)</f>
        <v>46034</v>
      </c>
      <c r="H272" s="40" t="n">
        <f aca="false">2/(p_EmaF+1)*E272+(1-2/(p_EmaF+1))*H271</f>
        <v>28.350897934983</v>
      </c>
      <c r="I272" s="40" t="n">
        <f aca="false">2/(p_EmaS+1)*E272+(1-2/(p_EmaS+1))*I271</f>
        <v>29.0877407495081</v>
      </c>
      <c r="J272" s="41" t="n">
        <f aca="false">2/(p_MacdF+1)*E272+(1-2/(p_MacdF+1))*J271</f>
        <v>28.2602786706868</v>
      </c>
      <c r="K272" s="41" t="n">
        <f aca="false">2/(p_MacdS+1)*E272+(1-2/(p_MacdS+1))*K271</f>
        <v>29.0877407495081</v>
      </c>
      <c r="L272" s="41" t="n">
        <f aca="false">J272-K272</f>
        <v>-0.82746207882127</v>
      </c>
      <c r="M272" s="41" t="n">
        <f aca="false">2/(p_MacdSig+1)*L272+(1-2/(p_MacdSig+1))*M271</f>
        <v>-0.542143668433211</v>
      </c>
      <c r="N272" s="41" t="n">
        <f aca="false">L272-M272</f>
        <v>-0.285318410388059</v>
      </c>
      <c r="O272" s="42" t="n">
        <f aca="false">IF(H272&gt;H271,1,0)</f>
        <v>0</v>
      </c>
      <c r="P272" s="42" t="n">
        <f aca="false">IF(H272&lt;H271,1,0)</f>
        <v>1</v>
      </c>
      <c r="Q272" s="42" t="n">
        <f aca="false">IF(N272&gt;N271,1,0)</f>
        <v>0</v>
      </c>
      <c r="R272" s="42" t="n">
        <f aca="false">IF(N272&lt;N271,1,0)</f>
        <v>1</v>
      </c>
      <c r="S272" s="42" t="n">
        <f aca="false">IF(AND(O272=1,Q272=1),1,IF(AND(P272=1,R272=1),-1,0))</f>
        <v>-1</v>
      </c>
      <c r="T272" s="43" t="str">
        <f aca="false">IF(S272=1,"绿",IF(S272=-1,"红","蓝"))</f>
        <v>红</v>
      </c>
      <c r="U272" s="44" t="n">
        <f aca="false">F272*(E272-E271)</f>
        <v>-1022504</v>
      </c>
      <c r="V272" s="44" t="n">
        <f aca="false">2/(p_FiS+1)*U272+(1-2/(p_FiS+1))*V271</f>
        <v>-1736938.73902437</v>
      </c>
      <c r="W272" s="44" t="n">
        <f aca="false">2/(p_FiL+1)*U272+(1-2/(p_FiL+1))*W271</f>
        <v>-1250227.72452148</v>
      </c>
      <c r="X272" s="41" t="n">
        <f aca="false">MAX(C272-D272,ABS(C272-E271),ABS(D272-E271))</f>
        <v>0.719999999999999</v>
      </c>
      <c r="Y272" s="41" t="n">
        <f aca="true">AVERAGE(OFFSET(X272,1-MIN(p_AtrN,ROW()-4),0,MIN(p_AtrN,ROW()-4),1))</f>
        <v>0.744615384615384</v>
      </c>
      <c r="Z272" s="41" t="n">
        <f aca="false">IF(AND(C272-C271&gt;D271-D272,C272-C271&gt;0),C272-C271,0)</f>
        <v>0</v>
      </c>
      <c r="AA272" s="41" t="n">
        <f aca="false">IF(AND(D271-D272&gt;C272-C271,D271-D272&gt;0),D271-D272,0)</f>
        <v>0.100000000000001</v>
      </c>
      <c r="AB272" s="41" t="n">
        <f aca="false">2/(p_AdxN+1)*X272+(1-2/(p_AdxN+1))*AB271</f>
        <v>0.828841626515113</v>
      </c>
      <c r="AC272" s="41" t="n">
        <f aca="false">2/(p_AdxN+1)*Z272+(1-2/(p_AdxN+1))*AC271</f>
        <v>0.0440505739595738</v>
      </c>
      <c r="AD272" s="41" t="n">
        <f aca="false">2/(p_AdxN+1)*AA272+(1-2/(p_AdxN+1))*AD271</f>
        <v>0.316381778069612</v>
      </c>
      <c r="AE272" s="45" t="n">
        <f aca="false">100*AC272/AB272</f>
        <v>5.31471544748369</v>
      </c>
      <c r="AF272" s="45" t="n">
        <f aca="false">100*AD272/AB272</f>
        <v>38.1715599154747</v>
      </c>
      <c r="AG272" s="45" t="n">
        <f aca="false">IFERROR(100*ABS(AE272-AF272)/(AE272+AF272),0)</f>
        <v>75.5568146357701</v>
      </c>
      <c r="AH272" s="45" t="n">
        <f aca="false">2/(p_AdxN+1)*AG272+(1-2/(p_AdxN+1))*AH271</f>
        <v>64.4834657626783</v>
      </c>
      <c r="AI272" s="40" t="n">
        <f aca="false">I272*(1+p_ChPct)</f>
        <v>30.8330051944786</v>
      </c>
      <c r="AJ272" s="40" t="n">
        <f aca="false">I272*(1-p_ChPct)</f>
        <v>27.3424763045376</v>
      </c>
      <c r="AK272" s="40" t="n">
        <f aca="false">I272+1*Y272</f>
        <v>29.8323561341235</v>
      </c>
      <c r="AL272" s="40" t="n">
        <f aca="false">I272+2*Y272</f>
        <v>30.5769715187389</v>
      </c>
      <c r="AM272" s="40" t="n">
        <f aca="false">I272+3*Y272</f>
        <v>31.3215869033543</v>
      </c>
      <c r="AN272" s="40" t="n">
        <f aca="false">I272-1*Y272</f>
        <v>28.3431253648927</v>
      </c>
      <c r="AO272" s="40" t="n">
        <f aca="false">I272-2*Y272</f>
        <v>27.5985099802773</v>
      </c>
      <c r="AP272" s="40" t="n">
        <f aca="false">I272-3*Y272</f>
        <v>26.853894595662</v>
      </c>
      <c r="AQ272" s="40" t="n">
        <f aca="true">MAX(OFFSET(C272,1-MIN(p_StochN,ROW()-4),0,MIN(p_StochN,ROW()-4),1))</f>
        <v>28.98</v>
      </c>
      <c r="AR272" s="40" t="n">
        <f aca="true">MIN(OFFSET(D272,1-MIN(p_StochN,ROW()-4),0,MIN(p_StochN,ROW()-4),1))</f>
        <v>26.41</v>
      </c>
      <c r="AS272" s="45" t="n">
        <f aca="false">IF(AQ272=AR272,50,100*(E272-AR272)/(AQ272-AR272))</f>
        <v>7.00389105058365</v>
      </c>
      <c r="AT272" s="45" t="n">
        <f aca="true">AVERAGE(OFFSET(AS272,1-MIN(p_StochSm,ROW()-4),0,MIN(p_StochSm,ROW()-4),1))</f>
        <v>10.6020208544272</v>
      </c>
      <c r="AU272" s="45" t="n">
        <f aca="true">AVERAGE(OFFSET(AT272,1-MIN(p_StochSm,ROW()-4),0,MIN(p_StochSm,ROW()-4),1))</f>
        <v>15.6775563114725</v>
      </c>
      <c r="AV272" s="41" t="n">
        <f aca="false">MAX(0,H272-D272)</f>
        <v>1.94089793498297</v>
      </c>
      <c r="AW272" s="41" t="n">
        <f aca="true">IF(COUNTIF(OFFSET(AV272,1-MIN(p_PenLb,ROW()-4),0,MIN(p_PenLb,ROW()-4),1),"&gt;0")&gt;0,SUM(OFFSET(AV272,1-MIN(p_PenLb,ROW()-4),0,MIN(p_PenLb,ROW()-4),1))/COUNTIF(OFFSET(AV272,1-MIN(p_PenLb,ROW()-4),0,MIN(p_PenLb,ROW()-4),1),"&gt;0"),0.5*Y272)</f>
        <v>0.964246588875399</v>
      </c>
      <c r="AX272" s="41" t="n">
        <f aca="false">2*H272-H271</f>
        <v>28.0574149458191</v>
      </c>
      <c r="AY272" s="40" t="n">
        <f aca="false">ROUND(MAX(AX272-AW272,0.01),2)</f>
        <v>27.09</v>
      </c>
      <c r="AZ272" s="40" t="n">
        <f aca="true">IF(MIN(p_StopLb,ROW()-4)&lt;2,D272,SMALL(OFFSET(D272,1-MIN(p_StopLb,ROW()-4),0,MIN(p_StopLb,ROW()-4),1),2))</f>
        <v>26.51</v>
      </c>
      <c r="BA272" s="40" t="n">
        <f aca="false">IF(MOD(ROUND(ROUNDDOWN(MIN(AZ272-0.01,AY272-p_StopAtr*Y272),2)*100,0),50)=0,ROUNDDOWN(MIN(AZ272-0.01,AY272-p_StopAtr*Y272),2)-0.01,ROUNDDOWN(MIN(AZ272-0.01,AY272-p_StopAtr*Y272),2))</f>
        <v>26.34</v>
      </c>
      <c r="BB272" s="40" t="n">
        <f aca="false">ROUND(AI272,2)</f>
        <v>30.83</v>
      </c>
      <c r="BC272" s="40" t="n">
        <f aca="false">IF(AY272-BA272&gt;0,(BB272-AY272)/(AY272-BA272),0)</f>
        <v>4.98666666666667</v>
      </c>
      <c r="BD272" s="42" t="n">
        <f aca="false">IF(N272&lt;0,1,0)</f>
        <v>1</v>
      </c>
      <c r="BE272" s="41" t="n">
        <f aca="false">IF(AND(BD272=1,BD271=0),N272,IF(BD272=1,MIN(BE271,N272),BE271))</f>
        <v>-0.356654552541767</v>
      </c>
      <c r="BF272" s="40" t="n">
        <f aca="false">IF(AND(BD272=1,BD271=0),D272,IF(BD272=1,MIN(BF271,D272),BF271))</f>
        <v>26.41</v>
      </c>
      <c r="BG272" s="42" t="n">
        <f aca="false">IF(AND(BD272=1,BD271=0),ROW(),IF(BD272=1,IF(N272&lt;BE271,ROW(),BG271),BG271))</f>
        <v>261</v>
      </c>
      <c r="BH272" s="41" t="n">
        <f aca="false">IF(AND(BD272=1,BD271=0),BE271,BH271)</f>
        <v>-0.153190541609803</v>
      </c>
      <c r="BI272" s="40" t="n">
        <f aca="false">IF(AND(BD272=1,BD271=0),BF271,BI271)</f>
        <v>27.9</v>
      </c>
      <c r="BJ272" s="42" t="n">
        <f aca="false">IF(AND(BD272=1,BD271=0),BG271,BJ271)</f>
        <v>226</v>
      </c>
      <c r="BK272" s="42" t="n">
        <f aca="false">IF(AND(ISNUMBER(BG272),ISNUMBER(BJ272)),BG272-BJ272,"")</f>
        <v>35</v>
      </c>
      <c r="BL272" s="42" t="n">
        <f aca="false">IF(AND(BD272=1,N272&gt;N271,ISNUMBER(BH272),ISNUMBER(BK272)),IF(AND(BE272&gt;BH272,BF272&lt;BI272,BK272&gt;=p_GapMin,BK272&lt;=p_GapMax),1,0),0)</f>
        <v>0</v>
      </c>
      <c r="BM272" s="42" t="n">
        <f aca="false">IF(AND(BL272=1,E272&gt;BI272),1,0)</f>
        <v>0</v>
      </c>
      <c r="BN272" s="42" t="n">
        <f aca="false">IF(BL272=1,IF(BE272&gt;=BH272*0.5,1,0),0)</f>
        <v>0</v>
      </c>
      <c r="BO272" s="42" t="n">
        <f aca="true">IF(V272&gt;MIN(OFFSET(V272,-MIN(p_FiLb-1,ROW()-5),0,MIN(p_FiLb-1,ROW()-5),1)),1,0)</f>
        <v>1</v>
      </c>
      <c r="BP272" s="44" t="n">
        <f aca="true">IF(COUNTIF(OFFSET(V272,1-MIN(100,ROW()-4),0,MIN(100,ROW()-4),1),"&lt;0")&gt;=5,AVERAGEIF(OFFSET(V272,1-MIN(100,ROW()-4),0,MIN(100,ROW()-4),1),"&lt;0"),"")</f>
        <v>-1053720.69269441</v>
      </c>
      <c r="BQ272" s="42" t="n">
        <f aca="false">IF(ISNUMBER(BP272),IF(AND(V272&lt;5*BP272,V272&gt;V271,E272&lt;AJ272),1,0),0)</f>
        <v>0</v>
      </c>
      <c r="BR272" s="44" t="n">
        <f aca="true">AVERAGE(OFFSET(F272,1-MIN(5,ROW()-4),0,MIN(5,ROW()-4),1))</f>
        <v>4380400</v>
      </c>
      <c r="BS272" s="42" t="n">
        <f aca="false">IFERROR(IF(MATCH(G272,周线!$A$5:$A$84,0)&lt;=1,"",INDEX(周线!$R$5:$R$84,MATCH(G272,周线!$A$5:$A$84,0)-1)),"")</f>
        <v>0</v>
      </c>
      <c r="BT272" s="42" t="n">
        <f aca="false">IFERROR(IF(MATCH(G272,周线!$A$5:$A$84,0)&lt;=1,"",INDEX(周线!$S$5:$S$84,MATCH(G272,周线!$A$5:$A$84,0)-1)),"")</f>
        <v>0</v>
      </c>
      <c r="BU272" s="42" t="n">
        <f aca="false">IFERROR(IF(MATCH(G272,周线!$A$5:$A$84,0)&lt;=1,"",INDEX(周线!$U$5:$U$84,MATCH(G272,周线!$A$5:$A$84,0)-1)),"")</f>
        <v>-1</v>
      </c>
      <c r="BV272" s="42" t="n">
        <f aca="false">IF(AND(BS272=1,S272&lt;&gt;-1,V272&lt;0,BO272=1,E272&lt;=H272,E272&gt;=AJ272),1,0)</f>
        <v>0</v>
      </c>
      <c r="BW272" s="42" t="n">
        <f aca="false">BL272</f>
        <v>0</v>
      </c>
      <c r="BX272" s="42" t="n">
        <f aca="false">BQ272</f>
        <v>0</v>
      </c>
      <c r="BY272" s="42" t="n">
        <f aca="false">IF(BS272=1,10,0)+IF(BU272=1,5,IF(BU272=-1,0,3))+IF(BT272=1,5,0)+IF(AND(AE272&gt;AF272,AH272&gt;AH271),5,0)</f>
        <v>0</v>
      </c>
      <c r="BZ272" s="42" t="n">
        <f aca="false">IF(AND(E272&lt;=H272,E272&gt;=I272),10,IF(AND(E272&gt;=AJ272,E272&lt;I272),6,0))+IF(AND(V272&lt;0,BO272=1),8,0)+IF(AT272&lt;30,7,IF(AT272&lt;50,3,0))</f>
        <v>15</v>
      </c>
      <c r="CA272" s="42" t="n">
        <f aca="false">IF(AND(BV272=1,BW272=1),25,IF(BW272=1,22,IF(BV272=1,15,IF(BX272=1,12,0))))</f>
        <v>0</v>
      </c>
      <c r="CB272" s="42" t="n">
        <f aca="false">IF(W272&gt;0,6,0)+IF(F272&lt;BR272,4,0)</f>
        <v>4</v>
      </c>
      <c r="CC272" s="42" t="n">
        <f aca="false">IF(BC272&gt;=3,15,IF(BC272&gt;=p_RRmin,10,IF(BC272&gt;=1.5,4,0)))</f>
        <v>15</v>
      </c>
      <c r="CD272" s="42" t="n">
        <f aca="false">BY272+BZ272+CA272+CB272+CC272</f>
        <v>34</v>
      </c>
      <c r="CE272" s="42" t="n">
        <f aca="false">IF(AND(BS272&lt;&gt;1,BW272+BX272=0),1,0)</f>
        <v>1</v>
      </c>
      <c r="CF272" s="42" t="n">
        <f aca="false">IF(BU272=-1,1,0)</f>
        <v>1</v>
      </c>
      <c r="CG272" s="42" t="n">
        <f aca="false">IF(S272=-1,1,0)</f>
        <v>1</v>
      </c>
      <c r="CH272" s="42" t="n">
        <f aca="false">IF(BV272+BW272+BX272=0,1,0)</f>
        <v>1</v>
      </c>
      <c r="CI272" s="42" t="n">
        <f aca="false">IF(BC272&lt;p_RRmin,1,0)</f>
        <v>0</v>
      </c>
      <c r="CJ272" s="46" t="str">
        <f aca="false">IF(SUM(CE272:CI272)=0,IF(CD272&gt;=p_GradeA,"A",IF(CD272&gt;=p_GradeB,"B","C")),IF(AND(CI272=1,SUM(CE272:CH272)=0,CD272&gt;=p_GradeB),"B","C"))</f>
        <v>C</v>
      </c>
    </row>
    <row r="273" customFormat="false" ht="15" hidden="false" customHeight="false" outlineLevel="0" collapsed="false">
      <c r="A273" s="36" t="n">
        <v>46035</v>
      </c>
      <c r="B273" s="37" t="n">
        <v>26.7</v>
      </c>
      <c r="C273" s="37" t="n">
        <v>26.8</v>
      </c>
      <c r="D273" s="37" t="n">
        <v>25.97</v>
      </c>
      <c r="E273" s="37" t="n">
        <v>26.06</v>
      </c>
      <c r="F273" s="38" t="n">
        <v>5573300</v>
      </c>
      <c r="G273" s="39" t="n">
        <f aca="false">A273-WEEKDAY(A273,3)</f>
        <v>46034</v>
      </c>
      <c r="H273" s="40" t="n">
        <f aca="false">2/(p_EmaF+1)*E273+(1-2/(p_EmaF+1))*H272</f>
        <v>28.023626801414</v>
      </c>
      <c r="I273" s="40" t="n">
        <f aca="false">2/(p_EmaS+1)*E273+(1-2/(p_EmaS+1))*I272</f>
        <v>28.8634636569519</v>
      </c>
      <c r="J273" s="41" t="n">
        <f aca="false">2/(p_MacdF+1)*E273+(1-2/(p_MacdF+1))*J272</f>
        <v>27.9217742598119</v>
      </c>
      <c r="K273" s="41" t="n">
        <f aca="false">2/(p_MacdS+1)*E273+(1-2/(p_MacdS+1))*K272</f>
        <v>28.8634636569519</v>
      </c>
      <c r="L273" s="41" t="n">
        <f aca="false">J273-K273</f>
        <v>-0.94168939714001</v>
      </c>
      <c r="M273" s="41" t="n">
        <f aca="false">2/(p_MacdSig+1)*L273+(1-2/(p_MacdSig+1))*M272</f>
        <v>-0.622052814174571</v>
      </c>
      <c r="N273" s="41" t="n">
        <f aca="false">L273-M273</f>
        <v>-0.319636582965439</v>
      </c>
      <c r="O273" s="42" t="n">
        <f aca="false">IF(H273&gt;H272,1,0)</f>
        <v>0</v>
      </c>
      <c r="P273" s="42" t="n">
        <f aca="false">IF(H273&lt;H272,1,0)</f>
        <v>1</v>
      </c>
      <c r="Q273" s="42" t="n">
        <f aca="false">IF(N273&gt;N272,1,0)</f>
        <v>0</v>
      </c>
      <c r="R273" s="42" t="n">
        <f aca="false">IF(N273&lt;N272,1,0)</f>
        <v>1</v>
      </c>
      <c r="S273" s="42" t="n">
        <f aca="false">IF(AND(O273=1,Q273=1),1,IF(AND(P273=1,R273=1),-1,0))</f>
        <v>-1</v>
      </c>
      <c r="T273" s="43" t="str">
        <f aca="false">IF(S273=1,"绿",IF(S273=-1,"红","蓝"))</f>
        <v>红</v>
      </c>
      <c r="U273" s="44" t="n">
        <f aca="false">F273*(E273-E272)</f>
        <v>-2953849.00000001</v>
      </c>
      <c r="V273" s="44" t="n">
        <f aca="false">2/(p_FiS+1)*U273+(1-2/(p_FiS+1))*V272</f>
        <v>-2548212.24634146</v>
      </c>
      <c r="W273" s="44" t="n">
        <f aca="false">2/(p_FiL+1)*U273+(1-2/(p_FiL+1))*W272</f>
        <v>-1493602.19244699</v>
      </c>
      <c r="X273" s="41" t="n">
        <f aca="false">MAX(C273-D273,ABS(C273-E272),ABS(D273-E272))</f>
        <v>0.830000000000002</v>
      </c>
      <c r="Y273" s="41" t="n">
        <f aca="true">AVERAGE(OFFSET(X273,1-MIN(p_AtrN,ROW()-4),0,MIN(p_AtrN,ROW()-4),1))</f>
        <v>0.760769230769231</v>
      </c>
      <c r="Z273" s="41" t="n">
        <f aca="false">IF(AND(C273-C272&gt;D272-D273,C273-C272&gt;0),C273-C272,0)</f>
        <v>0</v>
      </c>
      <c r="AA273" s="41" t="n">
        <f aca="false">IF(AND(D272-D273&gt;C273-C272,D272-D273&gt;0),D272-D273,0)</f>
        <v>0.440000000000001</v>
      </c>
      <c r="AB273" s="41" t="n">
        <f aca="false">2/(p_AdxN+1)*X273+(1-2/(p_AdxN+1))*AB272</f>
        <v>0.829007108441526</v>
      </c>
      <c r="AC273" s="41" t="n">
        <f aca="false">2/(p_AdxN+1)*Z273+(1-2/(p_AdxN+1))*AC272</f>
        <v>0.0377576348224918</v>
      </c>
      <c r="AD273" s="41" t="n">
        <f aca="false">2/(p_AdxN+1)*AA273+(1-2/(p_AdxN+1))*AD272</f>
        <v>0.334041524059667</v>
      </c>
      <c r="AE273" s="45" t="n">
        <f aca="false">100*AC273/AB273</f>
        <v>4.55456104513669</v>
      </c>
      <c r="AF273" s="45" t="n">
        <f aca="false">100*AD273/AB273</f>
        <v>40.2941688506919</v>
      </c>
      <c r="AG273" s="45" t="n">
        <f aca="false">IFERROR(100*ABS(AE273-AF273)/(AE273+AF273),0)</f>
        <v>79.6892306394598</v>
      </c>
      <c r="AH273" s="45" t="n">
        <f aca="false">2/(p_AdxN+1)*AG273+(1-2/(p_AdxN+1))*AH272</f>
        <v>66.6557178879328</v>
      </c>
      <c r="AI273" s="40" t="n">
        <f aca="false">I273*(1+p_ChPct)</f>
        <v>30.5952714763691</v>
      </c>
      <c r="AJ273" s="40" t="n">
        <f aca="false">I273*(1-p_ChPct)</f>
        <v>27.1316558375348</v>
      </c>
      <c r="AK273" s="40" t="n">
        <f aca="false">I273+1*Y273</f>
        <v>29.6242328877212</v>
      </c>
      <c r="AL273" s="40" t="n">
        <f aca="false">I273+2*Y273</f>
        <v>30.3850021184904</v>
      </c>
      <c r="AM273" s="40" t="n">
        <f aca="false">I273+3*Y273</f>
        <v>31.1457713492596</v>
      </c>
      <c r="AN273" s="40" t="n">
        <f aca="false">I273-1*Y273</f>
        <v>28.1026944261827</v>
      </c>
      <c r="AO273" s="40" t="n">
        <f aca="false">I273-2*Y273</f>
        <v>27.3419251954135</v>
      </c>
      <c r="AP273" s="40" t="n">
        <f aca="false">I273-3*Y273</f>
        <v>26.5811559646443</v>
      </c>
      <c r="AQ273" s="40" t="n">
        <f aca="true">MAX(OFFSET(C273,1-MIN(p_StochN,ROW()-4),0,MIN(p_StochN,ROW()-4),1))</f>
        <v>28.98</v>
      </c>
      <c r="AR273" s="40" t="n">
        <f aca="true">MIN(OFFSET(D273,1-MIN(p_StochN,ROW()-4),0,MIN(p_StochN,ROW()-4),1))</f>
        <v>25.97</v>
      </c>
      <c r="AS273" s="45" t="n">
        <f aca="false">IF(AQ273=AR273,50,100*(E273-AR273)/(AQ273-AR273))</f>
        <v>2.99003322259136</v>
      </c>
      <c r="AT273" s="45" t="n">
        <f aca="true">AVERAGE(OFFSET(AS273,1-MIN(p_StochSm,ROW()-4),0,MIN(p_StochSm,ROW()-4),1))</f>
        <v>8.18960768620003</v>
      </c>
      <c r="AU273" s="45" t="n">
        <f aca="true">AVERAGE(OFFSET(AT273,1-MIN(p_StochSm,ROW()-4),0,MIN(p_StochSm,ROW()-4),1))</f>
        <v>11.1898119038422</v>
      </c>
      <c r="AV273" s="41" t="n">
        <f aca="false">MAX(0,H273-D273)</f>
        <v>2.05362680141398</v>
      </c>
      <c r="AW273" s="41" t="n">
        <f aca="true">IF(COUNTIF(OFFSET(AV273,1-MIN(p_PenLb,ROW()-4),0,MIN(p_PenLb,ROW()-4),1),"&gt;0")&gt;0,SUM(OFFSET(AV273,1-MIN(p_PenLb,ROW()-4),0,MIN(p_PenLb,ROW()-4),1))/COUNTIF(OFFSET(AV273,1-MIN(p_PenLb,ROW()-4),0,MIN(p_PenLb,ROW()-4),1),"&gt;0"),0.5*Y273)</f>
        <v>1.00315302503749</v>
      </c>
      <c r="AX273" s="41" t="n">
        <f aca="false">2*H273-H272</f>
        <v>27.696355667845</v>
      </c>
      <c r="AY273" s="40" t="n">
        <f aca="false">ROUND(MAX(AX273-AW273,0.01),2)</f>
        <v>26.69</v>
      </c>
      <c r="AZ273" s="40" t="n">
        <f aca="true">IF(MIN(p_StopLb,ROW()-4)&lt;2,D273,SMALL(OFFSET(D273,1-MIN(p_StopLb,ROW()-4),0,MIN(p_StopLb,ROW()-4),1),2))</f>
        <v>26.41</v>
      </c>
      <c r="BA273" s="40" t="n">
        <f aca="false">IF(MOD(ROUND(ROUNDDOWN(MIN(AZ273-0.01,AY273-p_StopAtr*Y273),2)*100,0),50)=0,ROUNDDOWN(MIN(AZ273-0.01,AY273-p_StopAtr*Y273),2)-0.01,ROUNDDOWN(MIN(AZ273-0.01,AY273-p_StopAtr*Y273),2))</f>
        <v>25.92</v>
      </c>
      <c r="BB273" s="40" t="n">
        <f aca="false">ROUND(AI273,2)</f>
        <v>30.6</v>
      </c>
      <c r="BC273" s="40" t="n">
        <f aca="false">IF(AY273-BA273&gt;0,(BB273-AY273)/(AY273-BA273),0)</f>
        <v>5.07792207792208</v>
      </c>
      <c r="BD273" s="42" t="n">
        <f aca="false">IF(N273&lt;0,1,0)</f>
        <v>1</v>
      </c>
      <c r="BE273" s="41" t="n">
        <f aca="false">IF(AND(BD273=1,BD272=0),N273,IF(BD273=1,MIN(BE272,N273),BE272))</f>
        <v>-0.356654552541767</v>
      </c>
      <c r="BF273" s="40" t="n">
        <f aca="false">IF(AND(BD273=1,BD272=0),D273,IF(BD273=1,MIN(BF272,D273),BF272))</f>
        <v>25.97</v>
      </c>
      <c r="BG273" s="42" t="n">
        <f aca="false">IF(AND(BD273=1,BD272=0),ROW(),IF(BD273=1,IF(N273&lt;BE272,ROW(),BG272),BG272))</f>
        <v>261</v>
      </c>
      <c r="BH273" s="41" t="n">
        <f aca="false">IF(AND(BD273=1,BD272=0),BE272,BH272)</f>
        <v>-0.153190541609803</v>
      </c>
      <c r="BI273" s="40" t="n">
        <f aca="false">IF(AND(BD273=1,BD272=0),BF272,BI272)</f>
        <v>27.9</v>
      </c>
      <c r="BJ273" s="42" t="n">
        <f aca="false">IF(AND(BD273=1,BD272=0),BG272,BJ272)</f>
        <v>226</v>
      </c>
      <c r="BK273" s="42" t="n">
        <f aca="false">IF(AND(ISNUMBER(BG273),ISNUMBER(BJ273)),BG273-BJ273,"")</f>
        <v>35</v>
      </c>
      <c r="BL273" s="42" t="n">
        <f aca="false">IF(AND(BD273=1,N273&gt;N272,ISNUMBER(BH273),ISNUMBER(BK273)),IF(AND(BE273&gt;BH273,BF273&lt;BI273,BK273&gt;=p_GapMin,BK273&lt;=p_GapMax),1,0),0)</f>
        <v>0</v>
      </c>
      <c r="BM273" s="42" t="n">
        <f aca="false">IF(AND(BL273=1,E273&gt;BI273),1,0)</f>
        <v>0</v>
      </c>
      <c r="BN273" s="42" t="n">
        <f aca="false">IF(BL273=1,IF(BE273&gt;=BH273*0.5,1,0),0)</f>
        <v>0</v>
      </c>
      <c r="BO273" s="42" t="n">
        <f aca="true">IF(V273&gt;MIN(OFFSET(V273,-MIN(p_FiLb-1,ROW()-5),0,MIN(p_FiLb-1,ROW()-5),1)),1,0)</f>
        <v>1</v>
      </c>
      <c r="BP273" s="44" t="n">
        <f aca="true">IF(COUNTIF(OFFSET(V273,1-MIN(100,ROW()-4),0,MIN(100,ROW()-4),1),"&lt;0")&gt;=5,AVERAGEIF(OFFSET(V273,1-MIN(100,ROW()-4),0,MIN(100,ROW()-4),1),"&lt;0"),"")</f>
        <v>-1085930.75305174</v>
      </c>
      <c r="BQ273" s="42" t="n">
        <f aca="false">IF(ISNUMBER(BP273),IF(AND(V273&lt;5*BP273,V273&gt;V272,E273&lt;AJ273),1,0),0)</f>
        <v>0</v>
      </c>
      <c r="BR273" s="44" t="n">
        <f aca="true">AVERAGE(OFFSET(F273,1-MIN(5,ROW()-4),0,MIN(5,ROW()-4),1))</f>
        <v>4586640</v>
      </c>
      <c r="BS273" s="42" t="n">
        <f aca="false">IFERROR(IF(MATCH(G273,周线!$A$5:$A$84,0)&lt;=1,"",INDEX(周线!$R$5:$R$84,MATCH(G273,周线!$A$5:$A$84,0)-1)),"")</f>
        <v>0</v>
      </c>
      <c r="BT273" s="42" t="n">
        <f aca="false">IFERROR(IF(MATCH(G273,周线!$A$5:$A$84,0)&lt;=1,"",INDEX(周线!$S$5:$S$84,MATCH(G273,周线!$A$5:$A$84,0)-1)),"")</f>
        <v>0</v>
      </c>
      <c r="BU273" s="42" t="n">
        <f aca="false">IFERROR(IF(MATCH(G273,周线!$A$5:$A$84,0)&lt;=1,"",INDEX(周线!$U$5:$U$84,MATCH(G273,周线!$A$5:$A$84,0)-1)),"")</f>
        <v>-1</v>
      </c>
      <c r="BV273" s="42" t="n">
        <f aca="false">IF(AND(BS273=1,S273&lt;&gt;-1,V273&lt;0,BO273=1,E273&lt;=H273,E273&gt;=AJ273),1,0)</f>
        <v>0</v>
      </c>
      <c r="BW273" s="42" t="n">
        <f aca="false">BL273</f>
        <v>0</v>
      </c>
      <c r="BX273" s="42" t="n">
        <f aca="false">BQ273</f>
        <v>0</v>
      </c>
      <c r="BY273" s="42" t="n">
        <f aca="false">IF(BS273=1,10,0)+IF(BU273=1,5,IF(BU273=-1,0,3))+IF(BT273=1,5,0)+IF(AND(AE273&gt;AF273,AH273&gt;AH272),5,0)</f>
        <v>0</v>
      </c>
      <c r="BZ273" s="42" t="n">
        <f aca="false">IF(AND(E273&lt;=H273,E273&gt;=I273),10,IF(AND(E273&gt;=AJ273,E273&lt;I273),6,0))+IF(AND(V273&lt;0,BO273=1),8,0)+IF(AT273&lt;30,7,IF(AT273&lt;50,3,0))</f>
        <v>15</v>
      </c>
      <c r="CA273" s="42" t="n">
        <f aca="false">IF(AND(BV273=1,BW273=1),25,IF(BW273=1,22,IF(BV273=1,15,IF(BX273=1,12,0))))</f>
        <v>0</v>
      </c>
      <c r="CB273" s="42" t="n">
        <f aca="false">IF(W273&gt;0,6,0)+IF(F273&lt;BR273,4,0)</f>
        <v>0</v>
      </c>
      <c r="CC273" s="42" t="n">
        <f aca="false">IF(BC273&gt;=3,15,IF(BC273&gt;=p_RRmin,10,IF(BC273&gt;=1.5,4,0)))</f>
        <v>15</v>
      </c>
      <c r="CD273" s="42" t="n">
        <f aca="false">BY273+BZ273+CA273+CB273+CC273</f>
        <v>30</v>
      </c>
      <c r="CE273" s="42" t="n">
        <f aca="false">IF(AND(BS273&lt;&gt;1,BW273+BX273=0),1,0)</f>
        <v>1</v>
      </c>
      <c r="CF273" s="42" t="n">
        <f aca="false">IF(BU273=-1,1,0)</f>
        <v>1</v>
      </c>
      <c r="CG273" s="42" t="n">
        <f aca="false">IF(S273=-1,1,0)</f>
        <v>1</v>
      </c>
      <c r="CH273" s="42" t="n">
        <f aca="false">IF(BV273+BW273+BX273=0,1,0)</f>
        <v>1</v>
      </c>
      <c r="CI273" s="42" t="n">
        <f aca="false">IF(BC273&lt;p_RRmin,1,0)</f>
        <v>0</v>
      </c>
      <c r="CJ273" s="46" t="str">
        <f aca="false">IF(SUM(CE273:CI273)=0,IF(CD273&gt;=p_GradeA,"A",IF(CD273&gt;=p_GradeB,"B","C")),IF(AND(CI273=1,SUM(CE273:CH273)=0,CD273&gt;=p_GradeB),"B","C"))</f>
        <v>C</v>
      </c>
    </row>
    <row r="274" customFormat="false" ht="15" hidden="false" customHeight="false" outlineLevel="0" collapsed="false">
      <c r="A274" s="36" t="n">
        <v>46036</v>
      </c>
      <c r="B274" s="37" t="n">
        <v>26.04</v>
      </c>
      <c r="C274" s="37" t="n">
        <v>26.46</v>
      </c>
      <c r="D274" s="37" t="n">
        <v>25.91</v>
      </c>
      <c r="E274" s="37" t="n">
        <v>26.34</v>
      </c>
      <c r="F274" s="38" t="n">
        <v>2805200</v>
      </c>
      <c r="G274" s="39" t="n">
        <f aca="false">A274-WEEKDAY(A274,3)</f>
        <v>46034</v>
      </c>
      <c r="H274" s="40" t="n">
        <f aca="false">2/(p_EmaF+1)*E274+(1-2/(p_EmaF+1))*H273</f>
        <v>27.7831086869263</v>
      </c>
      <c r="I274" s="40" t="n">
        <f aca="false">2/(p_EmaS+1)*E274+(1-2/(p_EmaS+1))*I273</f>
        <v>28.6765404231037</v>
      </c>
      <c r="J274" s="41" t="n">
        <f aca="false">2/(p_MacdF+1)*E274+(1-2/(p_MacdF+1))*J273</f>
        <v>27.678424373687</v>
      </c>
      <c r="K274" s="41" t="n">
        <f aca="false">2/(p_MacdS+1)*E274+(1-2/(p_MacdS+1))*K273</f>
        <v>28.6765404231037</v>
      </c>
      <c r="L274" s="41" t="n">
        <f aca="false">J274-K274</f>
        <v>-0.99811604941663</v>
      </c>
      <c r="M274" s="41" t="n">
        <f aca="false">2/(p_MacdSig+1)*L274+(1-2/(p_MacdSig+1))*M273</f>
        <v>-0.697265461222983</v>
      </c>
      <c r="N274" s="41" t="n">
        <f aca="false">L274-M274</f>
        <v>-0.300850588193648</v>
      </c>
      <c r="O274" s="42" t="n">
        <f aca="false">IF(H274&gt;H273,1,0)</f>
        <v>0</v>
      </c>
      <c r="P274" s="42" t="n">
        <f aca="false">IF(H274&lt;H273,1,0)</f>
        <v>1</v>
      </c>
      <c r="Q274" s="42" t="n">
        <f aca="false">IF(N274&gt;N273,1,0)</f>
        <v>1</v>
      </c>
      <c r="R274" s="42" t="n">
        <f aca="false">IF(N274&lt;N273,1,0)</f>
        <v>0</v>
      </c>
      <c r="S274" s="42" t="n">
        <f aca="false">IF(AND(O274=1,Q274=1),1,IF(AND(P274=1,R274=1),-1,0))</f>
        <v>0</v>
      </c>
      <c r="T274" s="43" t="str">
        <f aca="false">IF(S274=1,"绿",IF(S274=-1,"红","蓝"))</f>
        <v>蓝</v>
      </c>
      <c r="U274" s="44" t="n">
        <f aca="false">F274*(E274-E273)</f>
        <v>785456.000000003</v>
      </c>
      <c r="V274" s="44" t="n">
        <f aca="false">2/(p_FiS+1)*U274+(1-2/(p_FiS+1))*V273</f>
        <v>-325766.748780485</v>
      </c>
      <c r="W274" s="44" t="n">
        <f aca="false">2/(p_FiL+1)*U274+(1-2/(p_FiL+1))*W273</f>
        <v>-1168022.45066885</v>
      </c>
      <c r="X274" s="41" t="n">
        <f aca="false">MAX(C274-D274,ABS(C274-E273),ABS(D274-E273))</f>
        <v>0.550000000000001</v>
      </c>
      <c r="Y274" s="41" t="n">
        <f aca="true">AVERAGE(OFFSET(X274,1-MIN(p_AtrN,ROW()-4),0,MIN(p_AtrN,ROW()-4),1))</f>
        <v>0.732307692307692</v>
      </c>
      <c r="Z274" s="41" t="n">
        <f aca="false">IF(AND(C274-C273&gt;D273-D274,C274-C273&gt;0),C274-C273,0)</f>
        <v>0</v>
      </c>
      <c r="AA274" s="41" t="n">
        <f aca="false">IF(AND(D273-D274&gt;C274-C273,D273-D274&gt;0),D273-D274,0)</f>
        <v>0.0599999999999987</v>
      </c>
      <c r="AB274" s="41" t="n">
        <f aca="false">2/(p_AdxN+1)*X274+(1-2/(p_AdxN+1))*AB273</f>
        <v>0.789148950092737</v>
      </c>
      <c r="AC274" s="41" t="n">
        <f aca="false">2/(p_AdxN+1)*Z274+(1-2/(p_AdxN+1))*AC273</f>
        <v>0.0323636869907073</v>
      </c>
      <c r="AD274" s="41" t="n">
        <f aca="false">2/(p_AdxN+1)*AA274+(1-2/(p_AdxN+1))*AD273</f>
        <v>0.294892734908286</v>
      </c>
      <c r="AE274" s="45" t="n">
        <f aca="false">100*AC274/AB274</f>
        <v>4.10108725189384</v>
      </c>
      <c r="AF274" s="45" t="n">
        <f aca="false">100*AD274/AB274</f>
        <v>37.3684505154105</v>
      </c>
      <c r="AG274" s="45" t="n">
        <f aca="false">IFERROR(100*ABS(AE274-AF274)/(AE274+AF274),0)</f>
        <v>80.2212058648638</v>
      </c>
      <c r="AH274" s="45" t="n">
        <f aca="false">2/(p_AdxN+1)*AG274+(1-2/(p_AdxN+1))*AH273</f>
        <v>68.5936447417801</v>
      </c>
      <c r="AI274" s="40" t="n">
        <f aca="false">I274*(1+p_ChPct)</f>
        <v>30.3971328484899</v>
      </c>
      <c r="AJ274" s="40" t="n">
        <f aca="false">I274*(1-p_ChPct)</f>
        <v>26.9559479977174</v>
      </c>
      <c r="AK274" s="40" t="n">
        <f aca="false">I274+1*Y274</f>
        <v>29.4088481154113</v>
      </c>
      <c r="AL274" s="40" t="n">
        <f aca="false">I274+2*Y274</f>
        <v>30.141155807719</v>
      </c>
      <c r="AM274" s="40" t="n">
        <f aca="false">I274+3*Y274</f>
        <v>30.8734635000267</v>
      </c>
      <c r="AN274" s="40" t="n">
        <f aca="false">I274-1*Y274</f>
        <v>27.944232730796</v>
      </c>
      <c r="AO274" s="40" t="n">
        <f aca="false">I274-2*Y274</f>
        <v>27.2119250384883</v>
      </c>
      <c r="AP274" s="40" t="n">
        <f aca="false">I274-3*Y274</f>
        <v>26.4796173461806</v>
      </c>
      <c r="AQ274" s="40" t="n">
        <f aca="true">MAX(OFFSET(C274,1-MIN(p_StochN,ROW()-4),0,MIN(p_StochN,ROW()-4),1))</f>
        <v>28.49</v>
      </c>
      <c r="AR274" s="40" t="n">
        <f aca="true">MIN(OFFSET(D274,1-MIN(p_StochN,ROW()-4),0,MIN(p_StochN,ROW()-4),1))</f>
        <v>25.91</v>
      </c>
      <c r="AS274" s="45" t="n">
        <f aca="false">IF(AQ274=AR274,50,100*(E274-AR274)/(AQ274-AR274))</f>
        <v>16.6666666666667</v>
      </c>
      <c r="AT274" s="45" t="n">
        <f aca="true">AVERAGE(OFFSET(AS274,1-MIN(p_StochSm,ROW()-4),0,MIN(p_StochSm,ROW()-4),1))</f>
        <v>8.88686364661389</v>
      </c>
      <c r="AU274" s="45" t="n">
        <f aca="true">AVERAGE(OFFSET(AT274,1-MIN(p_StochSm,ROW()-4),0,MIN(p_StochSm,ROW()-4),1))</f>
        <v>9.22616406241369</v>
      </c>
      <c r="AV274" s="41" t="n">
        <f aca="false">MAX(0,H274-D274)</f>
        <v>1.87310868692627</v>
      </c>
      <c r="AW274" s="41" t="n">
        <f aca="true">IF(COUNTIF(OFFSET(AV274,1-MIN(p_PenLb,ROW()-4),0,MIN(p_PenLb,ROW()-4),1),"&gt;0")&gt;0,SUM(OFFSET(AV274,1-MIN(p_PenLb,ROW()-4),0,MIN(p_PenLb,ROW()-4),1))/COUNTIF(OFFSET(AV274,1-MIN(p_PenLb,ROW()-4),0,MIN(p_PenLb,ROW()-4),1),"&gt;0"),0.5*Y274)</f>
        <v>1.0331514961371</v>
      </c>
      <c r="AX274" s="41" t="n">
        <f aca="false">2*H274-H273</f>
        <v>27.5425905724386</v>
      </c>
      <c r="AY274" s="40" t="n">
        <f aca="false">ROUND(MAX(AX274-AW274,0.01),2)</f>
        <v>26.51</v>
      </c>
      <c r="AZ274" s="40" t="n">
        <f aca="true">IF(MIN(p_StopLb,ROW()-4)&lt;2,D274,SMALL(OFFSET(D274,1-MIN(p_StopLb,ROW()-4),0,MIN(p_StopLb,ROW()-4),1),2))</f>
        <v>25.97</v>
      </c>
      <c r="BA274" s="40" t="n">
        <f aca="false">IF(MOD(ROUND(ROUNDDOWN(MIN(AZ274-0.01,AY274-p_StopAtr*Y274),2)*100,0),50)=0,ROUNDDOWN(MIN(AZ274-0.01,AY274-p_StopAtr*Y274),2)-0.01,ROUNDDOWN(MIN(AZ274-0.01,AY274-p_StopAtr*Y274),2))</f>
        <v>25.77</v>
      </c>
      <c r="BB274" s="40" t="n">
        <f aca="false">ROUND(AI274,2)</f>
        <v>30.4</v>
      </c>
      <c r="BC274" s="40" t="n">
        <f aca="false">IF(AY274-BA274&gt;0,(BB274-AY274)/(AY274-BA274),0)</f>
        <v>5.25675675675674</v>
      </c>
      <c r="BD274" s="42" t="n">
        <f aca="false">IF(N274&lt;0,1,0)</f>
        <v>1</v>
      </c>
      <c r="BE274" s="41" t="n">
        <f aca="false">IF(AND(BD274=1,BD273=0),N274,IF(BD274=1,MIN(BE273,N274),BE273))</f>
        <v>-0.356654552541767</v>
      </c>
      <c r="BF274" s="40" t="n">
        <f aca="false">IF(AND(BD274=1,BD273=0),D274,IF(BD274=1,MIN(BF273,D274),BF273))</f>
        <v>25.91</v>
      </c>
      <c r="BG274" s="42" t="n">
        <f aca="false">IF(AND(BD274=1,BD273=0),ROW(),IF(BD274=1,IF(N274&lt;BE273,ROW(),BG273),BG273))</f>
        <v>261</v>
      </c>
      <c r="BH274" s="41" t="n">
        <f aca="false">IF(AND(BD274=1,BD273=0),BE273,BH273)</f>
        <v>-0.153190541609803</v>
      </c>
      <c r="BI274" s="40" t="n">
        <f aca="false">IF(AND(BD274=1,BD273=0),BF273,BI273)</f>
        <v>27.9</v>
      </c>
      <c r="BJ274" s="42" t="n">
        <f aca="false">IF(AND(BD274=1,BD273=0),BG273,BJ273)</f>
        <v>226</v>
      </c>
      <c r="BK274" s="42" t="n">
        <f aca="false">IF(AND(ISNUMBER(BG274),ISNUMBER(BJ274)),BG274-BJ274,"")</f>
        <v>35</v>
      </c>
      <c r="BL274" s="42" t="n">
        <f aca="false">IF(AND(BD274=1,N274&gt;N273,ISNUMBER(BH274),ISNUMBER(BK274)),IF(AND(BE274&gt;BH274,BF274&lt;BI274,BK274&gt;=p_GapMin,BK274&lt;=p_GapMax),1,0),0)</f>
        <v>0</v>
      </c>
      <c r="BM274" s="42" t="n">
        <f aca="false">IF(AND(BL274=1,E274&gt;BI274),1,0)</f>
        <v>0</v>
      </c>
      <c r="BN274" s="42" t="n">
        <f aca="false">IF(BL274=1,IF(BE274&gt;=BH274*0.5,1,0),0)</f>
        <v>0</v>
      </c>
      <c r="BO274" s="42" t="n">
        <f aca="true">IF(V274&gt;MIN(OFFSET(V274,-MIN(p_FiLb-1,ROW()-5),0,MIN(p_FiLb-1,ROW()-5),1)),1,0)</f>
        <v>1</v>
      </c>
      <c r="BP274" s="44" t="n">
        <f aca="true">IF(COUNTIF(OFFSET(V274,1-MIN(100,ROW()-4),0,MIN(100,ROW()-4),1),"&lt;0")&gt;=5,AVERAGEIF(OFFSET(V274,1-MIN(100,ROW()-4),0,MIN(100,ROW()-4),1),"&lt;0"),"")</f>
        <v>-1072507.45372641</v>
      </c>
      <c r="BQ274" s="42" t="n">
        <f aca="false">IF(ISNUMBER(BP274),IF(AND(V274&lt;5*BP274,V274&gt;V273,E274&lt;AJ274),1,0),0)</f>
        <v>0</v>
      </c>
      <c r="BR274" s="44" t="n">
        <f aca="true">AVERAGE(OFFSET(F274,1-MIN(5,ROW()-4),0,MIN(5,ROW()-4),1))</f>
        <v>4352040</v>
      </c>
      <c r="BS274" s="42" t="n">
        <f aca="false">IFERROR(IF(MATCH(G274,周线!$A$5:$A$84,0)&lt;=1,"",INDEX(周线!$R$5:$R$84,MATCH(G274,周线!$A$5:$A$84,0)-1)),"")</f>
        <v>0</v>
      </c>
      <c r="BT274" s="42" t="n">
        <f aca="false">IFERROR(IF(MATCH(G274,周线!$A$5:$A$84,0)&lt;=1,"",INDEX(周线!$S$5:$S$84,MATCH(G274,周线!$A$5:$A$84,0)-1)),"")</f>
        <v>0</v>
      </c>
      <c r="BU274" s="42" t="n">
        <f aca="false">IFERROR(IF(MATCH(G274,周线!$A$5:$A$84,0)&lt;=1,"",INDEX(周线!$U$5:$U$84,MATCH(G274,周线!$A$5:$A$84,0)-1)),"")</f>
        <v>-1</v>
      </c>
      <c r="BV274" s="42" t="n">
        <f aca="false">IF(AND(BS274=1,S274&lt;&gt;-1,V274&lt;0,BO274=1,E274&lt;=H274,E274&gt;=AJ274),1,0)</f>
        <v>0</v>
      </c>
      <c r="BW274" s="42" t="n">
        <f aca="false">BL274</f>
        <v>0</v>
      </c>
      <c r="BX274" s="42" t="n">
        <f aca="false">BQ274</f>
        <v>0</v>
      </c>
      <c r="BY274" s="42" t="n">
        <f aca="false">IF(BS274=1,10,0)+IF(BU274=1,5,IF(BU274=-1,0,3))+IF(BT274=1,5,0)+IF(AND(AE274&gt;AF274,AH274&gt;AH273),5,0)</f>
        <v>0</v>
      </c>
      <c r="BZ274" s="42" t="n">
        <f aca="false">IF(AND(E274&lt;=H274,E274&gt;=I274),10,IF(AND(E274&gt;=AJ274,E274&lt;I274),6,0))+IF(AND(V274&lt;0,BO274=1),8,0)+IF(AT274&lt;30,7,IF(AT274&lt;50,3,0))</f>
        <v>15</v>
      </c>
      <c r="CA274" s="42" t="n">
        <f aca="false">IF(AND(BV274=1,BW274=1),25,IF(BW274=1,22,IF(BV274=1,15,IF(BX274=1,12,0))))</f>
        <v>0</v>
      </c>
      <c r="CB274" s="42" t="n">
        <f aca="false">IF(W274&gt;0,6,0)+IF(F274&lt;BR274,4,0)</f>
        <v>4</v>
      </c>
      <c r="CC274" s="42" t="n">
        <f aca="false">IF(BC274&gt;=3,15,IF(BC274&gt;=p_RRmin,10,IF(BC274&gt;=1.5,4,0)))</f>
        <v>15</v>
      </c>
      <c r="CD274" s="42" t="n">
        <f aca="false">BY274+BZ274+CA274+CB274+CC274</f>
        <v>34</v>
      </c>
      <c r="CE274" s="42" t="n">
        <f aca="false">IF(AND(BS274&lt;&gt;1,BW274+BX274=0),1,0)</f>
        <v>1</v>
      </c>
      <c r="CF274" s="42" t="n">
        <f aca="false">IF(BU274=-1,1,0)</f>
        <v>1</v>
      </c>
      <c r="CG274" s="42" t="n">
        <f aca="false">IF(S274=-1,1,0)</f>
        <v>0</v>
      </c>
      <c r="CH274" s="42" t="n">
        <f aca="false">IF(BV274+BW274+BX274=0,1,0)</f>
        <v>1</v>
      </c>
      <c r="CI274" s="42" t="n">
        <f aca="false">IF(BC274&lt;p_RRmin,1,0)</f>
        <v>0</v>
      </c>
      <c r="CJ274" s="46" t="str">
        <f aca="false">IF(SUM(CE274:CI274)=0,IF(CD274&gt;=p_GradeA,"A",IF(CD274&gt;=p_GradeB,"B","C")),IF(AND(CI274=1,SUM(CE274:CH274)=0,CD274&gt;=p_GradeB),"B","C"))</f>
        <v>C</v>
      </c>
    </row>
    <row r="275" customFormat="false" ht="15" hidden="false" customHeight="false" outlineLevel="0" collapsed="false">
      <c r="A275" s="36" t="n">
        <v>46037</v>
      </c>
      <c r="B275" s="37" t="n">
        <v>26.36</v>
      </c>
      <c r="C275" s="37" t="n">
        <v>26.93</v>
      </c>
      <c r="D275" s="37" t="n">
        <v>26.24</v>
      </c>
      <c r="E275" s="37" t="n">
        <v>26.68</v>
      </c>
      <c r="F275" s="38" t="n">
        <v>3196700</v>
      </c>
      <c r="G275" s="39" t="n">
        <f aca="false">A275-WEEKDAY(A275,3)</f>
        <v>46034</v>
      </c>
      <c r="H275" s="40" t="n">
        <f aca="false">2/(p_EmaF+1)*E275+(1-2/(p_EmaF+1))*H274</f>
        <v>27.6255217316511</v>
      </c>
      <c r="I275" s="40" t="n">
        <f aca="false">2/(p_EmaS+1)*E275+(1-2/(p_EmaS+1))*I274</f>
        <v>28.5286485399108</v>
      </c>
      <c r="J275" s="41" t="n">
        <f aca="false">2/(p_MacdF+1)*E275+(1-2/(p_MacdF+1))*J274</f>
        <v>27.524820623889</v>
      </c>
      <c r="K275" s="41" t="n">
        <f aca="false">2/(p_MacdS+1)*E275+(1-2/(p_MacdS+1))*K274</f>
        <v>28.5286485399108</v>
      </c>
      <c r="L275" s="41" t="n">
        <f aca="false">J275-K275</f>
        <v>-1.00382791602177</v>
      </c>
      <c r="M275" s="41" t="n">
        <f aca="false">2/(p_MacdSig+1)*L275+(1-2/(p_MacdSig+1))*M274</f>
        <v>-0.75857795218274</v>
      </c>
      <c r="N275" s="41" t="n">
        <f aca="false">L275-M275</f>
        <v>-0.24524996383903</v>
      </c>
      <c r="O275" s="42" t="n">
        <f aca="false">IF(H275&gt;H274,1,0)</f>
        <v>0</v>
      </c>
      <c r="P275" s="42" t="n">
        <f aca="false">IF(H275&lt;H274,1,0)</f>
        <v>1</v>
      </c>
      <c r="Q275" s="42" t="n">
        <f aca="false">IF(N275&gt;N274,1,0)</f>
        <v>1</v>
      </c>
      <c r="R275" s="42" t="n">
        <f aca="false">IF(N275&lt;N274,1,0)</f>
        <v>0</v>
      </c>
      <c r="S275" s="42" t="n">
        <f aca="false">IF(AND(O275=1,Q275=1),1,IF(AND(P275=1,R275=1),-1,0))</f>
        <v>0</v>
      </c>
      <c r="T275" s="43" t="str">
        <f aca="false">IF(S275=1,"绿",IF(S275=-1,"红","蓝"))</f>
        <v>蓝</v>
      </c>
      <c r="U275" s="44" t="n">
        <f aca="false">F275*(E275-E274)</f>
        <v>1086878</v>
      </c>
      <c r="V275" s="44" t="n">
        <f aca="false">2/(p_FiS+1)*U275+(1-2/(p_FiS+1))*V274</f>
        <v>615996.417073172</v>
      </c>
      <c r="W275" s="44" t="n">
        <f aca="false">2/(p_FiL+1)*U275+(1-2/(p_FiL+1))*W274</f>
        <v>-845893.814859011</v>
      </c>
      <c r="X275" s="41" t="n">
        <f aca="false">MAX(C275-D275,ABS(C275-E274),ABS(D275-E274))</f>
        <v>0.690000000000001</v>
      </c>
      <c r="Y275" s="41" t="n">
        <f aca="true">AVERAGE(OFFSET(X275,1-MIN(p_AtrN,ROW()-4),0,MIN(p_AtrN,ROW()-4),1))</f>
        <v>0.721538461538462</v>
      </c>
      <c r="Z275" s="41" t="n">
        <f aca="false">IF(AND(C275-C274&gt;D274-D275,C275-C274&gt;0),C275-C274,0)</f>
        <v>0.469999999999999</v>
      </c>
      <c r="AA275" s="41" t="n">
        <f aca="false">IF(AND(D274-D275&gt;C275-C274,D274-D275&gt;0),D274-D275,0)</f>
        <v>0</v>
      </c>
      <c r="AB275" s="41" t="n">
        <f aca="false">2/(p_AdxN+1)*X275+(1-2/(p_AdxN+1))*AB274</f>
        <v>0.774984814365203</v>
      </c>
      <c r="AC275" s="41" t="n">
        <f aca="false">2/(p_AdxN+1)*Z275+(1-2/(p_AdxN+1))*AC274</f>
        <v>0.0948831602777489</v>
      </c>
      <c r="AD275" s="41" t="n">
        <f aca="false">2/(p_AdxN+1)*AA275+(1-2/(p_AdxN+1))*AD274</f>
        <v>0.252765201349959</v>
      </c>
      <c r="AE275" s="45" t="n">
        <f aca="false">100*AC275/AB275</f>
        <v>12.2432283212502</v>
      </c>
      <c r="AF275" s="45" t="n">
        <f aca="false">100*AD275/AB275</f>
        <v>32.6155037704838</v>
      </c>
      <c r="AG275" s="45" t="n">
        <f aca="false">IFERROR(100*ABS(AE275-AF275)/(AE275+AF275),0)</f>
        <v>45.4142917093002</v>
      </c>
      <c r="AH275" s="45" t="n">
        <f aca="false">2/(p_AdxN+1)*AG275+(1-2/(p_AdxN+1))*AH274</f>
        <v>65.282308594283</v>
      </c>
      <c r="AI275" s="40" t="n">
        <f aca="false">I275*(1+p_ChPct)</f>
        <v>30.2403674523054</v>
      </c>
      <c r="AJ275" s="40" t="n">
        <f aca="false">I275*(1-p_ChPct)</f>
        <v>26.8169296275161</v>
      </c>
      <c r="AK275" s="40" t="n">
        <f aca="false">I275+1*Y275</f>
        <v>29.2501870014492</v>
      </c>
      <c r="AL275" s="40" t="n">
        <f aca="false">I275+2*Y275</f>
        <v>29.9717254629877</v>
      </c>
      <c r="AM275" s="40" t="n">
        <f aca="false">I275+3*Y275</f>
        <v>30.6932639245262</v>
      </c>
      <c r="AN275" s="40" t="n">
        <f aca="false">I275-1*Y275</f>
        <v>27.8071100783723</v>
      </c>
      <c r="AO275" s="40" t="n">
        <f aca="false">I275-2*Y275</f>
        <v>27.0855716168339</v>
      </c>
      <c r="AP275" s="40" t="n">
        <f aca="false">I275-3*Y275</f>
        <v>26.3640331552954</v>
      </c>
      <c r="AQ275" s="40" t="n">
        <f aca="true">MAX(OFFSET(C275,1-MIN(p_StochN,ROW()-4),0,MIN(p_StochN,ROW()-4),1))</f>
        <v>28.09</v>
      </c>
      <c r="AR275" s="40" t="n">
        <f aca="true">MIN(OFFSET(D275,1-MIN(p_StochN,ROW()-4),0,MIN(p_StochN,ROW()-4),1))</f>
        <v>25.91</v>
      </c>
      <c r="AS275" s="45" t="n">
        <f aca="false">IF(AQ275=AR275,50,100*(E275-AR275)/(AQ275-AR275))</f>
        <v>35.3211009174312</v>
      </c>
      <c r="AT275" s="45" t="n">
        <f aca="true">AVERAGE(OFFSET(AS275,1-MIN(p_StochSm,ROW()-4),0,MIN(p_StochSm,ROW()-4),1))</f>
        <v>18.3259336022297</v>
      </c>
      <c r="AU275" s="45" t="n">
        <f aca="true">AVERAGE(OFFSET(AT275,1-MIN(p_StochSm,ROW()-4),0,MIN(p_StochSm,ROW()-4),1))</f>
        <v>11.8008016450146</v>
      </c>
      <c r="AV275" s="41" t="n">
        <f aca="false">MAX(0,H275-D275)</f>
        <v>1.38552173165109</v>
      </c>
      <c r="AW275" s="41" t="n">
        <f aca="true">IF(COUNTIF(OFFSET(AV275,1-MIN(p_PenLb,ROW()-4),0,MIN(p_PenLb,ROW()-4),1),"&gt;0")&gt;0,SUM(OFFSET(AV275,1-MIN(p_PenLb,ROW()-4),0,MIN(p_PenLb,ROW()-4),1))/COUNTIF(OFFSET(AV275,1-MIN(p_PenLb,ROW()-4),0,MIN(p_PenLb,ROW()-4),1),"&gt;0"),0.5*Y275)</f>
        <v>1.04489717065424</v>
      </c>
      <c r="AX275" s="41" t="n">
        <f aca="false">2*H275-H274</f>
        <v>27.4679347763759</v>
      </c>
      <c r="AY275" s="40" t="n">
        <f aca="false">ROUND(MAX(AX275-AW275,0.01),2)</f>
        <v>26.42</v>
      </c>
      <c r="AZ275" s="40" t="n">
        <f aca="true">IF(MIN(p_StopLb,ROW()-4)&lt;2,D275,SMALL(OFFSET(D275,1-MIN(p_StopLb,ROW()-4),0,MIN(p_StopLb,ROW()-4),1),2))</f>
        <v>25.97</v>
      </c>
      <c r="BA275" s="40" t="n">
        <f aca="false">IF(MOD(ROUND(ROUNDDOWN(MIN(AZ275-0.01,AY275-p_StopAtr*Y275),2)*100,0),50)=0,ROUNDDOWN(MIN(AZ275-0.01,AY275-p_StopAtr*Y275),2)-0.01,ROUNDDOWN(MIN(AZ275-0.01,AY275-p_StopAtr*Y275),2))</f>
        <v>25.69</v>
      </c>
      <c r="BB275" s="40" t="n">
        <f aca="false">ROUND(AI275,2)</f>
        <v>30.24</v>
      </c>
      <c r="BC275" s="40" t="n">
        <f aca="false">IF(AY275-BA275&gt;0,(BB275-AY275)/(AY275-BA275),0)</f>
        <v>5.23287671232876</v>
      </c>
      <c r="BD275" s="42" t="n">
        <f aca="false">IF(N275&lt;0,1,0)</f>
        <v>1</v>
      </c>
      <c r="BE275" s="41" t="n">
        <f aca="false">IF(AND(BD275=1,BD274=0),N275,IF(BD275=1,MIN(BE274,N275),BE274))</f>
        <v>-0.356654552541767</v>
      </c>
      <c r="BF275" s="40" t="n">
        <f aca="false">IF(AND(BD275=1,BD274=0),D275,IF(BD275=1,MIN(BF274,D275),BF274))</f>
        <v>25.91</v>
      </c>
      <c r="BG275" s="42" t="n">
        <f aca="false">IF(AND(BD275=1,BD274=0),ROW(),IF(BD275=1,IF(N275&lt;BE274,ROW(),BG274),BG274))</f>
        <v>261</v>
      </c>
      <c r="BH275" s="41" t="n">
        <f aca="false">IF(AND(BD275=1,BD274=0),BE274,BH274)</f>
        <v>-0.153190541609803</v>
      </c>
      <c r="BI275" s="40" t="n">
        <f aca="false">IF(AND(BD275=1,BD274=0),BF274,BI274)</f>
        <v>27.9</v>
      </c>
      <c r="BJ275" s="42" t="n">
        <f aca="false">IF(AND(BD275=1,BD274=0),BG274,BJ274)</f>
        <v>226</v>
      </c>
      <c r="BK275" s="42" t="n">
        <f aca="false">IF(AND(ISNUMBER(BG275),ISNUMBER(BJ275)),BG275-BJ275,"")</f>
        <v>35</v>
      </c>
      <c r="BL275" s="42" t="n">
        <f aca="false">IF(AND(BD275=1,N275&gt;N274,ISNUMBER(BH275),ISNUMBER(BK275)),IF(AND(BE275&gt;BH275,BF275&lt;BI275,BK275&gt;=p_GapMin,BK275&lt;=p_GapMax),1,0),0)</f>
        <v>0</v>
      </c>
      <c r="BM275" s="42" t="n">
        <f aca="false">IF(AND(BL275=1,E275&gt;BI275),1,0)</f>
        <v>0</v>
      </c>
      <c r="BN275" s="42" t="n">
        <f aca="false">IF(BL275=1,IF(BE275&gt;=BH275*0.5,1,0),0)</f>
        <v>0</v>
      </c>
      <c r="BO275" s="42" t="n">
        <f aca="true">IF(V275&gt;MIN(OFFSET(V275,-MIN(p_FiLb-1,ROW()-5),0,MIN(p_FiLb-1,ROW()-5),1)),1,0)</f>
        <v>1</v>
      </c>
      <c r="BP275" s="44" t="n">
        <f aca="true">IF(COUNTIF(OFFSET(V275,1-MIN(100,ROW()-4),0,MIN(100,ROW()-4),1),"&lt;0")&gt;=5,AVERAGEIF(OFFSET(V275,1-MIN(100,ROW()-4),0,MIN(100,ROW()-4),1),"&lt;0"),"")</f>
        <v>-1087327.46255465</v>
      </c>
      <c r="BQ275" s="42" t="n">
        <f aca="false">IF(ISNUMBER(BP275),IF(AND(V275&lt;5*BP275,V275&gt;V274,E275&lt;AJ275),1,0),0)</f>
        <v>0</v>
      </c>
      <c r="BR275" s="44" t="n">
        <f aca="true">AVERAGE(OFFSET(F275,1-MIN(5,ROW()-4),0,MIN(5,ROW()-4),1))</f>
        <v>3822540</v>
      </c>
      <c r="BS275" s="42" t="n">
        <f aca="false">IFERROR(IF(MATCH(G275,周线!$A$5:$A$84,0)&lt;=1,"",INDEX(周线!$R$5:$R$84,MATCH(G275,周线!$A$5:$A$84,0)-1)),"")</f>
        <v>0</v>
      </c>
      <c r="BT275" s="42" t="n">
        <f aca="false">IFERROR(IF(MATCH(G275,周线!$A$5:$A$84,0)&lt;=1,"",INDEX(周线!$S$5:$S$84,MATCH(G275,周线!$A$5:$A$84,0)-1)),"")</f>
        <v>0</v>
      </c>
      <c r="BU275" s="42" t="n">
        <f aca="false">IFERROR(IF(MATCH(G275,周线!$A$5:$A$84,0)&lt;=1,"",INDEX(周线!$U$5:$U$84,MATCH(G275,周线!$A$5:$A$84,0)-1)),"")</f>
        <v>-1</v>
      </c>
      <c r="BV275" s="42" t="n">
        <f aca="false">IF(AND(BS275=1,S275&lt;&gt;-1,V275&lt;0,BO275=1,E275&lt;=H275,E275&gt;=AJ275),1,0)</f>
        <v>0</v>
      </c>
      <c r="BW275" s="42" t="n">
        <f aca="false">BL275</f>
        <v>0</v>
      </c>
      <c r="BX275" s="42" t="n">
        <f aca="false">BQ275</f>
        <v>0</v>
      </c>
      <c r="BY275" s="42" t="n">
        <f aca="false">IF(BS275=1,10,0)+IF(BU275=1,5,IF(BU275=-1,0,3))+IF(BT275=1,5,0)+IF(AND(AE275&gt;AF275,AH275&gt;AH274),5,0)</f>
        <v>0</v>
      </c>
      <c r="BZ275" s="42" t="n">
        <f aca="false">IF(AND(E275&lt;=H275,E275&gt;=I275),10,IF(AND(E275&gt;=AJ275,E275&lt;I275),6,0))+IF(AND(V275&lt;0,BO275=1),8,0)+IF(AT275&lt;30,7,IF(AT275&lt;50,3,0))</f>
        <v>7</v>
      </c>
      <c r="CA275" s="42" t="n">
        <f aca="false">IF(AND(BV275=1,BW275=1),25,IF(BW275=1,22,IF(BV275=1,15,IF(BX275=1,12,0))))</f>
        <v>0</v>
      </c>
      <c r="CB275" s="42" t="n">
        <f aca="false">IF(W275&gt;0,6,0)+IF(F275&lt;BR275,4,0)</f>
        <v>4</v>
      </c>
      <c r="CC275" s="42" t="n">
        <f aca="false">IF(BC275&gt;=3,15,IF(BC275&gt;=p_RRmin,10,IF(BC275&gt;=1.5,4,0)))</f>
        <v>15</v>
      </c>
      <c r="CD275" s="42" t="n">
        <f aca="false">BY275+BZ275+CA275+CB275+CC275</f>
        <v>26</v>
      </c>
      <c r="CE275" s="42" t="n">
        <f aca="false">IF(AND(BS275&lt;&gt;1,BW275+BX275=0),1,0)</f>
        <v>1</v>
      </c>
      <c r="CF275" s="42" t="n">
        <f aca="false">IF(BU275=-1,1,0)</f>
        <v>1</v>
      </c>
      <c r="CG275" s="42" t="n">
        <f aca="false">IF(S275=-1,1,0)</f>
        <v>0</v>
      </c>
      <c r="CH275" s="42" t="n">
        <f aca="false">IF(BV275+BW275+BX275=0,1,0)</f>
        <v>1</v>
      </c>
      <c r="CI275" s="42" t="n">
        <f aca="false">IF(BC275&lt;p_RRmin,1,0)</f>
        <v>0</v>
      </c>
      <c r="CJ275" s="46" t="str">
        <f aca="false">IF(SUM(CE275:CI275)=0,IF(CD275&gt;=p_GradeA,"A",IF(CD275&gt;=p_GradeB,"B","C")),IF(AND(CI275=1,SUM(CE275:CH275)=0,CD275&gt;=p_GradeB),"B","C"))</f>
        <v>C</v>
      </c>
    </row>
    <row r="276" customFormat="false" ht="15" hidden="false" customHeight="false" outlineLevel="0" collapsed="false">
      <c r="A276" s="36" t="n">
        <v>46038</v>
      </c>
      <c r="B276" s="37" t="n">
        <v>26.69</v>
      </c>
      <c r="C276" s="37" t="n">
        <v>27.08</v>
      </c>
      <c r="D276" s="37" t="n">
        <v>26.47</v>
      </c>
      <c r="E276" s="37" t="n">
        <v>26.93</v>
      </c>
      <c r="F276" s="38" t="n">
        <v>3181300</v>
      </c>
      <c r="G276" s="39" t="n">
        <f aca="false">A276-WEEKDAY(A276,3)</f>
        <v>46034</v>
      </c>
      <c r="H276" s="40" t="n">
        <f aca="false">2/(p_EmaF+1)*E276+(1-2/(p_EmaF+1))*H275</f>
        <v>27.5261614842724</v>
      </c>
      <c r="I276" s="40" t="n">
        <f aca="false">2/(p_EmaS+1)*E276+(1-2/(p_EmaS+1))*I275</f>
        <v>28.410230129547</v>
      </c>
      <c r="J276" s="41" t="n">
        <f aca="false">2/(p_MacdF+1)*E276+(1-2/(p_MacdF+1))*J275</f>
        <v>27.4333097586753</v>
      </c>
      <c r="K276" s="41" t="n">
        <f aca="false">2/(p_MacdS+1)*E276+(1-2/(p_MacdS+1))*K275</f>
        <v>28.410230129547</v>
      </c>
      <c r="L276" s="41" t="n">
        <f aca="false">J276-K276</f>
        <v>-0.976920370871703</v>
      </c>
      <c r="M276" s="41" t="n">
        <f aca="false">2/(p_MacdSig+1)*L276+(1-2/(p_MacdSig+1))*M275</f>
        <v>-0.802246435920533</v>
      </c>
      <c r="N276" s="41" t="n">
        <f aca="false">L276-M276</f>
        <v>-0.17467393495117</v>
      </c>
      <c r="O276" s="42" t="n">
        <f aca="false">IF(H276&gt;H275,1,0)</f>
        <v>0</v>
      </c>
      <c r="P276" s="42" t="n">
        <f aca="false">IF(H276&lt;H275,1,0)</f>
        <v>1</v>
      </c>
      <c r="Q276" s="42" t="n">
        <f aca="false">IF(N276&gt;N275,1,0)</f>
        <v>1</v>
      </c>
      <c r="R276" s="42" t="n">
        <f aca="false">IF(N276&lt;N275,1,0)</f>
        <v>0</v>
      </c>
      <c r="S276" s="42" t="n">
        <f aca="false">IF(AND(O276=1,Q276=1),1,IF(AND(P276=1,R276=1),-1,0))</f>
        <v>0</v>
      </c>
      <c r="T276" s="43" t="str">
        <f aca="false">IF(S276=1,"绿",IF(S276=-1,"红","蓝"))</f>
        <v>蓝</v>
      </c>
      <c r="U276" s="44" t="n">
        <f aca="false">F276*(E276-E275)</f>
        <v>795325</v>
      </c>
      <c r="V276" s="44" t="n">
        <f aca="false">2/(p_FiS+1)*U276+(1-2/(p_FiS+1))*V275</f>
        <v>735548.805691057</v>
      </c>
      <c r="W276" s="44" t="n">
        <f aca="false">2/(p_FiL+1)*U276+(1-2/(p_FiL+1))*W275</f>
        <v>-611433.984164867</v>
      </c>
      <c r="X276" s="41" t="n">
        <f aca="false">MAX(C276-D276,ABS(C276-E275),ABS(D276-E275))</f>
        <v>0.609999999999999</v>
      </c>
      <c r="Y276" s="41" t="n">
        <f aca="true">AVERAGE(OFFSET(X276,1-MIN(p_AtrN,ROW()-4),0,MIN(p_AtrN,ROW()-4),1))</f>
        <v>0.742307692307692</v>
      </c>
      <c r="Z276" s="41" t="n">
        <f aca="false">IF(AND(C276-C275&gt;D275-D276,C276-C275&gt;0),C276-C275,0)</f>
        <v>0.149999999999999</v>
      </c>
      <c r="AA276" s="41" t="n">
        <f aca="false">IF(AND(D275-D276&gt;C276-C275,D275-D276&gt;0),D275-D276,0)</f>
        <v>0</v>
      </c>
      <c r="AB276" s="41" t="n">
        <f aca="false">2/(p_AdxN+1)*X276+(1-2/(p_AdxN+1))*AB275</f>
        <v>0.751415555170174</v>
      </c>
      <c r="AC276" s="41" t="n">
        <f aca="false">2/(p_AdxN+1)*Z276+(1-2/(p_AdxN+1))*AC275</f>
        <v>0.102756994523785</v>
      </c>
      <c r="AD276" s="41" t="n">
        <f aca="false">2/(p_AdxN+1)*AA276+(1-2/(p_AdxN+1))*AD275</f>
        <v>0.216655886871394</v>
      </c>
      <c r="AE276" s="45" t="n">
        <f aca="false">100*AC276/AB276</f>
        <v>13.6751220834806</v>
      </c>
      <c r="AF276" s="45" t="n">
        <f aca="false">100*AD276/AB276</f>
        <v>28.833031919645</v>
      </c>
      <c r="AG276" s="45" t="n">
        <f aca="false">IFERROR(100*ABS(AE276-AF276)/(AE276+AF276),0)</f>
        <v>35.658828739187</v>
      </c>
      <c r="AH276" s="45" t="n">
        <f aca="false">2/(p_AdxN+1)*AG276+(1-2/(p_AdxN+1))*AH275</f>
        <v>61.0503829006979</v>
      </c>
      <c r="AI276" s="40" t="n">
        <f aca="false">I276*(1+p_ChPct)</f>
        <v>30.1148439373198</v>
      </c>
      <c r="AJ276" s="40" t="n">
        <f aca="false">I276*(1-p_ChPct)</f>
        <v>26.7056163217742</v>
      </c>
      <c r="AK276" s="40" t="n">
        <f aca="false">I276+1*Y276</f>
        <v>29.1525378218547</v>
      </c>
      <c r="AL276" s="40" t="n">
        <f aca="false">I276+2*Y276</f>
        <v>29.8948455141624</v>
      </c>
      <c r="AM276" s="40" t="n">
        <f aca="false">I276+3*Y276</f>
        <v>30.6371532064701</v>
      </c>
      <c r="AN276" s="40" t="n">
        <f aca="false">I276-1*Y276</f>
        <v>27.6679224372393</v>
      </c>
      <c r="AO276" s="40" t="n">
        <f aca="false">I276-2*Y276</f>
        <v>26.9256147449316</v>
      </c>
      <c r="AP276" s="40" t="n">
        <f aca="false">I276-3*Y276</f>
        <v>26.183307052624</v>
      </c>
      <c r="AQ276" s="40" t="n">
        <f aca="true">MAX(OFFSET(C276,1-MIN(p_StochN,ROW()-4),0,MIN(p_StochN,ROW()-4),1))</f>
        <v>27.13</v>
      </c>
      <c r="AR276" s="40" t="n">
        <f aca="true">MIN(OFFSET(D276,1-MIN(p_StochN,ROW()-4),0,MIN(p_StochN,ROW()-4),1))</f>
        <v>25.91</v>
      </c>
      <c r="AS276" s="45" t="n">
        <f aca="false">IF(AQ276=AR276,50,100*(E276-AR276)/(AQ276-AR276))</f>
        <v>83.6065573770492</v>
      </c>
      <c r="AT276" s="45" t="n">
        <f aca="true">AVERAGE(OFFSET(AS276,1-MIN(p_StochSm,ROW()-4),0,MIN(p_StochSm,ROW()-4),1))</f>
        <v>45.1981083203824</v>
      </c>
      <c r="AU276" s="45" t="n">
        <f aca="true">AVERAGE(OFFSET(AT276,1-MIN(p_StochSm,ROW()-4),0,MIN(p_StochSm,ROW()-4),1))</f>
        <v>24.1369685230753</v>
      </c>
      <c r="AV276" s="41" t="n">
        <f aca="false">MAX(0,H276-D276)</f>
        <v>1.05616148427236</v>
      </c>
      <c r="AW276" s="41" t="n">
        <f aca="true">IF(COUNTIF(OFFSET(AV276,1-MIN(p_PenLb,ROW()-4),0,MIN(p_PenLb,ROW()-4),1),"&gt;0")&gt;0,SUM(OFFSET(AV276,1-MIN(p_PenLb,ROW()-4),0,MIN(p_PenLb,ROW()-4),1))/COUNTIF(OFFSET(AV276,1-MIN(p_PenLb,ROW()-4),0,MIN(p_PenLb,ROW()-4),1),"&gt;0"),0.5*Y276)</f>
        <v>1.06019757484649</v>
      </c>
      <c r="AX276" s="41" t="n">
        <f aca="false">2*H276-H275</f>
        <v>27.4268012368936</v>
      </c>
      <c r="AY276" s="40" t="n">
        <f aca="false">ROUND(MAX(AX276-AW276,0.01),2)</f>
        <v>26.37</v>
      </c>
      <c r="AZ276" s="40" t="n">
        <f aca="true">IF(MIN(p_StopLb,ROW()-4)&lt;2,D276,SMALL(OFFSET(D276,1-MIN(p_StopLb,ROW()-4),0,MIN(p_StopLb,ROW()-4),1),2))</f>
        <v>25.97</v>
      </c>
      <c r="BA276" s="40" t="n">
        <f aca="false">IF(MOD(ROUND(ROUNDDOWN(MIN(AZ276-0.01,AY276-p_StopAtr*Y276),2)*100,0),50)=0,ROUNDDOWN(MIN(AZ276-0.01,AY276-p_StopAtr*Y276),2)-0.01,ROUNDDOWN(MIN(AZ276-0.01,AY276-p_StopAtr*Y276),2))</f>
        <v>25.62</v>
      </c>
      <c r="BB276" s="40" t="n">
        <f aca="false">ROUND(AI276,2)</f>
        <v>30.11</v>
      </c>
      <c r="BC276" s="40" t="n">
        <f aca="false">IF(AY276-BA276&gt;0,(BB276-AY276)/(AY276-BA276),0)</f>
        <v>4.98666666666667</v>
      </c>
      <c r="BD276" s="42" t="n">
        <f aca="false">IF(N276&lt;0,1,0)</f>
        <v>1</v>
      </c>
      <c r="BE276" s="41" t="n">
        <f aca="false">IF(AND(BD276=1,BD275=0),N276,IF(BD276=1,MIN(BE275,N276),BE275))</f>
        <v>-0.356654552541767</v>
      </c>
      <c r="BF276" s="40" t="n">
        <f aca="false">IF(AND(BD276=1,BD275=0),D276,IF(BD276=1,MIN(BF275,D276),BF275))</f>
        <v>25.91</v>
      </c>
      <c r="BG276" s="42" t="n">
        <f aca="false">IF(AND(BD276=1,BD275=0),ROW(),IF(BD276=1,IF(N276&lt;BE275,ROW(),BG275),BG275))</f>
        <v>261</v>
      </c>
      <c r="BH276" s="41" t="n">
        <f aca="false">IF(AND(BD276=1,BD275=0),BE275,BH275)</f>
        <v>-0.153190541609803</v>
      </c>
      <c r="BI276" s="40" t="n">
        <f aca="false">IF(AND(BD276=1,BD275=0),BF275,BI275)</f>
        <v>27.9</v>
      </c>
      <c r="BJ276" s="42" t="n">
        <f aca="false">IF(AND(BD276=1,BD275=0),BG275,BJ275)</f>
        <v>226</v>
      </c>
      <c r="BK276" s="42" t="n">
        <f aca="false">IF(AND(ISNUMBER(BG276),ISNUMBER(BJ276)),BG276-BJ276,"")</f>
        <v>35</v>
      </c>
      <c r="BL276" s="42" t="n">
        <f aca="false">IF(AND(BD276=1,N276&gt;N275,ISNUMBER(BH276),ISNUMBER(BK276)),IF(AND(BE276&gt;BH276,BF276&lt;BI276,BK276&gt;=p_GapMin,BK276&lt;=p_GapMax),1,0),0)</f>
        <v>0</v>
      </c>
      <c r="BM276" s="42" t="n">
        <f aca="false">IF(AND(BL276=1,E276&gt;BI276),1,0)</f>
        <v>0</v>
      </c>
      <c r="BN276" s="42" t="n">
        <f aca="false">IF(BL276=1,IF(BE276&gt;=BH276*0.5,1,0),0)</f>
        <v>0</v>
      </c>
      <c r="BO276" s="42" t="n">
        <f aca="true">IF(V276&gt;MIN(OFFSET(V276,-MIN(p_FiLb-1,ROW()-5),0,MIN(p_FiLb-1,ROW()-5),1)),1,0)</f>
        <v>1</v>
      </c>
      <c r="BP276" s="44" t="n">
        <f aca="true">IF(COUNTIF(OFFSET(V276,1-MIN(100,ROW()-4),0,MIN(100,ROW()-4),1),"&lt;0")&gt;=5,AVERAGEIF(OFFSET(V276,1-MIN(100,ROW()-4),0,MIN(100,ROW()-4),1),"&lt;0"),"")</f>
        <v>-1107062.79116962</v>
      </c>
      <c r="BQ276" s="42" t="n">
        <f aca="false">IF(ISNUMBER(BP276),IF(AND(V276&lt;5*BP276,V276&gt;V275,E276&lt;AJ276),1,0),0)</f>
        <v>0</v>
      </c>
      <c r="BR276" s="44" t="n">
        <f aca="true">AVERAGE(OFFSET(F276,1-MIN(5,ROW()-4),0,MIN(5,ROW()-4),1))</f>
        <v>3681660</v>
      </c>
      <c r="BS276" s="42" t="n">
        <f aca="false">IFERROR(IF(MATCH(G276,周线!$A$5:$A$84,0)&lt;=1,"",INDEX(周线!$R$5:$R$84,MATCH(G276,周线!$A$5:$A$84,0)-1)),"")</f>
        <v>0</v>
      </c>
      <c r="BT276" s="42" t="n">
        <f aca="false">IFERROR(IF(MATCH(G276,周线!$A$5:$A$84,0)&lt;=1,"",INDEX(周线!$S$5:$S$84,MATCH(G276,周线!$A$5:$A$84,0)-1)),"")</f>
        <v>0</v>
      </c>
      <c r="BU276" s="42" t="n">
        <f aca="false">IFERROR(IF(MATCH(G276,周线!$A$5:$A$84,0)&lt;=1,"",INDEX(周线!$U$5:$U$84,MATCH(G276,周线!$A$5:$A$84,0)-1)),"")</f>
        <v>-1</v>
      </c>
      <c r="BV276" s="42" t="n">
        <f aca="false">IF(AND(BS276=1,S276&lt;&gt;-1,V276&lt;0,BO276=1,E276&lt;=H276,E276&gt;=AJ276),1,0)</f>
        <v>0</v>
      </c>
      <c r="BW276" s="42" t="n">
        <f aca="false">BL276</f>
        <v>0</v>
      </c>
      <c r="BX276" s="42" t="n">
        <f aca="false">BQ276</f>
        <v>0</v>
      </c>
      <c r="BY276" s="42" t="n">
        <f aca="false">IF(BS276=1,10,0)+IF(BU276=1,5,IF(BU276=-1,0,3))+IF(BT276=1,5,0)+IF(AND(AE276&gt;AF276,AH276&gt;AH275),5,0)</f>
        <v>0</v>
      </c>
      <c r="BZ276" s="42" t="n">
        <f aca="false">IF(AND(E276&lt;=H276,E276&gt;=I276),10,IF(AND(E276&gt;=AJ276,E276&lt;I276),6,0))+IF(AND(V276&lt;0,BO276=1),8,0)+IF(AT276&lt;30,7,IF(AT276&lt;50,3,0))</f>
        <v>9</v>
      </c>
      <c r="CA276" s="42" t="n">
        <f aca="false">IF(AND(BV276=1,BW276=1),25,IF(BW276=1,22,IF(BV276=1,15,IF(BX276=1,12,0))))</f>
        <v>0</v>
      </c>
      <c r="CB276" s="42" t="n">
        <f aca="false">IF(W276&gt;0,6,0)+IF(F276&lt;BR276,4,0)</f>
        <v>4</v>
      </c>
      <c r="CC276" s="42" t="n">
        <f aca="false">IF(BC276&gt;=3,15,IF(BC276&gt;=p_RRmin,10,IF(BC276&gt;=1.5,4,0)))</f>
        <v>15</v>
      </c>
      <c r="CD276" s="42" t="n">
        <f aca="false">BY276+BZ276+CA276+CB276+CC276</f>
        <v>28</v>
      </c>
      <c r="CE276" s="42" t="n">
        <f aca="false">IF(AND(BS276&lt;&gt;1,BW276+BX276=0),1,0)</f>
        <v>1</v>
      </c>
      <c r="CF276" s="42" t="n">
        <f aca="false">IF(BU276=-1,1,0)</f>
        <v>1</v>
      </c>
      <c r="CG276" s="42" t="n">
        <f aca="false">IF(S276=-1,1,0)</f>
        <v>0</v>
      </c>
      <c r="CH276" s="42" t="n">
        <f aca="false">IF(BV276+BW276+BX276=0,1,0)</f>
        <v>1</v>
      </c>
      <c r="CI276" s="42" t="n">
        <f aca="false">IF(BC276&lt;p_RRmin,1,0)</f>
        <v>0</v>
      </c>
      <c r="CJ276" s="46" t="str">
        <f aca="false">IF(SUM(CE276:CI276)=0,IF(CD276&gt;=p_GradeA,"A",IF(CD276&gt;=p_GradeB,"B","C")),IF(AND(CI276=1,SUM(CE276:CH276)=0,CD276&gt;=p_GradeB),"B","C"))</f>
        <v>C</v>
      </c>
    </row>
    <row r="277" customFormat="false" ht="15" hidden="false" customHeight="false" outlineLevel="0" collapsed="false">
      <c r="A277" s="36" t="n">
        <v>46041</v>
      </c>
      <c r="B277" s="37" t="n">
        <v>27.03</v>
      </c>
      <c r="C277" s="37" t="n">
        <v>27.11</v>
      </c>
      <c r="D277" s="37" t="n">
        <v>26.6</v>
      </c>
      <c r="E277" s="37" t="n">
        <v>26.67</v>
      </c>
      <c r="F277" s="38" t="n">
        <v>4313700</v>
      </c>
      <c r="G277" s="39" t="n">
        <f aca="false">A277-WEEKDAY(A277,3)</f>
        <v>46041</v>
      </c>
      <c r="H277" s="40" t="n">
        <f aca="false">2/(p_EmaF+1)*E277+(1-2/(p_EmaF+1))*H276</f>
        <v>27.4038527008049</v>
      </c>
      <c r="I277" s="40" t="n">
        <f aca="false">2/(p_EmaS+1)*E277+(1-2/(p_EmaS+1))*I276</f>
        <v>28.281324194025</v>
      </c>
      <c r="J277" s="41" t="n">
        <f aca="false">2/(p_MacdF+1)*E277+(1-2/(p_MacdF+1))*J276</f>
        <v>27.3158774881099</v>
      </c>
      <c r="K277" s="41" t="n">
        <f aca="false">2/(p_MacdS+1)*E277+(1-2/(p_MacdS+1))*K276</f>
        <v>28.281324194025</v>
      </c>
      <c r="L277" s="41" t="n">
        <f aca="false">J277-K277</f>
        <v>-0.965446705915134</v>
      </c>
      <c r="M277" s="41" t="n">
        <f aca="false">2/(p_MacdSig+1)*L277+(1-2/(p_MacdSig+1))*M276</f>
        <v>-0.834886489919453</v>
      </c>
      <c r="N277" s="41" t="n">
        <f aca="false">L277-M277</f>
        <v>-0.130560215995681</v>
      </c>
      <c r="O277" s="42" t="n">
        <f aca="false">IF(H277&gt;H276,1,0)</f>
        <v>0</v>
      </c>
      <c r="P277" s="42" t="n">
        <f aca="false">IF(H277&lt;H276,1,0)</f>
        <v>1</v>
      </c>
      <c r="Q277" s="42" t="n">
        <f aca="false">IF(N277&gt;N276,1,0)</f>
        <v>1</v>
      </c>
      <c r="R277" s="42" t="n">
        <f aca="false">IF(N277&lt;N276,1,0)</f>
        <v>0</v>
      </c>
      <c r="S277" s="42" t="n">
        <f aca="false">IF(AND(O277=1,Q277=1),1,IF(AND(P277=1,R277=1),-1,0))</f>
        <v>0</v>
      </c>
      <c r="T277" s="43" t="str">
        <f aca="false">IF(S277=1,"绿",IF(S277=-1,"红","蓝"))</f>
        <v>蓝</v>
      </c>
      <c r="U277" s="44" t="n">
        <f aca="false">F277*(E277-E276)</f>
        <v>-1121561.99999999</v>
      </c>
      <c r="V277" s="44" t="n">
        <f aca="false">2/(p_FiS+1)*U277+(1-2/(p_FiS+1))*V276</f>
        <v>-502525.064769642</v>
      </c>
      <c r="W277" s="44" t="n">
        <f aca="false">2/(p_FiL+1)*U277+(1-2/(p_FiL+1))*W276</f>
        <v>-684309.414998456</v>
      </c>
      <c r="X277" s="41" t="n">
        <f aca="false">MAX(C277-D277,ABS(C277-E276),ABS(D277-E276))</f>
        <v>0.509999999999998</v>
      </c>
      <c r="Y277" s="41" t="n">
        <f aca="true">AVERAGE(OFFSET(X277,1-MIN(p_AtrN,ROW()-4),0,MIN(p_AtrN,ROW()-4),1))</f>
        <v>0.739230769230769</v>
      </c>
      <c r="Z277" s="41" t="n">
        <f aca="false">IF(AND(C277-C276&gt;D276-D277,C277-C276&gt;0),C277-C276,0)</f>
        <v>0.0300000000000011</v>
      </c>
      <c r="AA277" s="41" t="n">
        <f aca="false">IF(AND(D276-D277&gt;C277-C276,D276-D277&gt;0),D276-D277,0)</f>
        <v>0</v>
      </c>
      <c r="AB277" s="41" t="n">
        <f aca="false">2/(p_AdxN+1)*X277+(1-2/(p_AdxN+1))*AB276</f>
        <v>0.716927618717292</v>
      </c>
      <c r="AC277" s="41" t="n">
        <f aca="false">2/(p_AdxN+1)*Z277+(1-2/(p_AdxN+1))*AC276</f>
        <v>0.0923631381632441</v>
      </c>
      <c r="AD277" s="41" t="n">
        <f aca="false">2/(p_AdxN+1)*AA277+(1-2/(p_AdxN+1))*AD276</f>
        <v>0.185705045889766</v>
      </c>
      <c r="AE277" s="45" t="n">
        <f aca="false">100*AC277/AB277</f>
        <v>12.8831887281031</v>
      </c>
      <c r="AF277" s="45" t="n">
        <f aca="false">100*AD277/AB277</f>
        <v>25.9029002428481</v>
      </c>
      <c r="AG277" s="45" t="n">
        <f aca="false">IFERROR(100*ABS(AE277-AF277)/(AE277+AF277),0)</f>
        <v>33.5679927009296</v>
      </c>
      <c r="AH277" s="45" t="n">
        <f aca="false">2/(p_AdxN+1)*AG277+(1-2/(p_AdxN+1))*AH276</f>
        <v>57.1243271578738</v>
      </c>
      <c r="AI277" s="40" t="n">
        <f aca="false">I277*(1+p_ChPct)</f>
        <v>29.9782036456665</v>
      </c>
      <c r="AJ277" s="40" t="n">
        <f aca="false">I277*(1-p_ChPct)</f>
        <v>26.5844447423835</v>
      </c>
      <c r="AK277" s="40" t="n">
        <f aca="false">I277+1*Y277</f>
        <v>29.0205549632558</v>
      </c>
      <c r="AL277" s="40" t="n">
        <f aca="false">I277+2*Y277</f>
        <v>29.7597857324866</v>
      </c>
      <c r="AM277" s="40" t="n">
        <f aca="false">I277+3*Y277</f>
        <v>30.4990165017173</v>
      </c>
      <c r="AN277" s="40" t="n">
        <f aca="false">I277-1*Y277</f>
        <v>27.5420934247943</v>
      </c>
      <c r="AO277" s="40" t="n">
        <f aca="false">I277-2*Y277</f>
        <v>26.8028626555635</v>
      </c>
      <c r="AP277" s="40" t="n">
        <f aca="false">I277-3*Y277</f>
        <v>26.0636318863327</v>
      </c>
      <c r="AQ277" s="40" t="n">
        <f aca="true">MAX(OFFSET(C277,1-MIN(p_StochN,ROW()-4),0,MIN(p_StochN,ROW()-4),1))</f>
        <v>27.11</v>
      </c>
      <c r="AR277" s="40" t="n">
        <f aca="true">MIN(OFFSET(D277,1-MIN(p_StochN,ROW()-4),0,MIN(p_StochN,ROW()-4),1))</f>
        <v>25.91</v>
      </c>
      <c r="AS277" s="45" t="n">
        <f aca="false">IF(AQ277=AR277,50,100*(E277-AR277)/(AQ277-AR277))</f>
        <v>63.3333333333335</v>
      </c>
      <c r="AT277" s="45" t="n">
        <f aca="true">AVERAGE(OFFSET(AS277,1-MIN(p_StochSm,ROW()-4),0,MIN(p_StochSm,ROW()-4),1))</f>
        <v>60.753663875938</v>
      </c>
      <c r="AU277" s="45" t="n">
        <f aca="true">AVERAGE(OFFSET(AT277,1-MIN(p_StochSm,ROW()-4),0,MIN(p_StochSm,ROW()-4),1))</f>
        <v>41.42590193285</v>
      </c>
      <c r="AV277" s="41" t="n">
        <f aca="false">MAX(0,H277-D277)</f>
        <v>0.803852700804878</v>
      </c>
      <c r="AW277" s="41" t="n">
        <f aca="true">IF(COUNTIF(OFFSET(AV277,1-MIN(p_PenLb,ROW()-4),0,MIN(p_PenLb,ROW()-4),1),"&gt;0")&gt;0,SUM(OFFSET(AV277,1-MIN(p_PenLb,ROW()-4),0,MIN(p_PenLb,ROW()-4),1))/COUNTIF(OFFSET(AV277,1-MIN(p_PenLb,ROW()-4),0,MIN(p_PenLb,ROW()-4),1),"&gt;0"),0.5*Y277)</f>
        <v>1.07140744510652</v>
      </c>
      <c r="AX277" s="41" t="n">
        <f aca="false">2*H277-H276</f>
        <v>27.2815439173374</v>
      </c>
      <c r="AY277" s="40" t="n">
        <f aca="false">ROUND(MAX(AX277-AW277,0.01),2)</f>
        <v>26.21</v>
      </c>
      <c r="AZ277" s="40" t="n">
        <f aca="true">IF(MIN(p_StopLb,ROW()-4)&lt;2,D277,SMALL(OFFSET(D277,1-MIN(p_StopLb,ROW()-4),0,MIN(p_StopLb,ROW()-4),1),2))</f>
        <v>25.97</v>
      </c>
      <c r="BA277" s="40" t="n">
        <f aca="false">IF(MOD(ROUND(ROUNDDOWN(MIN(AZ277-0.01,AY277-p_StopAtr*Y277),2)*100,0),50)=0,ROUNDDOWN(MIN(AZ277-0.01,AY277-p_StopAtr*Y277),2)-0.01,ROUNDDOWN(MIN(AZ277-0.01,AY277-p_StopAtr*Y277),2))</f>
        <v>25.47</v>
      </c>
      <c r="BB277" s="40" t="n">
        <f aca="false">ROUND(AI277,2)</f>
        <v>29.98</v>
      </c>
      <c r="BC277" s="40" t="n">
        <f aca="false">IF(AY277-BA277&gt;0,(BB277-AY277)/(AY277-BA277),0)</f>
        <v>5.09459459459458</v>
      </c>
      <c r="BD277" s="42" t="n">
        <f aca="false">IF(N277&lt;0,1,0)</f>
        <v>1</v>
      </c>
      <c r="BE277" s="41" t="n">
        <f aca="false">IF(AND(BD277=1,BD276=0),N277,IF(BD277=1,MIN(BE276,N277),BE276))</f>
        <v>-0.356654552541767</v>
      </c>
      <c r="BF277" s="40" t="n">
        <f aca="false">IF(AND(BD277=1,BD276=0),D277,IF(BD277=1,MIN(BF276,D277),BF276))</f>
        <v>25.91</v>
      </c>
      <c r="BG277" s="42" t="n">
        <f aca="false">IF(AND(BD277=1,BD276=0),ROW(),IF(BD277=1,IF(N277&lt;BE276,ROW(),BG276),BG276))</f>
        <v>261</v>
      </c>
      <c r="BH277" s="41" t="n">
        <f aca="false">IF(AND(BD277=1,BD276=0),BE276,BH276)</f>
        <v>-0.153190541609803</v>
      </c>
      <c r="BI277" s="40" t="n">
        <f aca="false">IF(AND(BD277=1,BD276=0),BF276,BI276)</f>
        <v>27.9</v>
      </c>
      <c r="BJ277" s="42" t="n">
        <f aca="false">IF(AND(BD277=1,BD276=0),BG276,BJ276)</f>
        <v>226</v>
      </c>
      <c r="BK277" s="42" t="n">
        <f aca="false">IF(AND(ISNUMBER(BG277),ISNUMBER(BJ277)),BG277-BJ277,"")</f>
        <v>35</v>
      </c>
      <c r="BL277" s="42" t="n">
        <f aca="false">IF(AND(BD277=1,N277&gt;N276,ISNUMBER(BH277),ISNUMBER(BK277)),IF(AND(BE277&gt;BH277,BF277&lt;BI277,BK277&gt;=p_GapMin,BK277&lt;=p_GapMax),1,0),0)</f>
        <v>0</v>
      </c>
      <c r="BM277" s="42" t="n">
        <f aca="false">IF(AND(BL277=1,E277&gt;BI277),1,0)</f>
        <v>0</v>
      </c>
      <c r="BN277" s="42" t="n">
        <f aca="false">IF(BL277=1,IF(BE277&gt;=BH277*0.5,1,0),0)</f>
        <v>0</v>
      </c>
      <c r="BO277" s="42" t="n">
        <f aca="true">IF(V277&gt;MIN(OFFSET(V277,-MIN(p_FiLb-1,ROW()-5),0,MIN(p_FiLb-1,ROW()-5),1)),1,0)</f>
        <v>1</v>
      </c>
      <c r="BP277" s="44" t="n">
        <f aca="true">IF(COUNTIF(OFFSET(V277,1-MIN(100,ROW()-4),0,MIN(100,ROW()-4),1),"&lt;0")&gt;=5,AVERAGEIF(OFFSET(V277,1-MIN(100,ROW()-4),0,MIN(100,ROW()-4),1),"&lt;0"),"")</f>
        <v>-1094200.2863526</v>
      </c>
      <c r="BQ277" s="42" t="n">
        <f aca="false">IF(ISNUMBER(BP277),IF(AND(V277&lt;5*BP277,V277&gt;V276,E277&lt;AJ277),1,0),0)</f>
        <v>0</v>
      </c>
      <c r="BR277" s="44" t="n">
        <f aca="true">AVERAGE(OFFSET(F277,1-MIN(5,ROW()-4),0,MIN(5,ROW()-4),1))</f>
        <v>3814040</v>
      </c>
      <c r="BS277" s="42" t="n">
        <f aca="false">IFERROR(IF(MATCH(G277,周线!$A$5:$A$84,0)&lt;=1,"",INDEX(周线!$R$5:$R$84,MATCH(G277,周线!$A$5:$A$84,0)-1)),"")</f>
        <v>0</v>
      </c>
      <c r="BT277" s="42" t="n">
        <f aca="false">IFERROR(IF(MATCH(G277,周线!$A$5:$A$84,0)&lt;=1,"",INDEX(周线!$S$5:$S$84,MATCH(G277,周线!$A$5:$A$84,0)-1)),"")</f>
        <v>0</v>
      </c>
      <c r="BU277" s="42" t="n">
        <f aca="false">IFERROR(IF(MATCH(G277,周线!$A$5:$A$84,0)&lt;=1,"",INDEX(周线!$U$5:$U$84,MATCH(G277,周线!$A$5:$A$84,0)-1)),"")</f>
        <v>-1</v>
      </c>
      <c r="BV277" s="42" t="n">
        <f aca="false">IF(AND(BS277=1,S277&lt;&gt;-1,V277&lt;0,BO277=1,E277&lt;=H277,E277&gt;=AJ277),1,0)</f>
        <v>0</v>
      </c>
      <c r="BW277" s="42" t="n">
        <f aca="false">BL277</f>
        <v>0</v>
      </c>
      <c r="BX277" s="42" t="n">
        <f aca="false">BQ277</f>
        <v>0</v>
      </c>
      <c r="BY277" s="42" t="n">
        <f aca="false">IF(BS277=1,10,0)+IF(BU277=1,5,IF(BU277=-1,0,3))+IF(BT277=1,5,0)+IF(AND(AE277&gt;AF277,AH277&gt;AH276),5,0)</f>
        <v>0</v>
      </c>
      <c r="BZ277" s="42" t="n">
        <f aca="false">IF(AND(E277&lt;=H277,E277&gt;=I277),10,IF(AND(E277&gt;=AJ277,E277&lt;I277),6,0))+IF(AND(V277&lt;0,BO277=1),8,0)+IF(AT277&lt;30,7,IF(AT277&lt;50,3,0))</f>
        <v>14</v>
      </c>
      <c r="CA277" s="42" t="n">
        <f aca="false">IF(AND(BV277=1,BW277=1),25,IF(BW277=1,22,IF(BV277=1,15,IF(BX277=1,12,0))))</f>
        <v>0</v>
      </c>
      <c r="CB277" s="42" t="n">
        <f aca="false">IF(W277&gt;0,6,0)+IF(F277&lt;BR277,4,0)</f>
        <v>0</v>
      </c>
      <c r="CC277" s="42" t="n">
        <f aca="false">IF(BC277&gt;=3,15,IF(BC277&gt;=p_RRmin,10,IF(BC277&gt;=1.5,4,0)))</f>
        <v>15</v>
      </c>
      <c r="CD277" s="42" t="n">
        <f aca="false">BY277+BZ277+CA277+CB277+CC277</f>
        <v>29</v>
      </c>
      <c r="CE277" s="42" t="n">
        <f aca="false">IF(AND(BS277&lt;&gt;1,BW277+BX277=0),1,0)</f>
        <v>1</v>
      </c>
      <c r="CF277" s="42" t="n">
        <f aca="false">IF(BU277=-1,1,0)</f>
        <v>1</v>
      </c>
      <c r="CG277" s="42" t="n">
        <f aca="false">IF(S277=-1,1,0)</f>
        <v>0</v>
      </c>
      <c r="CH277" s="42" t="n">
        <f aca="false">IF(BV277+BW277+BX277=0,1,0)</f>
        <v>1</v>
      </c>
      <c r="CI277" s="42" t="n">
        <f aca="false">IF(BC277&lt;p_RRmin,1,0)</f>
        <v>0</v>
      </c>
      <c r="CJ277" s="46" t="str">
        <f aca="false">IF(SUM(CE277:CI277)=0,IF(CD277&gt;=p_GradeA,"A",IF(CD277&gt;=p_GradeB,"B","C")),IF(AND(CI277=1,SUM(CE277:CH277)=0,CD277&gt;=p_GradeB),"B","C"))</f>
        <v>C</v>
      </c>
    </row>
    <row r="278" customFormat="false" ht="15" hidden="false" customHeight="false" outlineLevel="0" collapsed="false">
      <c r="A278" s="36" t="n">
        <v>46042</v>
      </c>
      <c r="B278" s="37" t="n">
        <v>26.66</v>
      </c>
      <c r="C278" s="37" t="n">
        <v>26.79</v>
      </c>
      <c r="D278" s="37" t="n">
        <v>26.53</v>
      </c>
      <c r="E278" s="37" t="n">
        <v>26.72</v>
      </c>
      <c r="F278" s="38" t="n">
        <v>3650300</v>
      </c>
      <c r="G278" s="39" t="n">
        <f aca="false">A278-WEEKDAY(A278,3)</f>
        <v>46041</v>
      </c>
      <c r="H278" s="40" t="n">
        <f aca="false">2/(p_EmaF+1)*E278+(1-2/(p_EmaF+1))*H277</f>
        <v>27.3061594578328</v>
      </c>
      <c r="I278" s="40" t="n">
        <f aca="false">2/(p_EmaS+1)*E278+(1-2/(p_EmaS+1))*I277</f>
        <v>28.1656705500232</v>
      </c>
      <c r="J278" s="41" t="n">
        <f aca="false">2/(p_MacdF+1)*E278+(1-2/(p_MacdF+1))*J277</f>
        <v>27.2242040284007</v>
      </c>
      <c r="K278" s="41" t="n">
        <f aca="false">2/(p_MacdS+1)*E278+(1-2/(p_MacdS+1))*K277</f>
        <v>28.1656705500232</v>
      </c>
      <c r="L278" s="41" t="n">
        <f aca="false">J278-K278</f>
        <v>-0.941466521622498</v>
      </c>
      <c r="M278" s="41" t="n">
        <f aca="false">2/(p_MacdSig+1)*L278+(1-2/(p_MacdSig+1))*M277</f>
        <v>-0.856202496260062</v>
      </c>
      <c r="N278" s="41" t="n">
        <f aca="false">L278-M278</f>
        <v>-0.0852640253624361</v>
      </c>
      <c r="O278" s="42" t="n">
        <f aca="false">IF(H278&gt;H277,1,0)</f>
        <v>0</v>
      </c>
      <c r="P278" s="42" t="n">
        <f aca="false">IF(H278&lt;H277,1,0)</f>
        <v>1</v>
      </c>
      <c r="Q278" s="42" t="n">
        <f aca="false">IF(N278&gt;N277,1,0)</f>
        <v>1</v>
      </c>
      <c r="R278" s="42" t="n">
        <f aca="false">IF(N278&lt;N277,1,0)</f>
        <v>0</v>
      </c>
      <c r="S278" s="42" t="n">
        <f aca="false">IF(AND(O278=1,Q278=1),1,IF(AND(P278=1,R278=1),-1,0))</f>
        <v>0</v>
      </c>
      <c r="T278" s="43" t="str">
        <f aca="false">IF(S278=1,"绿",IF(S278=-1,"红","蓝"))</f>
        <v>蓝</v>
      </c>
      <c r="U278" s="44" t="n">
        <f aca="false">F278*(E278-E277)</f>
        <v>182514.99999999</v>
      </c>
      <c r="V278" s="44" t="n">
        <f aca="false">2/(p_FiS+1)*U278+(1-2/(p_FiS+1))*V277</f>
        <v>-45831.6882565542</v>
      </c>
      <c r="W278" s="44" t="n">
        <f aca="false">2/(p_FiL+1)*U278+(1-2/(p_FiL+1))*W277</f>
        <v>-560477.355712964</v>
      </c>
      <c r="X278" s="41" t="n">
        <f aca="false">MAX(C278-D278,ABS(C278-E277),ABS(D278-E277))</f>
        <v>0.259999999999998</v>
      </c>
      <c r="Y278" s="41" t="n">
        <f aca="true">AVERAGE(OFFSET(X278,1-MIN(p_AtrN,ROW()-4),0,MIN(p_AtrN,ROW()-4),1))</f>
        <v>0.719230769230769</v>
      </c>
      <c r="Z278" s="41" t="n">
        <f aca="false">IF(AND(C278-C277&gt;D277-D278,C278-C277&gt;0),C278-C277,0)</f>
        <v>0</v>
      </c>
      <c r="AA278" s="41" t="n">
        <f aca="false">IF(AND(D277-D278&gt;C278-C277,D277-D278&gt;0),D277-D278,0)</f>
        <v>0.0700000000000003</v>
      </c>
      <c r="AB278" s="41" t="n">
        <f aca="false">2/(p_AdxN+1)*X278+(1-2/(p_AdxN+1))*AB277</f>
        <v>0.651652244614821</v>
      </c>
      <c r="AC278" s="41" t="n">
        <f aca="false">2/(p_AdxN+1)*Z278+(1-2/(p_AdxN+1))*AC277</f>
        <v>0.0791684041399235</v>
      </c>
      <c r="AD278" s="41" t="n">
        <f aca="false">2/(p_AdxN+1)*AA278+(1-2/(p_AdxN+1))*AD277</f>
        <v>0.1691757536198</v>
      </c>
      <c r="AE278" s="45" t="n">
        <f aca="false">100*AC278/AB278</f>
        <v>12.1488730828693</v>
      </c>
      <c r="AF278" s="45" t="n">
        <f aca="false">100*AD278/AB278</f>
        <v>25.9610482458778</v>
      </c>
      <c r="AG278" s="45" t="n">
        <f aca="false">IFERROR(100*ABS(AE278-AF278)/(AE278+AF278),0)</f>
        <v>36.2429904902211</v>
      </c>
      <c r="AH278" s="45" t="n">
        <f aca="false">2/(p_AdxN+1)*AG278+(1-2/(p_AdxN+1))*AH277</f>
        <v>54.1412790624949</v>
      </c>
      <c r="AI278" s="40" t="n">
        <f aca="false">I278*(1+p_ChPct)</f>
        <v>29.8556107830246</v>
      </c>
      <c r="AJ278" s="40" t="n">
        <f aca="false">I278*(1-p_ChPct)</f>
        <v>26.4757303170218</v>
      </c>
      <c r="AK278" s="40" t="n">
        <f aca="false">I278+1*Y278</f>
        <v>28.8849013192539</v>
      </c>
      <c r="AL278" s="40" t="n">
        <f aca="false">I278+2*Y278</f>
        <v>29.6041320884847</v>
      </c>
      <c r="AM278" s="40" t="n">
        <f aca="false">I278+3*Y278</f>
        <v>30.3233628577155</v>
      </c>
      <c r="AN278" s="40" t="n">
        <f aca="false">I278-1*Y278</f>
        <v>27.4464397807924</v>
      </c>
      <c r="AO278" s="40" t="n">
        <f aca="false">I278-2*Y278</f>
        <v>26.7272090115616</v>
      </c>
      <c r="AP278" s="40" t="n">
        <f aca="false">I278-3*Y278</f>
        <v>26.0079782423309</v>
      </c>
      <c r="AQ278" s="40" t="n">
        <f aca="true">MAX(OFFSET(C278,1-MIN(p_StochN,ROW()-4),0,MIN(p_StochN,ROW()-4),1))</f>
        <v>27.11</v>
      </c>
      <c r="AR278" s="40" t="n">
        <f aca="true">MIN(OFFSET(D278,1-MIN(p_StochN,ROW()-4),0,MIN(p_StochN,ROW()-4),1))</f>
        <v>25.91</v>
      </c>
      <c r="AS278" s="45" t="n">
        <f aca="false">IF(AQ278=AR278,50,100*(E278-AR278)/(AQ278-AR278))</f>
        <v>67.4999999999999</v>
      </c>
      <c r="AT278" s="45" t="n">
        <f aca="true">AVERAGE(OFFSET(AS278,1-MIN(p_StochSm,ROW()-4),0,MIN(p_StochSm,ROW()-4),1))</f>
        <v>71.4799635701276</v>
      </c>
      <c r="AU278" s="45" t="n">
        <f aca="true">AVERAGE(OFFSET(AT278,1-MIN(p_StochSm,ROW()-4),0,MIN(p_StochSm,ROW()-4),1))</f>
        <v>59.1439119221493</v>
      </c>
      <c r="AV278" s="41" t="n">
        <f aca="false">MAX(0,H278-D278)</f>
        <v>0.776159457832755</v>
      </c>
      <c r="AW278" s="41" t="n">
        <f aca="true">IF(COUNTIF(OFFSET(AV278,1-MIN(p_PenLb,ROW()-4),0,MIN(p_PenLb,ROW()-4),1),"&gt;0")&gt;0,SUM(OFFSET(AV278,1-MIN(p_PenLb,ROW()-4),0,MIN(p_PenLb,ROW()-4),1))/COUNTIF(OFFSET(AV278,1-MIN(p_PenLb,ROW()-4),0,MIN(p_PenLb,ROW()-4),1),"&gt;0"),0.5*Y278)</f>
        <v>1.08258733390082</v>
      </c>
      <c r="AX278" s="41" t="n">
        <f aca="false">2*H278-H277</f>
        <v>27.2084662148606</v>
      </c>
      <c r="AY278" s="40" t="n">
        <f aca="false">ROUND(MAX(AX278-AW278,0.01),2)</f>
        <v>26.13</v>
      </c>
      <c r="AZ278" s="40" t="n">
        <f aca="true">IF(MIN(p_StopLb,ROW()-4)&lt;2,D278,SMALL(OFFSET(D278,1-MIN(p_StopLb,ROW()-4),0,MIN(p_StopLb,ROW()-4),1),2))</f>
        <v>25.97</v>
      </c>
      <c r="BA278" s="40" t="n">
        <f aca="false">IF(MOD(ROUND(ROUNDDOWN(MIN(AZ278-0.01,AY278-p_StopAtr*Y278),2)*100,0),50)=0,ROUNDDOWN(MIN(AZ278-0.01,AY278-p_StopAtr*Y278),2)-0.01,ROUNDDOWN(MIN(AZ278-0.01,AY278-p_StopAtr*Y278),2))</f>
        <v>25.41</v>
      </c>
      <c r="BB278" s="40" t="n">
        <f aca="false">ROUND(AI278,2)</f>
        <v>29.86</v>
      </c>
      <c r="BC278" s="40" t="n">
        <f aca="false">IF(AY278-BA278&gt;0,(BB278-AY278)/(AY278-BA278),0)</f>
        <v>5.18055555555556</v>
      </c>
      <c r="BD278" s="42" t="n">
        <f aca="false">IF(N278&lt;0,1,0)</f>
        <v>1</v>
      </c>
      <c r="BE278" s="41" t="n">
        <f aca="false">IF(AND(BD278=1,BD277=0),N278,IF(BD278=1,MIN(BE277,N278),BE277))</f>
        <v>-0.356654552541767</v>
      </c>
      <c r="BF278" s="40" t="n">
        <f aca="false">IF(AND(BD278=1,BD277=0),D278,IF(BD278=1,MIN(BF277,D278),BF277))</f>
        <v>25.91</v>
      </c>
      <c r="BG278" s="42" t="n">
        <f aca="false">IF(AND(BD278=1,BD277=0),ROW(),IF(BD278=1,IF(N278&lt;BE277,ROW(),BG277),BG277))</f>
        <v>261</v>
      </c>
      <c r="BH278" s="41" t="n">
        <f aca="false">IF(AND(BD278=1,BD277=0),BE277,BH277)</f>
        <v>-0.153190541609803</v>
      </c>
      <c r="BI278" s="40" t="n">
        <f aca="false">IF(AND(BD278=1,BD277=0),BF277,BI277)</f>
        <v>27.9</v>
      </c>
      <c r="BJ278" s="42" t="n">
        <f aca="false">IF(AND(BD278=1,BD277=0),BG277,BJ277)</f>
        <v>226</v>
      </c>
      <c r="BK278" s="42" t="n">
        <f aca="false">IF(AND(ISNUMBER(BG278),ISNUMBER(BJ278)),BG278-BJ278,"")</f>
        <v>35</v>
      </c>
      <c r="BL278" s="42" t="n">
        <f aca="false">IF(AND(BD278=1,N278&gt;N277,ISNUMBER(BH278),ISNUMBER(BK278)),IF(AND(BE278&gt;BH278,BF278&lt;BI278,BK278&gt;=p_GapMin,BK278&lt;=p_GapMax),1,0),0)</f>
        <v>0</v>
      </c>
      <c r="BM278" s="42" t="n">
        <f aca="false">IF(AND(BL278=1,E278&gt;BI278),1,0)</f>
        <v>0</v>
      </c>
      <c r="BN278" s="42" t="n">
        <f aca="false">IF(BL278=1,IF(BE278&gt;=BH278*0.5,1,0),0)</f>
        <v>0</v>
      </c>
      <c r="BO278" s="42" t="n">
        <f aca="true">IF(V278&gt;MIN(OFFSET(V278,-MIN(p_FiLb-1,ROW()-5),0,MIN(p_FiLb-1,ROW()-5),1)),1,0)</f>
        <v>1</v>
      </c>
      <c r="BP278" s="44" t="n">
        <f aca="true">IF(COUNTIF(OFFSET(V278,1-MIN(100,ROW()-4),0,MIN(100,ROW()-4),1),"&lt;0")&gt;=5,AVERAGEIF(OFFSET(V278,1-MIN(100,ROW()-4),0,MIN(100,ROW()-4),1),"&lt;0"),"")</f>
        <v>-1072740.67133615</v>
      </c>
      <c r="BQ278" s="42" t="n">
        <f aca="false">IF(ISNUMBER(BP278),IF(AND(V278&lt;5*BP278,V278&gt;V277,E278&lt;AJ278),1,0),0)</f>
        <v>0</v>
      </c>
      <c r="BR278" s="44" t="n">
        <f aca="true">AVERAGE(OFFSET(F278,1-MIN(5,ROW()-4),0,MIN(5,ROW()-4),1))</f>
        <v>3429440</v>
      </c>
      <c r="BS278" s="42" t="n">
        <f aca="false">IFERROR(IF(MATCH(G278,周线!$A$5:$A$84,0)&lt;=1,"",INDEX(周线!$R$5:$R$84,MATCH(G278,周线!$A$5:$A$84,0)-1)),"")</f>
        <v>0</v>
      </c>
      <c r="BT278" s="42" t="n">
        <f aca="false">IFERROR(IF(MATCH(G278,周线!$A$5:$A$84,0)&lt;=1,"",INDEX(周线!$S$5:$S$84,MATCH(G278,周线!$A$5:$A$84,0)-1)),"")</f>
        <v>0</v>
      </c>
      <c r="BU278" s="42" t="n">
        <f aca="false">IFERROR(IF(MATCH(G278,周线!$A$5:$A$84,0)&lt;=1,"",INDEX(周线!$U$5:$U$84,MATCH(G278,周线!$A$5:$A$84,0)-1)),"")</f>
        <v>-1</v>
      </c>
      <c r="BV278" s="42" t="n">
        <f aca="false">IF(AND(BS278=1,S278&lt;&gt;-1,V278&lt;0,BO278=1,E278&lt;=H278,E278&gt;=AJ278),1,0)</f>
        <v>0</v>
      </c>
      <c r="BW278" s="42" t="n">
        <f aca="false">BL278</f>
        <v>0</v>
      </c>
      <c r="BX278" s="42" t="n">
        <f aca="false">BQ278</f>
        <v>0</v>
      </c>
      <c r="BY278" s="42" t="n">
        <f aca="false">IF(BS278=1,10,0)+IF(BU278=1,5,IF(BU278=-1,0,3))+IF(BT278=1,5,0)+IF(AND(AE278&gt;AF278,AH278&gt;AH277),5,0)</f>
        <v>0</v>
      </c>
      <c r="BZ278" s="42" t="n">
        <f aca="false">IF(AND(E278&lt;=H278,E278&gt;=I278),10,IF(AND(E278&gt;=AJ278,E278&lt;I278),6,0))+IF(AND(V278&lt;0,BO278=1),8,0)+IF(AT278&lt;30,7,IF(AT278&lt;50,3,0))</f>
        <v>14</v>
      </c>
      <c r="CA278" s="42" t="n">
        <f aca="false">IF(AND(BV278=1,BW278=1),25,IF(BW278=1,22,IF(BV278=1,15,IF(BX278=1,12,0))))</f>
        <v>0</v>
      </c>
      <c r="CB278" s="42" t="n">
        <f aca="false">IF(W278&gt;0,6,0)+IF(F278&lt;BR278,4,0)</f>
        <v>0</v>
      </c>
      <c r="CC278" s="42" t="n">
        <f aca="false">IF(BC278&gt;=3,15,IF(BC278&gt;=p_RRmin,10,IF(BC278&gt;=1.5,4,0)))</f>
        <v>15</v>
      </c>
      <c r="CD278" s="42" t="n">
        <f aca="false">BY278+BZ278+CA278+CB278+CC278</f>
        <v>29</v>
      </c>
      <c r="CE278" s="42" t="n">
        <f aca="false">IF(AND(BS278&lt;&gt;1,BW278+BX278=0),1,0)</f>
        <v>1</v>
      </c>
      <c r="CF278" s="42" t="n">
        <f aca="false">IF(BU278=-1,1,0)</f>
        <v>1</v>
      </c>
      <c r="CG278" s="42" t="n">
        <f aca="false">IF(S278=-1,1,0)</f>
        <v>0</v>
      </c>
      <c r="CH278" s="42" t="n">
        <f aca="false">IF(BV278+BW278+BX278=0,1,0)</f>
        <v>1</v>
      </c>
      <c r="CI278" s="42" t="n">
        <f aca="false">IF(BC278&lt;p_RRmin,1,0)</f>
        <v>0</v>
      </c>
      <c r="CJ278" s="46" t="str">
        <f aca="false">IF(SUM(CE278:CI278)=0,IF(CD278&gt;=p_GradeA,"A",IF(CD278&gt;=p_GradeB,"B","C")),IF(AND(CI278=1,SUM(CE278:CH278)=0,CD278&gt;=p_GradeB),"B","C"))</f>
        <v>C</v>
      </c>
    </row>
    <row r="279" customFormat="false" ht="15" hidden="false" customHeight="false" outlineLevel="0" collapsed="false">
      <c r="A279" s="36" t="n">
        <v>46043</v>
      </c>
      <c r="B279" s="37" t="n">
        <v>26.75</v>
      </c>
      <c r="C279" s="37" t="n">
        <v>26.86</v>
      </c>
      <c r="D279" s="37" t="n">
        <v>26.68</v>
      </c>
      <c r="E279" s="37" t="n">
        <v>26.76</v>
      </c>
      <c r="F279" s="38" t="n">
        <v>2271300</v>
      </c>
      <c r="G279" s="39" t="n">
        <f aca="false">A279-WEEKDAY(A279,3)</f>
        <v>46041</v>
      </c>
      <c r="H279" s="40" t="n">
        <f aca="false">2/(p_EmaF+1)*E279+(1-2/(p_EmaF+1))*H278</f>
        <v>27.2281366781424</v>
      </c>
      <c r="I279" s="40" t="n">
        <f aca="false">2/(p_EmaS+1)*E279+(1-2/(p_EmaS+1))*I278</f>
        <v>28.061546805577</v>
      </c>
      <c r="J279" s="41" t="n">
        <f aca="false">2/(p_MacdF+1)*E279+(1-2/(p_MacdF+1))*J278</f>
        <v>27.1527880240313</v>
      </c>
      <c r="K279" s="41" t="n">
        <f aca="false">2/(p_MacdS+1)*E279+(1-2/(p_MacdS+1))*K278</f>
        <v>28.061546805577</v>
      </c>
      <c r="L279" s="41" t="n">
        <f aca="false">J279-K279</f>
        <v>-0.908758781545672</v>
      </c>
      <c r="M279" s="41" t="n">
        <f aca="false">2/(p_MacdSig+1)*L279+(1-2/(p_MacdSig+1))*M278</f>
        <v>-0.866713753317184</v>
      </c>
      <c r="N279" s="41" t="n">
        <f aca="false">L279-M279</f>
        <v>-0.0420450282284873</v>
      </c>
      <c r="O279" s="42" t="n">
        <f aca="false">IF(H279&gt;H278,1,0)</f>
        <v>0</v>
      </c>
      <c r="P279" s="42" t="n">
        <f aca="false">IF(H279&lt;H278,1,0)</f>
        <v>1</v>
      </c>
      <c r="Q279" s="42" t="n">
        <f aca="false">IF(N279&gt;N278,1,0)</f>
        <v>1</v>
      </c>
      <c r="R279" s="42" t="n">
        <f aca="false">IF(N279&lt;N278,1,0)</f>
        <v>0</v>
      </c>
      <c r="S279" s="42" t="n">
        <f aca="false">IF(AND(O279=1,Q279=1),1,IF(AND(P279=1,R279=1),-1,0))</f>
        <v>0</v>
      </c>
      <c r="T279" s="43" t="str">
        <f aca="false">IF(S279=1,"绿",IF(S279=-1,"红","蓝"))</f>
        <v>蓝</v>
      </c>
      <c r="U279" s="44" t="n">
        <f aca="false">F279*(E279-E278)</f>
        <v>90852.0000000061</v>
      </c>
      <c r="V279" s="44" t="n">
        <f aca="false">2/(p_FiS+1)*U279+(1-2/(p_FiS+1))*V278</f>
        <v>45290.7705811527</v>
      </c>
      <c r="W279" s="44" t="n">
        <f aca="false">2/(p_FiL+1)*U279+(1-2/(p_FiL+1))*W278</f>
        <v>-467430.304896825</v>
      </c>
      <c r="X279" s="41" t="n">
        <f aca="false">MAX(C279-D279,ABS(C279-E278),ABS(D279-E278))</f>
        <v>0.18</v>
      </c>
      <c r="Y279" s="41" t="n">
        <f aca="true">AVERAGE(OFFSET(X279,1-MIN(p_AtrN,ROW()-4),0,MIN(p_AtrN,ROW()-4),1))</f>
        <v>0.663076923076923</v>
      </c>
      <c r="Z279" s="41" t="n">
        <f aca="false">IF(AND(C279-C278&gt;D278-D279,C279-C278&gt;0),C279-C278,0)</f>
        <v>0.0700000000000003</v>
      </c>
      <c r="AA279" s="41" t="n">
        <f aca="false">IF(AND(D278-D279&gt;C279-C278,D278-D279&gt;0),D278-D279,0)</f>
        <v>0</v>
      </c>
      <c r="AB279" s="41" t="n">
        <f aca="false">2/(p_AdxN+1)*X279+(1-2/(p_AdxN+1))*AB278</f>
        <v>0.58427335252699</v>
      </c>
      <c r="AC279" s="41" t="n">
        <f aca="false">2/(p_AdxN+1)*Z279+(1-2/(p_AdxN+1))*AC278</f>
        <v>0.0778586321199345</v>
      </c>
      <c r="AD279" s="41" t="n">
        <f aca="false">2/(p_AdxN+1)*AA279+(1-2/(p_AdxN+1))*AD278</f>
        <v>0.145007788816971</v>
      </c>
      <c r="AE279" s="45" t="n">
        <f aca="false">100*AC279/AB279</f>
        <v>13.3257201929876</v>
      </c>
      <c r="AF279" s="45" t="n">
        <f aca="false">100*AD279/AB279</f>
        <v>24.8184840519956</v>
      </c>
      <c r="AG279" s="45" t="n">
        <f aca="false">IFERROR(100*ABS(AE279-AF279)/(AE279+AF279),0)</f>
        <v>30.1297774760096</v>
      </c>
      <c r="AH279" s="45" t="n">
        <f aca="false">2/(p_AdxN+1)*AG279+(1-2/(p_AdxN+1))*AH278</f>
        <v>50.7110645501398</v>
      </c>
      <c r="AI279" s="40" t="n">
        <f aca="false">I279*(1+p_ChPct)</f>
        <v>29.7452396139116</v>
      </c>
      <c r="AJ279" s="40" t="n">
        <f aca="false">I279*(1-p_ChPct)</f>
        <v>26.3778539972424</v>
      </c>
      <c r="AK279" s="40" t="n">
        <f aca="false">I279+1*Y279</f>
        <v>28.7246237286539</v>
      </c>
      <c r="AL279" s="40" t="n">
        <f aca="false">I279+2*Y279</f>
        <v>29.3877006517309</v>
      </c>
      <c r="AM279" s="40" t="n">
        <f aca="false">I279+3*Y279</f>
        <v>30.0507775748078</v>
      </c>
      <c r="AN279" s="40" t="n">
        <f aca="false">I279-1*Y279</f>
        <v>27.3984698825001</v>
      </c>
      <c r="AO279" s="40" t="n">
        <f aca="false">I279-2*Y279</f>
        <v>26.7353929594232</v>
      </c>
      <c r="AP279" s="40" t="n">
        <f aca="false">I279-3*Y279</f>
        <v>26.0723160363462</v>
      </c>
      <c r="AQ279" s="40" t="n">
        <f aca="true">MAX(OFFSET(C279,1-MIN(p_StochN,ROW()-4),0,MIN(p_StochN,ROW()-4),1))</f>
        <v>27.11</v>
      </c>
      <c r="AR279" s="40" t="n">
        <f aca="true">MIN(OFFSET(D279,1-MIN(p_StochN,ROW()-4),0,MIN(p_StochN,ROW()-4),1))</f>
        <v>26.24</v>
      </c>
      <c r="AS279" s="45" t="n">
        <f aca="false">IF(AQ279=AR279,50,100*(E279-AR279)/(AQ279-AR279))</f>
        <v>59.770114942529</v>
      </c>
      <c r="AT279" s="45" t="n">
        <f aca="true">AVERAGE(OFFSET(AS279,1-MIN(p_StochSm,ROW()-4),0,MIN(p_StochSm,ROW()-4),1))</f>
        <v>63.5344827586208</v>
      </c>
      <c r="AU279" s="45" t="n">
        <f aca="true">AVERAGE(OFFSET(AT279,1-MIN(p_StochSm,ROW()-4),0,MIN(p_StochSm,ROW()-4),1))</f>
        <v>65.2560367348955</v>
      </c>
      <c r="AV279" s="41" t="n">
        <f aca="false">MAX(0,H279-D279)</f>
        <v>0.548136678142363</v>
      </c>
      <c r="AW279" s="41" t="n">
        <f aca="true">IF(COUNTIF(OFFSET(AV279,1-MIN(p_PenLb,ROW()-4),0,MIN(p_PenLb,ROW()-4),1),"&gt;0")&gt;0,SUM(OFFSET(AV279,1-MIN(p_PenLb,ROW()-4),0,MIN(p_PenLb,ROW()-4),1))/COUNTIF(OFFSET(AV279,1-MIN(p_PenLb,ROW()-4),0,MIN(p_PenLb,ROW()-4),1),"&gt;0"),0.5*Y279)</f>
        <v>1.08440819096261</v>
      </c>
      <c r="AX279" s="41" t="n">
        <f aca="false">2*H279-H278</f>
        <v>27.150113898452</v>
      </c>
      <c r="AY279" s="40" t="n">
        <f aca="false">ROUND(MAX(AX279-AW279,0.01),2)</f>
        <v>26.07</v>
      </c>
      <c r="AZ279" s="40" t="n">
        <f aca="true">IF(MIN(p_StopLb,ROW()-4)&lt;2,D279,SMALL(OFFSET(D279,1-MIN(p_StopLb,ROW()-4),0,MIN(p_StopLb,ROW()-4),1),2))</f>
        <v>25.97</v>
      </c>
      <c r="BA279" s="40" t="n">
        <f aca="false">IF(MOD(ROUND(ROUNDDOWN(MIN(AZ279-0.01,AY279-p_StopAtr*Y279),2)*100,0),50)=0,ROUNDDOWN(MIN(AZ279-0.01,AY279-p_StopAtr*Y279),2)-0.01,ROUNDDOWN(MIN(AZ279-0.01,AY279-p_StopAtr*Y279),2))</f>
        <v>25.4</v>
      </c>
      <c r="BB279" s="40" t="n">
        <f aca="false">ROUND(AI279,2)</f>
        <v>29.75</v>
      </c>
      <c r="BC279" s="40" t="n">
        <f aca="false">IF(AY279-BA279&gt;0,(BB279-AY279)/(AY279-BA279),0)</f>
        <v>5.49253731343282</v>
      </c>
      <c r="BD279" s="42" t="n">
        <f aca="false">IF(N279&lt;0,1,0)</f>
        <v>1</v>
      </c>
      <c r="BE279" s="41" t="n">
        <f aca="false">IF(AND(BD279=1,BD278=0),N279,IF(BD279=1,MIN(BE278,N279),BE278))</f>
        <v>-0.356654552541767</v>
      </c>
      <c r="BF279" s="40" t="n">
        <f aca="false">IF(AND(BD279=1,BD278=0),D279,IF(BD279=1,MIN(BF278,D279),BF278))</f>
        <v>25.91</v>
      </c>
      <c r="BG279" s="42" t="n">
        <f aca="false">IF(AND(BD279=1,BD278=0),ROW(),IF(BD279=1,IF(N279&lt;BE278,ROW(),BG278),BG278))</f>
        <v>261</v>
      </c>
      <c r="BH279" s="41" t="n">
        <f aca="false">IF(AND(BD279=1,BD278=0),BE278,BH278)</f>
        <v>-0.153190541609803</v>
      </c>
      <c r="BI279" s="40" t="n">
        <f aca="false">IF(AND(BD279=1,BD278=0),BF278,BI278)</f>
        <v>27.9</v>
      </c>
      <c r="BJ279" s="42" t="n">
        <f aca="false">IF(AND(BD279=1,BD278=0),BG278,BJ278)</f>
        <v>226</v>
      </c>
      <c r="BK279" s="42" t="n">
        <f aca="false">IF(AND(ISNUMBER(BG279),ISNUMBER(BJ279)),BG279-BJ279,"")</f>
        <v>35</v>
      </c>
      <c r="BL279" s="42" t="n">
        <f aca="false">IF(AND(BD279=1,N279&gt;N278,ISNUMBER(BH279),ISNUMBER(BK279)),IF(AND(BE279&gt;BH279,BF279&lt;BI279,BK279&gt;=p_GapMin,BK279&lt;=p_GapMax),1,0),0)</f>
        <v>0</v>
      </c>
      <c r="BM279" s="42" t="n">
        <f aca="false">IF(AND(BL279=1,E279&gt;BI279),1,0)</f>
        <v>0</v>
      </c>
      <c r="BN279" s="42" t="n">
        <f aca="false">IF(BL279=1,IF(BE279&gt;=BH279*0.5,1,0),0)</f>
        <v>0</v>
      </c>
      <c r="BO279" s="42" t="n">
        <f aca="true">IF(V279&gt;MIN(OFFSET(V279,-MIN(p_FiLb-1,ROW()-5),0,MIN(p_FiLb-1,ROW()-5),1)),1,0)</f>
        <v>1</v>
      </c>
      <c r="BP279" s="44" t="n">
        <f aca="true">IF(COUNTIF(OFFSET(V279,1-MIN(100,ROW()-4),0,MIN(100,ROW()-4),1),"&lt;0")&gt;=5,AVERAGEIF(OFFSET(V279,1-MIN(100,ROW()-4),0,MIN(100,ROW()-4),1),"&lt;0"),"")</f>
        <v>-1091427.25408962</v>
      </c>
      <c r="BQ279" s="42" t="n">
        <f aca="false">IF(ISNUMBER(BP279),IF(AND(V279&lt;5*BP279,V279&gt;V278,E279&lt;AJ279),1,0),0)</f>
        <v>0</v>
      </c>
      <c r="BR279" s="44" t="n">
        <f aca="true">AVERAGE(OFFSET(F279,1-MIN(5,ROW()-4),0,MIN(5,ROW()-4),1))</f>
        <v>3322660</v>
      </c>
      <c r="BS279" s="42" t="n">
        <f aca="false">IFERROR(IF(MATCH(G279,周线!$A$5:$A$84,0)&lt;=1,"",INDEX(周线!$R$5:$R$84,MATCH(G279,周线!$A$5:$A$84,0)-1)),"")</f>
        <v>0</v>
      </c>
      <c r="BT279" s="42" t="n">
        <f aca="false">IFERROR(IF(MATCH(G279,周线!$A$5:$A$84,0)&lt;=1,"",INDEX(周线!$S$5:$S$84,MATCH(G279,周线!$A$5:$A$84,0)-1)),"")</f>
        <v>0</v>
      </c>
      <c r="BU279" s="42" t="n">
        <f aca="false">IFERROR(IF(MATCH(G279,周线!$A$5:$A$84,0)&lt;=1,"",INDEX(周线!$U$5:$U$84,MATCH(G279,周线!$A$5:$A$84,0)-1)),"")</f>
        <v>-1</v>
      </c>
      <c r="BV279" s="42" t="n">
        <f aca="false">IF(AND(BS279=1,S279&lt;&gt;-1,V279&lt;0,BO279=1,E279&lt;=H279,E279&gt;=AJ279),1,0)</f>
        <v>0</v>
      </c>
      <c r="BW279" s="42" t="n">
        <f aca="false">BL279</f>
        <v>0</v>
      </c>
      <c r="BX279" s="42" t="n">
        <f aca="false">BQ279</f>
        <v>0</v>
      </c>
      <c r="BY279" s="42" t="n">
        <f aca="false">IF(BS279=1,10,0)+IF(BU279=1,5,IF(BU279=-1,0,3))+IF(BT279=1,5,0)+IF(AND(AE279&gt;AF279,AH279&gt;AH278),5,0)</f>
        <v>0</v>
      </c>
      <c r="BZ279" s="42" t="n">
        <f aca="false">IF(AND(E279&lt;=H279,E279&gt;=I279),10,IF(AND(E279&gt;=AJ279,E279&lt;I279),6,0))+IF(AND(V279&lt;0,BO279=1),8,0)+IF(AT279&lt;30,7,IF(AT279&lt;50,3,0))</f>
        <v>6</v>
      </c>
      <c r="CA279" s="42" t="n">
        <f aca="false">IF(AND(BV279=1,BW279=1),25,IF(BW279=1,22,IF(BV279=1,15,IF(BX279=1,12,0))))</f>
        <v>0</v>
      </c>
      <c r="CB279" s="42" t="n">
        <f aca="false">IF(W279&gt;0,6,0)+IF(F279&lt;BR279,4,0)</f>
        <v>4</v>
      </c>
      <c r="CC279" s="42" t="n">
        <f aca="false">IF(BC279&gt;=3,15,IF(BC279&gt;=p_RRmin,10,IF(BC279&gt;=1.5,4,0)))</f>
        <v>15</v>
      </c>
      <c r="CD279" s="42" t="n">
        <f aca="false">BY279+BZ279+CA279+CB279+CC279</f>
        <v>25</v>
      </c>
      <c r="CE279" s="42" t="n">
        <f aca="false">IF(AND(BS279&lt;&gt;1,BW279+BX279=0),1,0)</f>
        <v>1</v>
      </c>
      <c r="CF279" s="42" t="n">
        <f aca="false">IF(BU279=-1,1,0)</f>
        <v>1</v>
      </c>
      <c r="CG279" s="42" t="n">
        <f aca="false">IF(S279=-1,1,0)</f>
        <v>0</v>
      </c>
      <c r="CH279" s="42" t="n">
        <f aca="false">IF(BV279+BW279+BX279=0,1,0)</f>
        <v>1</v>
      </c>
      <c r="CI279" s="42" t="n">
        <f aca="false">IF(BC279&lt;p_RRmin,1,0)</f>
        <v>0</v>
      </c>
      <c r="CJ279" s="46" t="str">
        <f aca="false">IF(SUM(CE279:CI279)=0,IF(CD279&gt;=p_GradeA,"A",IF(CD279&gt;=p_GradeB,"B","C")),IF(AND(CI279=1,SUM(CE279:CH279)=0,CD279&gt;=p_GradeB),"B","C"))</f>
        <v>C</v>
      </c>
    </row>
    <row r="280" customFormat="false" ht="15" hidden="false" customHeight="false" outlineLevel="0" collapsed="false">
      <c r="A280" s="36" t="n">
        <v>46044</v>
      </c>
      <c r="B280" s="37" t="n">
        <v>26.86</v>
      </c>
      <c r="C280" s="37" t="n">
        <v>27.51</v>
      </c>
      <c r="D280" s="37" t="n">
        <v>26.72</v>
      </c>
      <c r="E280" s="37" t="n">
        <v>27.44</v>
      </c>
      <c r="F280" s="38" t="n">
        <v>4862100</v>
      </c>
      <c r="G280" s="39" t="n">
        <f aca="false">A280-WEEKDAY(A280,3)</f>
        <v>46041</v>
      </c>
      <c r="H280" s="40" t="n">
        <f aca="false">2/(p_EmaF+1)*E280+(1-2/(p_EmaF+1))*H279</f>
        <v>27.2584028669792</v>
      </c>
      <c r="I280" s="40" t="n">
        <f aca="false">2/(p_EmaS+1)*E280+(1-2/(p_EmaS+1))*I279</f>
        <v>28.0155063014602</v>
      </c>
      <c r="J280" s="41" t="n">
        <f aca="false">2/(p_MacdF+1)*E280+(1-2/(p_MacdF+1))*J279</f>
        <v>27.1969744818727</v>
      </c>
      <c r="K280" s="41" t="n">
        <f aca="false">2/(p_MacdS+1)*E280+(1-2/(p_MacdS+1))*K279</f>
        <v>28.0155063014602</v>
      </c>
      <c r="L280" s="41" t="n">
        <f aca="false">J280-K280</f>
        <v>-0.818531819587527</v>
      </c>
      <c r="M280" s="41" t="n">
        <f aca="false">2/(p_MacdSig+1)*L280+(1-2/(p_MacdSig+1))*M279</f>
        <v>-0.857077366571253</v>
      </c>
      <c r="N280" s="41" t="n">
        <f aca="false">L280-M280</f>
        <v>0.0385455469837259</v>
      </c>
      <c r="O280" s="42" t="n">
        <f aca="false">IF(H280&gt;H279,1,0)</f>
        <v>1</v>
      </c>
      <c r="P280" s="42" t="n">
        <f aca="false">IF(H280&lt;H279,1,0)</f>
        <v>0</v>
      </c>
      <c r="Q280" s="42" t="n">
        <f aca="false">IF(N280&gt;N279,1,0)</f>
        <v>1</v>
      </c>
      <c r="R280" s="42" t="n">
        <f aca="false">IF(N280&lt;N279,1,0)</f>
        <v>0</v>
      </c>
      <c r="S280" s="42" t="n">
        <f aca="false">IF(AND(O280=1,Q280=1),1,IF(AND(P280=1,R280=1),-1,0))</f>
        <v>1</v>
      </c>
      <c r="T280" s="43" t="str">
        <f aca="false">IF(S280=1,"绿",IF(S280=-1,"红","蓝"))</f>
        <v>绿</v>
      </c>
      <c r="U280" s="44" t="n">
        <f aca="false">F280*(E280-E279)</f>
        <v>3306228</v>
      </c>
      <c r="V280" s="44" t="n">
        <f aca="false">2/(p_FiS+1)*U280+(1-2/(p_FiS+1))*V279</f>
        <v>2219248.92352705</v>
      </c>
      <c r="W280" s="44" t="n">
        <f aca="false">2/(p_FiL+1)*U280+(1-2/(p_FiL+1))*W279</f>
        <v>71663.7386598638</v>
      </c>
      <c r="X280" s="41" t="n">
        <f aca="false">MAX(C280-D280,ABS(C280-E279),ABS(D280-E279))</f>
        <v>0.790000000000003</v>
      </c>
      <c r="Y280" s="41" t="n">
        <f aca="true">AVERAGE(OFFSET(X280,1-MIN(p_AtrN,ROW()-4),0,MIN(p_AtrN,ROW()-4),1))</f>
        <v>0.692307692307692</v>
      </c>
      <c r="Z280" s="41" t="n">
        <f aca="false">IF(AND(C280-C279&gt;D279-D280,C280-C279&gt;0),C280-C279,0)</f>
        <v>0.650000000000002</v>
      </c>
      <c r="AA280" s="41" t="n">
        <f aca="false">IF(AND(D279-D280&gt;C280-C279,D279-D280&gt;0),D279-D280,0)</f>
        <v>0</v>
      </c>
      <c r="AB280" s="41" t="n">
        <f aca="false">2/(p_AdxN+1)*X280+(1-2/(p_AdxN+1))*AB279</f>
        <v>0.613662873594563</v>
      </c>
      <c r="AC280" s="41" t="n">
        <f aca="false">2/(p_AdxN+1)*Z280+(1-2/(p_AdxN+1))*AC279</f>
        <v>0.159593113245658</v>
      </c>
      <c r="AD280" s="41" t="n">
        <f aca="false">2/(p_AdxN+1)*AA280+(1-2/(p_AdxN+1))*AD279</f>
        <v>0.124292390414547</v>
      </c>
      <c r="AE280" s="45" t="n">
        <f aca="false">100*AC280/AB280</f>
        <v>26.0066430792584</v>
      </c>
      <c r="AF280" s="45" t="n">
        <f aca="false">100*AD280/AB280</f>
        <v>20.2541812064493</v>
      </c>
      <c r="AG280" s="45" t="n">
        <f aca="false">IFERROR(100*ABS(AE280-AF280)/(AE280+AF280),0)</f>
        <v>12.4348451667912</v>
      </c>
      <c r="AH280" s="45" t="n">
        <f aca="false">2/(p_AdxN+1)*AG280+(1-2/(p_AdxN+1))*AH279</f>
        <v>45.2430332096615</v>
      </c>
      <c r="AI280" s="40" t="n">
        <f aca="false">I280*(1+p_ChPct)</f>
        <v>29.6964366795478</v>
      </c>
      <c r="AJ280" s="40" t="n">
        <f aca="false">I280*(1-p_ChPct)</f>
        <v>26.3345759233726</v>
      </c>
      <c r="AK280" s="40" t="n">
        <f aca="false">I280+1*Y280</f>
        <v>28.7078139937679</v>
      </c>
      <c r="AL280" s="40" t="n">
        <f aca="false">I280+2*Y280</f>
        <v>29.4001216860756</v>
      </c>
      <c r="AM280" s="40" t="n">
        <f aca="false">I280+3*Y280</f>
        <v>30.0924293783833</v>
      </c>
      <c r="AN280" s="40" t="n">
        <f aca="false">I280-1*Y280</f>
        <v>27.3231986091525</v>
      </c>
      <c r="AO280" s="40" t="n">
        <f aca="false">I280-2*Y280</f>
        <v>26.6308909168448</v>
      </c>
      <c r="AP280" s="40" t="n">
        <f aca="false">I280-3*Y280</f>
        <v>25.9385832245371</v>
      </c>
      <c r="AQ280" s="40" t="n">
        <f aca="true">MAX(OFFSET(C280,1-MIN(p_StochN,ROW()-4),0,MIN(p_StochN,ROW()-4),1))</f>
        <v>27.51</v>
      </c>
      <c r="AR280" s="40" t="n">
        <f aca="true">MIN(OFFSET(D280,1-MIN(p_StochN,ROW()-4),0,MIN(p_StochN,ROW()-4),1))</f>
        <v>26.47</v>
      </c>
      <c r="AS280" s="45" t="n">
        <f aca="false">IF(AQ280=AR280,50,100*(E280-AR280)/(AQ280-AR280))</f>
        <v>93.2692307692308</v>
      </c>
      <c r="AT280" s="45" t="n">
        <f aca="true">AVERAGE(OFFSET(AS280,1-MIN(p_StochSm,ROW()-4),0,MIN(p_StochSm,ROW()-4),1))</f>
        <v>73.5131152372533</v>
      </c>
      <c r="AU280" s="45" t="n">
        <f aca="true">AVERAGE(OFFSET(AT280,1-MIN(p_StochSm,ROW()-4),0,MIN(p_StochSm,ROW()-4),1))</f>
        <v>69.5091871886672</v>
      </c>
      <c r="AV280" s="41" t="n">
        <f aca="false">MAX(0,H280-D280)</f>
        <v>0.538402866979169</v>
      </c>
      <c r="AW280" s="41" t="n">
        <f aca="true">IF(COUNTIF(OFFSET(AV280,1-MIN(p_PenLb,ROW()-4),0,MIN(p_PenLb,ROW()-4),1),"&gt;0")&gt;0,SUM(OFFSET(AV280,1-MIN(p_PenLb,ROW()-4),0,MIN(p_PenLb,ROW()-4),1))/COUNTIF(OFFSET(AV280,1-MIN(p_PenLb,ROW()-4),0,MIN(p_PenLb,ROW()-4),1),"&gt;0"),0.5*Y280)</f>
        <v>1.09392130653938</v>
      </c>
      <c r="AX280" s="41" t="n">
        <f aca="false">2*H280-H279</f>
        <v>27.288669055816</v>
      </c>
      <c r="AY280" s="40" t="n">
        <f aca="false">ROUND(MAX(AX280-AW280,0.01),2)</f>
        <v>26.19</v>
      </c>
      <c r="AZ280" s="40" t="n">
        <f aca="true">IF(MIN(p_StopLb,ROW()-4)&lt;2,D280,SMALL(OFFSET(D280,1-MIN(p_StopLb,ROW()-4),0,MIN(p_StopLb,ROW()-4),1),2))</f>
        <v>25.97</v>
      </c>
      <c r="BA280" s="40" t="n">
        <f aca="false">IF(MOD(ROUND(ROUNDDOWN(MIN(AZ280-0.01,AY280-p_StopAtr*Y280),2)*100,0),50)=0,ROUNDDOWN(MIN(AZ280-0.01,AY280-p_StopAtr*Y280),2)-0.01,ROUNDDOWN(MIN(AZ280-0.01,AY280-p_StopAtr*Y280),2))</f>
        <v>25.49</v>
      </c>
      <c r="BB280" s="40" t="n">
        <f aca="false">ROUND(AI280,2)</f>
        <v>29.7</v>
      </c>
      <c r="BC280" s="40" t="n">
        <f aca="false">IF(AY280-BA280&gt;0,(BB280-AY280)/(AY280-BA280),0)</f>
        <v>5.01428571428569</v>
      </c>
      <c r="BD280" s="42" t="n">
        <f aca="false">IF(N280&lt;0,1,0)</f>
        <v>0</v>
      </c>
      <c r="BE280" s="41" t="n">
        <f aca="false">IF(AND(BD280=1,BD279=0),N280,IF(BD280=1,MIN(BE279,N280),BE279))</f>
        <v>-0.356654552541767</v>
      </c>
      <c r="BF280" s="40" t="n">
        <f aca="false">IF(AND(BD280=1,BD279=0),D280,IF(BD280=1,MIN(BF279,D280),BF279))</f>
        <v>25.91</v>
      </c>
      <c r="BG280" s="42" t="n">
        <f aca="false">IF(AND(BD280=1,BD279=0),ROW(),IF(BD280=1,IF(N280&lt;BE279,ROW(),BG279),BG279))</f>
        <v>261</v>
      </c>
      <c r="BH280" s="41" t="n">
        <f aca="false">IF(AND(BD280=1,BD279=0),BE279,BH279)</f>
        <v>-0.153190541609803</v>
      </c>
      <c r="BI280" s="40" t="n">
        <f aca="false">IF(AND(BD280=1,BD279=0),BF279,BI279)</f>
        <v>27.9</v>
      </c>
      <c r="BJ280" s="42" t="n">
        <f aca="false">IF(AND(BD280=1,BD279=0),BG279,BJ279)</f>
        <v>226</v>
      </c>
      <c r="BK280" s="42" t="n">
        <f aca="false">IF(AND(ISNUMBER(BG280),ISNUMBER(BJ280)),BG280-BJ280,"")</f>
        <v>35</v>
      </c>
      <c r="BL280" s="42" t="n">
        <f aca="false">IF(AND(BD280=1,N280&gt;N279,ISNUMBER(BH280),ISNUMBER(BK280)),IF(AND(BE280&gt;BH280,BF280&lt;BI280,BK280&gt;=p_GapMin,BK280&lt;=p_GapMax),1,0),0)</f>
        <v>0</v>
      </c>
      <c r="BM280" s="42" t="n">
        <f aca="false">IF(AND(BL280=1,E280&gt;BI280),1,0)</f>
        <v>0</v>
      </c>
      <c r="BN280" s="42" t="n">
        <f aca="false">IF(BL280=1,IF(BE280&gt;=BH280*0.5,1,0),0)</f>
        <v>0</v>
      </c>
      <c r="BO280" s="42" t="n">
        <f aca="true">IF(V280&gt;MIN(OFFSET(V280,-MIN(p_FiLb-1,ROW()-5),0,MIN(p_FiLb-1,ROW()-5),1)),1,0)</f>
        <v>1</v>
      </c>
      <c r="BP280" s="44" t="n">
        <f aca="true">IF(COUNTIF(OFFSET(V280,1-MIN(100,ROW()-4),0,MIN(100,ROW()-4),1),"&lt;0")&gt;=5,AVERAGEIF(OFFSET(V280,1-MIN(100,ROW()-4),0,MIN(100,ROW()-4),1),"&lt;0"),"")</f>
        <v>-1091427.25408962</v>
      </c>
      <c r="BQ280" s="42" t="n">
        <f aca="false">IF(ISNUMBER(BP280),IF(AND(V280&lt;5*BP280,V280&gt;V279,E280&lt;AJ280),1,0),0)</f>
        <v>0</v>
      </c>
      <c r="BR280" s="44" t="n">
        <f aca="true">AVERAGE(OFFSET(F280,1-MIN(5,ROW()-4),0,MIN(5,ROW()-4),1))</f>
        <v>3655740</v>
      </c>
      <c r="BS280" s="42" t="n">
        <f aca="false">IFERROR(IF(MATCH(G280,周线!$A$5:$A$84,0)&lt;=1,"",INDEX(周线!$R$5:$R$84,MATCH(G280,周线!$A$5:$A$84,0)-1)),"")</f>
        <v>0</v>
      </c>
      <c r="BT280" s="42" t="n">
        <f aca="false">IFERROR(IF(MATCH(G280,周线!$A$5:$A$84,0)&lt;=1,"",INDEX(周线!$S$5:$S$84,MATCH(G280,周线!$A$5:$A$84,0)-1)),"")</f>
        <v>0</v>
      </c>
      <c r="BU280" s="42" t="n">
        <f aca="false">IFERROR(IF(MATCH(G280,周线!$A$5:$A$84,0)&lt;=1,"",INDEX(周线!$U$5:$U$84,MATCH(G280,周线!$A$5:$A$84,0)-1)),"")</f>
        <v>-1</v>
      </c>
      <c r="BV280" s="42" t="n">
        <f aca="false">IF(AND(BS280=1,S280&lt;&gt;-1,V280&lt;0,BO280=1,E280&lt;=H280,E280&gt;=AJ280),1,0)</f>
        <v>0</v>
      </c>
      <c r="BW280" s="42" t="n">
        <f aca="false">BL280</f>
        <v>0</v>
      </c>
      <c r="BX280" s="42" t="n">
        <f aca="false">BQ280</f>
        <v>0</v>
      </c>
      <c r="BY280" s="42" t="n">
        <f aca="false">IF(BS280=1,10,0)+IF(BU280=1,5,IF(BU280=-1,0,3))+IF(BT280=1,5,0)+IF(AND(AE280&gt;AF280,AH280&gt;AH279),5,0)</f>
        <v>0</v>
      </c>
      <c r="BZ280" s="42" t="n">
        <f aca="false">IF(AND(E280&lt;=H280,E280&gt;=I280),10,IF(AND(E280&gt;=AJ280,E280&lt;I280),6,0))+IF(AND(V280&lt;0,BO280=1),8,0)+IF(AT280&lt;30,7,IF(AT280&lt;50,3,0))</f>
        <v>6</v>
      </c>
      <c r="CA280" s="42" t="n">
        <f aca="false">IF(AND(BV280=1,BW280=1),25,IF(BW280=1,22,IF(BV280=1,15,IF(BX280=1,12,0))))</f>
        <v>0</v>
      </c>
      <c r="CB280" s="42" t="n">
        <f aca="false">IF(W280&gt;0,6,0)+IF(F280&lt;BR280,4,0)</f>
        <v>6</v>
      </c>
      <c r="CC280" s="42" t="n">
        <f aca="false">IF(BC280&gt;=3,15,IF(BC280&gt;=p_RRmin,10,IF(BC280&gt;=1.5,4,0)))</f>
        <v>15</v>
      </c>
      <c r="CD280" s="42" t="n">
        <f aca="false">BY280+BZ280+CA280+CB280+CC280</f>
        <v>27</v>
      </c>
      <c r="CE280" s="42" t="n">
        <f aca="false">IF(AND(BS280&lt;&gt;1,BW280+BX280=0),1,0)</f>
        <v>1</v>
      </c>
      <c r="CF280" s="42" t="n">
        <f aca="false">IF(BU280=-1,1,0)</f>
        <v>1</v>
      </c>
      <c r="CG280" s="42" t="n">
        <f aca="false">IF(S280=-1,1,0)</f>
        <v>0</v>
      </c>
      <c r="CH280" s="42" t="n">
        <f aca="false">IF(BV280+BW280+BX280=0,1,0)</f>
        <v>1</v>
      </c>
      <c r="CI280" s="42" t="n">
        <f aca="false">IF(BC280&lt;p_RRmin,1,0)</f>
        <v>0</v>
      </c>
      <c r="CJ280" s="46" t="str">
        <f aca="false">IF(SUM(CE280:CI280)=0,IF(CD280&gt;=p_GradeA,"A",IF(CD280&gt;=p_GradeB,"B","C")),IF(AND(CI280=1,SUM(CE280:CH280)=0,CD280&gt;=p_GradeB),"B","C"))</f>
        <v>C</v>
      </c>
    </row>
    <row r="281" customFormat="false" ht="15" hidden="false" customHeight="false" outlineLevel="0" collapsed="false">
      <c r="A281" s="36" t="n">
        <v>46045</v>
      </c>
      <c r="B281" s="37" t="n">
        <v>27.52</v>
      </c>
      <c r="C281" s="37" t="n">
        <v>27.63</v>
      </c>
      <c r="D281" s="37" t="n">
        <v>27.29</v>
      </c>
      <c r="E281" s="37" t="n">
        <v>27.4</v>
      </c>
      <c r="F281" s="38" t="n">
        <v>3801300</v>
      </c>
      <c r="G281" s="39" t="n">
        <f aca="false">A281-WEEKDAY(A281,3)</f>
        <v>46041</v>
      </c>
      <c r="H281" s="40" t="n">
        <f aca="false">2/(p_EmaF+1)*E281+(1-2/(p_EmaF+1))*H280</f>
        <v>27.2786310288393</v>
      </c>
      <c r="I281" s="40" t="n">
        <f aca="false">2/(p_EmaS+1)*E281+(1-2/(p_EmaS+1))*I280</f>
        <v>27.9699132420928</v>
      </c>
      <c r="J281" s="41" t="n">
        <f aca="false">2/(p_MacdF+1)*E281+(1-2/(p_MacdF+1))*J280</f>
        <v>27.2282091769692</v>
      </c>
      <c r="K281" s="41" t="n">
        <f aca="false">2/(p_MacdS+1)*E281+(1-2/(p_MacdS+1))*K280</f>
        <v>27.9699132420928</v>
      </c>
      <c r="L281" s="41" t="n">
        <f aca="false">J281-K281</f>
        <v>-0.741704065123592</v>
      </c>
      <c r="M281" s="41" t="n">
        <f aca="false">2/(p_MacdSig+1)*L281+(1-2/(p_MacdSig+1))*M280</f>
        <v>-0.834002706281721</v>
      </c>
      <c r="N281" s="41" t="n">
        <f aca="false">L281-M281</f>
        <v>0.0922986411581285</v>
      </c>
      <c r="O281" s="42" t="n">
        <f aca="false">IF(H281&gt;H280,1,0)</f>
        <v>1</v>
      </c>
      <c r="P281" s="42" t="n">
        <f aca="false">IF(H281&lt;H280,1,0)</f>
        <v>0</v>
      </c>
      <c r="Q281" s="42" t="n">
        <f aca="false">IF(N281&gt;N280,1,0)</f>
        <v>1</v>
      </c>
      <c r="R281" s="42" t="n">
        <f aca="false">IF(N281&lt;N280,1,0)</f>
        <v>0</v>
      </c>
      <c r="S281" s="42" t="n">
        <f aca="false">IF(AND(O281=1,Q281=1),1,IF(AND(P281=1,R281=1),-1,0))</f>
        <v>1</v>
      </c>
      <c r="T281" s="43" t="str">
        <f aca="false">IF(S281=1,"绿",IF(S281=-1,"红","蓝"))</f>
        <v>绿</v>
      </c>
      <c r="U281" s="44" t="n">
        <f aca="false">F281*(E281-E280)</f>
        <v>-152052.00000001</v>
      </c>
      <c r="V281" s="44" t="n">
        <f aca="false">2/(p_FiS+1)*U281+(1-2/(p_FiS+1))*V280</f>
        <v>638381.641175677</v>
      </c>
      <c r="W281" s="44" t="n">
        <f aca="false">2/(p_FiL+1)*U281+(1-2/(p_FiL+1))*W280</f>
        <v>39704.347422739</v>
      </c>
      <c r="X281" s="41" t="n">
        <f aca="false">MAX(C281-D281,ABS(C281-E280),ABS(D281-E280))</f>
        <v>0.34</v>
      </c>
      <c r="Y281" s="41" t="n">
        <f aca="true">AVERAGE(OFFSET(X281,1-MIN(p_AtrN,ROW()-4),0,MIN(p_AtrN,ROW()-4),1))</f>
        <v>0.677692307692307</v>
      </c>
      <c r="Z281" s="41" t="n">
        <f aca="false">IF(AND(C281-C280&gt;D280-D281,C281-C280&gt;0),C281-C280,0)</f>
        <v>0.119999999999997</v>
      </c>
      <c r="AA281" s="41" t="n">
        <f aca="false">IF(AND(D280-D281&gt;C281-C280,D280-D281&gt;0),D280-D281,0)</f>
        <v>0</v>
      </c>
      <c r="AB281" s="41" t="n">
        <f aca="false">2/(p_AdxN+1)*X281+(1-2/(p_AdxN+1))*AB280</f>
        <v>0.574568177366768</v>
      </c>
      <c r="AC281" s="41" t="n">
        <f aca="false">2/(p_AdxN+1)*Z281+(1-2/(p_AdxN+1))*AC280</f>
        <v>0.153936954210564</v>
      </c>
      <c r="AD281" s="41" t="n">
        <f aca="false">2/(p_AdxN+1)*AA281+(1-2/(p_AdxN+1))*AD280</f>
        <v>0.10653633464104</v>
      </c>
      <c r="AE281" s="45" t="n">
        <f aca="false">100*AC281/AB281</f>
        <v>26.7917647155562</v>
      </c>
      <c r="AF281" s="45" t="n">
        <f aca="false">100*AD281/AB281</f>
        <v>18.5419831514675</v>
      </c>
      <c r="AG281" s="45" t="n">
        <f aca="false">IFERROR(100*ABS(AE281-AF281)/(AE281+AF281),0)</f>
        <v>18.1978811641331</v>
      </c>
      <c r="AH281" s="45" t="n">
        <f aca="false">2/(p_AdxN+1)*AG281+(1-2/(p_AdxN+1))*AH280</f>
        <v>41.3794400603003</v>
      </c>
      <c r="AI281" s="40" t="n">
        <f aca="false">I281*(1+p_ChPct)</f>
        <v>29.6481080366183</v>
      </c>
      <c r="AJ281" s="40" t="n">
        <f aca="false">I281*(1-p_ChPct)</f>
        <v>26.2917184475672</v>
      </c>
      <c r="AK281" s="40" t="n">
        <f aca="false">I281+1*Y281</f>
        <v>28.6476055497851</v>
      </c>
      <c r="AL281" s="40" t="n">
        <f aca="false">I281+2*Y281</f>
        <v>29.3252978574774</v>
      </c>
      <c r="AM281" s="40" t="n">
        <f aca="false">I281+3*Y281</f>
        <v>30.0029901651697</v>
      </c>
      <c r="AN281" s="40" t="n">
        <f aca="false">I281-1*Y281</f>
        <v>27.2922209344005</v>
      </c>
      <c r="AO281" s="40" t="n">
        <f aca="false">I281-2*Y281</f>
        <v>26.6145286267082</v>
      </c>
      <c r="AP281" s="40" t="n">
        <f aca="false">I281-3*Y281</f>
        <v>25.9368363190159</v>
      </c>
      <c r="AQ281" s="40" t="n">
        <f aca="true">MAX(OFFSET(C281,1-MIN(p_StochN,ROW()-4),0,MIN(p_StochN,ROW()-4),1))</f>
        <v>27.63</v>
      </c>
      <c r="AR281" s="40" t="n">
        <f aca="true">MIN(OFFSET(D281,1-MIN(p_StochN,ROW()-4),0,MIN(p_StochN,ROW()-4),1))</f>
        <v>26.53</v>
      </c>
      <c r="AS281" s="45" t="n">
        <f aca="false">IF(AQ281=AR281,50,100*(E281-AR281)/(AQ281-AR281))</f>
        <v>79.090909090909</v>
      </c>
      <c r="AT281" s="45" t="n">
        <f aca="true">AVERAGE(OFFSET(AS281,1-MIN(p_StochSm,ROW()-4),0,MIN(p_StochSm,ROW()-4),1))</f>
        <v>77.3767516008896</v>
      </c>
      <c r="AU281" s="45" t="n">
        <f aca="true">AVERAGE(OFFSET(AT281,1-MIN(p_StochSm,ROW()-4),0,MIN(p_StochSm,ROW()-4),1))</f>
        <v>71.4747831989212</v>
      </c>
      <c r="AV281" s="41" t="n">
        <f aca="false">MAX(0,H281-D281)</f>
        <v>0</v>
      </c>
      <c r="AW281" s="41" t="n">
        <f aca="true">IF(COUNTIF(OFFSET(AV281,1-MIN(p_PenLb,ROW()-4),0,MIN(p_PenLb,ROW()-4),1),"&gt;0")&gt;0,SUM(OFFSET(AV281,1-MIN(p_PenLb,ROW()-4),0,MIN(p_PenLb,ROW()-4),1))/COUNTIF(OFFSET(AV281,1-MIN(p_PenLb,ROW()-4),0,MIN(p_PenLb,ROW()-4),1),"&gt;0"),0.5*Y281)</f>
        <v>1.13017447278431</v>
      </c>
      <c r="AX281" s="41" t="n">
        <f aca="false">2*H281-H280</f>
        <v>27.2988591906994</v>
      </c>
      <c r="AY281" s="40" t="n">
        <f aca="false">ROUND(MAX(AX281-AW281,0.01),2)</f>
        <v>26.17</v>
      </c>
      <c r="AZ281" s="40" t="n">
        <f aca="true">IF(MIN(p_StopLb,ROW()-4)&lt;2,D281,SMALL(OFFSET(D281,1-MIN(p_StopLb,ROW()-4),0,MIN(p_StopLb,ROW()-4),1),2))</f>
        <v>25.97</v>
      </c>
      <c r="BA281" s="40" t="n">
        <f aca="false">IF(MOD(ROUND(ROUNDDOWN(MIN(AZ281-0.01,AY281-p_StopAtr*Y281),2)*100,0),50)=0,ROUNDDOWN(MIN(AZ281-0.01,AY281-p_StopAtr*Y281),2)-0.01,ROUNDDOWN(MIN(AZ281-0.01,AY281-p_StopAtr*Y281),2))</f>
        <v>25.49</v>
      </c>
      <c r="BB281" s="40" t="n">
        <f aca="false">ROUND(AI281,2)</f>
        <v>29.65</v>
      </c>
      <c r="BC281" s="40" t="n">
        <f aca="false">IF(AY281-BA281&gt;0,(BB281-AY281)/(AY281-BA281),0)</f>
        <v>5.1176470588235</v>
      </c>
      <c r="BD281" s="42" t="n">
        <f aca="false">IF(N281&lt;0,1,0)</f>
        <v>0</v>
      </c>
      <c r="BE281" s="41" t="n">
        <f aca="false">IF(AND(BD281=1,BD280=0),N281,IF(BD281=1,MIN(BE280,N281),BE280))</f>
        <v>-0.356654552541767</v>
      </c>
      <c r="BF281" s="40" t="n">
        <f aca="false">IF(AND(BD281=1,BD280=0),D281,IF(BD281=1,MIN(BF280,D281),BF280))</f>
        <v>25.91</v>
      </c>
      <c r="BG281" s="42" t="n">
        <f aca="false">IF(AND(BD281=1,BD280=0),ROW(),IF(BD281=1,IF(N281&lt;BE280,ROW(),BG280),BG280))</f>
        <v>261</v>
      </c>
      <c r="BH281" s="41" t="n">
        <f aca="false">IF(AND(BD281=1,BD280=0),BE280,BH280)</f>
        <v>-0.153190541609803</v>
      </c>
      <c r="BI281" s="40" t="n">
        <f aca="false">IF(AND(BD281=1,BD280=0),BF280,BI280)</f>
        <v>27.9</v>
      </c>
      <c r="BJ281" s="42" t="n">
        <f aca="false">IF(AND(BD281=1,BD280=0),BG280,BJ280)</f>
        <v>226</v>
      </c>
      <c r="BK281" s="42" t="n">
        <f aca="false">IF(AND(ISNUMBER(BG281),ISNUMBER(BJ281)),BG281-BJ281,"")</f>
        <v>35</v>
      </c>
      <c r="BL281" s="42" t="n">
        <f aca="false">IF(AND(BD281=1,N281&gt;N280,ISNUMBER(BH281),ISNUMBER(BK281)),IF(AND(BE281&gt;BH281,BF281&lt;BI281,BK281&gt;=p_GapMin,BK281&lt;=p_GapMax),1,0),0)</f>
        <v>0</v>
      </c>
      <c r="BM281" s="42" t="n">
        <f aca="false">IF(AND(BL281=1,E281&gt;BI281),1,0)</f>
        <v>0</v>
      </c>
      <c r="BN281" s="42" t="n">
        <f aca="false">IF(BL281=1,IF(BE281&gt;=BH281*0.5,1,0),0)</f>
        <v>0</v>
      </c>
      <c r="BO281" s="42" t="n">
        <f aca="true">IF(V281&gt;MIN(OFFSET(V281,-MIN(p_FiLb-1,ROW()-5),0,MIN(p_FiLb-1,ROW()-5),1)),1,0)</f>
        <v>1</v>
      </c>
      <c r="BP281" s="44" t="n">
        <f aca="true">IF(COUNTIF(OFFSET(V281,1-MIN(100,ROW()-4),0,MIN(100,ROW()-4),1),"&lt;0")&gt;=5,AVERAGEIF(OFFSET(V281,1-MIN(100,ROW()-4),0,MIN(100,ROW()-4),1),"&lt;0"),"")</f>
        <v>-1109552.68476155</v>
      </c>
      <c r="BQ281" s="42" t="n">
        <f aca="false">IF(ISNUMBER(BP281),IF(AND(V281&lt;5*BP281,V281&gt;V280,E281&lt;AJ281),1,0),0)</f>
        <v>0</v>
      </c>
      <c r="BR281" s="44" t="n">
        <f aca="true">AVERAGE(OFFSET(F281,1-MIN(5,ROW()-4),0,MIN(5,ROW()-4),1))</f>
        <v>3779740</v>
      </c>
      <c r="BS281" s="42" t="n">
        <f aca="false">IFERROR(IF(MATCH(G281,周线!$A$5:$A$84,0)&lt;=1,"",INDEX(周线!$R$5:$R$84,MATCH(G281,周线!$A$5:$A$84,0)-1)),"")</f>
        <v>0</v>
      </c>
      <c r="BT281" s="42" t="n">
        <f aca="false">IFERROR(IF(MATCH(G281,周线!$A$5:$A$84,0)&lt;=1,"",INDEX(周线!$S$5:$S$84,MATCH(G281,周线!$A$5:$A$84,0)-1)),"")</f>
        <v>0</v>
      </c>
      <c r="BU281" s="42" t="n">
        <f aca="false">IFERROR(IF(MATCH(G281,周线!$A$5:$A$84,0)&lt;=1,"",INDEX(周线!$U$5:$U$84,MATCH(G281,周线!$A$5:$A$84,0)-1)),"")</f>
        <v>-1</v>
      </c>
      <c r="BV281" s="42" t="n">
        <f aca="false">IF(AND(BS281=1,S281&lt;&gt;-1,V281&lt;0,BO281=1,E281&lt;=H281,E281&gt;=AJ281),1,0)</f>
        <v>0</v>
      </c>
      <c r="BW281" s="42" t="n">
        <f aca="false">BL281</f>
        <v>0</v>
      </c>
      <c r="BX281" s="42" t="n">
        <f aca="false">BQ281</f>
        <v>0</v>
      </c>
      <c r="BY281" s="42" t="n">
        <f aca="false">IF(BS281=1,10,0)+IF(BU281=1,5,IF(BU281=-1,0,3))+IF(BT281=1,5,0)+IF(AND(AE281&gt;AF281,AH281&gt;AH280),5,0)</f>
        <v>0</v>
      </c>
      <c r="BZ281" s="42" t="n">
        <f aca="false">IF(AND(E281&lt;=H281,E281&gt;=I281),10,IF(AND(E281&gt;=AJ281,E281&lt;I281),6,0))+IF(AND(V281&lt;0,BO281=1),8,0)+IF(AT281&lt;30,7,IF(AT281&lt;50,3,0))</f>
        <v>6</v>
      </c>
      <c r="CA281" s="42" t="n">
        <f aca="false">IF(AND(BV281=1,BW281=1),25,IF(BW281=1,22,IF(BV281=1,15,IF(BX281=1,12,0))))</f>
        <v>0</v>
      </c>
      <c r="CB281" s="42" t="n">
        <f aca="false">IF(W281&gt;0,6,0)+IF(F281&lt;BR281,4,0)</f>
        <v>6</v>
      </c>
      <c r="CC281" s="42" t="n">
        <f aca="false">IF(BC281&gt;=3,15,IF(BC281&gt;=p_RRmin,10,IF(BC281&gt;=1.5,4,0)))</f>
        <v>15</v>
      </c>
      <c r="CD281" s="42" t="n">
        <f aca="false">BY281+BZ281+CA281+CB281+CC281</f>
        <v>27</v>
      </c>
      <c r="CE281" s="42" t="n">
        <f aca="false">IF(AND(BS281&lt;&gt;1,BW281+BX281=0),1,0)</f>
        <v>1</v>
      </c>
      <c r="CF281" s="42" t="n">
        <f aca="false">IF(BU281=-1,1,0)</f>
        <v>1</v>
      </c>
      <c r="CG281" s="42" t="n">
        <f aca="false">IF(S281=-1,1,0)</f>
        <v>0</v>
      </c>
      <c r="CH281" s="42" t="n">
        <f aca="false">IF(BV281+BW281+BX281=0,1,0)</f>
        <v>1</v>
      </c>
      <c r="CI281" s="42" t="n">
        <f aca="false">IF(BC281&lt;p_RRmin,1,0)</f>
        <v>0</v>
      </c>
      <c r="CJ281" s="46" t="str">
        <f aca="false">IF(SUM(CE281:CI281)=0,IF(CD281&gt;=p_GradeA,"A",IF(CD281&gt;=p_GradeB,"B","C")),IF(AND(CI281=1,SUM(CE281:CH281)=0,CD281&gt;=p_GradeB),"B","C"))</f>
        <v>C</v>
      </c>
    </row>
    <row r="282" customFormat="false" ht="15" hidden="false" customHeight="false" outlineLevel="0" collapsed="false">
      <c r="A282" s="36" t="n">
        <v>46048</v>
      </c>
      <c r="B282" s="37" t="n">
        <v>27.47</v>
      </c>
      <c r="C282" s="37" t="n">
        <v>27.7</v>
      </c>
      <c r="D282" s="37" t="n">
        <v>26.6</v>
      </c>
      <c r="E282" s="37" t="n">
        <v>26.98</v>
      </c>
      <c r="F282" s="38" t="n">
        <v>3301700</v>
      </c>
      <c r="G282" s="39" t="n">
        <f aca="false">A282-WEEKDAY(A282,3)</f>
        <v>46048</v>
      </c>
      <c r="H282" s="40" t="n">
        <f aca="false">2/(p_EmaF+1)*E282+(1-2/(p_EmaF+1))*H281</f>
        <v>27.2359694532908</v>
      </c>
      <c r="I282" s="40" t="n">
        <f aca="false">2/(p_EmaS+1)*E282+(1-2/(p_EmaS+1))*I281</f>
        <v>27.8965863352711</v>
      </c>
      <c r="J282" s="41" t="n">
        <f aca="false">2/(p_MacdF+1)*E282+(1-2/(p_MacdF+1))*J281</f>
        <v>27.1900231497432</v>
      </c>
      <c r="K282" s="41" t="n">
        <f aca="false">2/(p_MacdS+1)*E282+(1-2/(p_MacdS+1))*K281</f>
        <v>27.8965863352711</v>
      </c>
      <c r="L282" s="41" t="n">
        <f aca="false">J282-K282</f>
        <v>-0.706563185527934</v>
      </c>
      <c r="M282" s="41" t="n">
        <f aca="false">2/(p_MacdSig+1)*L282+(1-2/(p_MacdSig+1))*M281</f>
        <v>-0.808514802130963</v>
      </c>
      <c r="N282" s="41" t="n">
        <f aca="false">L282-M282</f>
        <v>0.10195161660303</v>
      </c>
      <c r="O282" s="42" t="n">
        <f aca="false">IF(H282&gt;H281,1,0)</f>
        <v>0</v>
      </c>
      <c r="P282" s="42" t="n">
        <f aca="false">IF(H282&lt;H281,1,0)</f>
        <v>1</v>
      </c>
      <c r="Q282" s="42" t="n">
        <f aca="false">IF(N282&gt;N281,1,0)</f>
        <v>1</v>
      </c>
      <c r="R282" s="42" t="n">
        <f aca="false">IF(N282&lt;N281,1,0)</f>
        <v>0</v>
      </c>
      <c r="S282" s="42" t="n">
        <f aca="false">IF(AND(O282=1,Q282=1),1,IF(AND(P282=1,R282=1),-1,0))</f>
        <v>0</v>
      </c>
      <c r="T282" s="43" t="str">
        <f aca="false">IF(S282=1,"绿",IF(S282=-1,"红","蓝"))</f>
        <v>蓝</v>
      </c>
      <c r="U282" s="44" t="n">
        <f aca="false">F282*(E282-E281)</f>
        <v>-1386713.99999999</v>
      </c>
      <c r="V282" s="44" t="n">
        <f aca="false">2/(p_FiS+1)*U282+(1-2/(p_FiS+1))*V281</f>
        <v>-711682.119608104</v>
      </c>
      <c r="W282" s="44" t="n">
        <f aca="false">2/(p_FiL+1)*U282+(1-2/(p_FiL+1))*W281</f>
        <v>-164069.70220908</v>
      </c>
      <c r="X282" s="41" t="n">
        <f aca="false">MAX(C282-D282,ABS(C282-E281),ABS(D282-E281))</f>
        <v>1.1</v>
      </c>
      <c r="Y282" s="41" t="n">
        <f aca="true">AVERAGE(OFFSET(X282,1-MIN(p_AtrN,ROW()-4),0,MIN(p_AtrN,ROW()-4),1))</f>
        <v>0.7</v>
      </c>
      <c r="Z282" s="41" t="n">
        <f aca="false">IF(AND(C282-C281&gt;D281-D282,C282-C281&gt;0),C282-C281,0)</f>
        <v>0</v>
      </c>
      <c r="AA282" s="41" t="n">
        <f aca="false">IF(AND(D281-D282&gt;C282-C281,D281-D282&gt;0),D281-D282,0)</f>
        <v>0.689999999999998</v>
      </c>
      <c r="AB282" s="41" t="n">
        <f aca="false">2/(p_AdxN+1)*X282+(1-2/(p_AdxN+1))*AB281</f>
        <v>0.649629866314373</v>
      </c>
      <c r="AC282" s="41" t="n">
        <f aca="false">2/(p_AdxN+1)*Z282+(1-2/(p_AdxN+1))*AC281</f>
        <v>0.131945960751912</v>
      </c>
      <c r="AD282" s="41" t="n">
        <f aca="false">2/(p_AdxN+1)*AA282+(1-2/(p_AdxN+1))*AD281</f>
        <v>0.189888286835177</v>
      </c>
      <c r="AE282" s="45" t="n">
        <f aca="false">100*AC282/AB282</f>
        <v>20.3109443690602</v>
      </c>
      <c r="AF282" s="45" t="n">
        <f aca="false">100*AD282/AB282</f>
        <v>29.2302273466111</v>
      </c>
      <c r="AG282" s="45" t="n">
        <f aca="false">IFERROR(100*ABS(AE282-AF282)/(AE282+AF282),0)</f>
        <v>18.0037788139951</v>
      </c>
      <c r="AH282" s="45" t="n">
        <f aca="false">2/(p_AdxN+1)*AG282+(1-2/(p_AdxN+1))*AH281</f>
        <v>38.0400598822567</v>
      </c>
      <c r="AI282" s="40" t="n">
        <f aca="false">I282*(1+p_ChPct)</f>
        <v>29.5703815153874</v>
      </c>
      <c r="AJ282" s="40" t="n">
        <f aca="false">I282*(1-p_ChPct)</f>
        <v>26.2227911551548</v>
      </c>
      <c r="AK282" s="40" t="n">
        <f aca="false">I282+1*Y282</f>
        <v>28.5965863352711</v>
      </c>
      <c r="AL282" s="40" t="n">
        <f aca="false">I282+2*Y282</f>
        <v>29.2965863352711</v>
      </c>
      <c r="AM282" s="40" t="n">
        <f aca="false">I282+3*Y282</f>
        <v>29.9965863352711</v>
      </c>
      <c r="AN282" s="40" t="n">
        <f aca="false">I282-1*Y282</f>
        <v>27.1965863352711</v>
      </c>
      <c r="AO282" s="40" t="n">
        <f aca="false">I282-2*Y282</f>
        <v>26.4965863352711</v>
      </c>
      <c r="AP282" s="40" t="n">
        <f aca="false">I282-3*Y282</f>
        <v>25.7965863352711</v>
      </c>
      <c r="AQ282" s="40" t="n">
        <f aca="true">MAX(OFFSET(C282,1-MIN(p_StochN,ROW()-4),0,MIN(p_StochN,ROW()-4),1))</f>
        <v>27.7</v>
      </c>
      <c r="AR282" s="40" t="n">
        <f aca="true">MIN(OFFSET(D282,1-MIN(p_StochN,ROW()-4),0,MIN(p_StochN,ROW()-4),1))</f>
        <v>26.53</v>
      </c>
      <c r="AS282" s="45" t="n">
        <f aca="false">IF(AQ282=AR282,50,100*(E282-AR282)/(AQ282-AR282))</f>
        <v>38.4615384615385</v>
      </c>
      <c r="AT282" s="45" t="n">
        <f aca="true">AVERAGE(OFFSET(AS282,1-MIN(p_StochSm,ROW()-4),0,MIN(p_StochSm,ROW()-4),1))</f>
        <v>70.2738927738927</v>
      </c>
      <c r="AU282" s="45" t="n">
        <f aca="true">AVERAGE(OFFSET(AT282,1-MIN(p_StochSm,ROW()-4),0,MIN(p_StochSm,ROW()-4),1))</f>
        <v>73.7212532040119</v>
      </c>
      <c r="AV282" s="41" t="n">
        <f aca="false">MAX(0,H282-D282)</f>
        <v>0.635969453290819</v>
      </c>
      <c r="AW282" s="41" t="n">
        <f aca="true">IF(COUNTIF(OFFSET(AV282,1-MIN(p_PenLb,ROW()-4),0,MIN(p_PenLb,ROW()-4),1),"&gt;0")&gt;0,SUM(OFFSET(AV282,1-MIN(p_PenLb,ROW()-4),0,MIN(p_PenLb,ROW()-4),1))/COUNTIF(OFFSET(AV282,1-MIN(p_PenLb,ROW()-4),0,MIN(p_PenLb,ROW()-4),1),"&gt;0"),0.5*Y282)</f>
        <v>1.13917107012626</v>
      </c>
      <c r="AX282" s="41" t="n">
        <f aca="false">2*H282-H281</f>
        <v>27.1933078777424</v>
      </c>
      <c r="AY282" s="40" t="n">
        <f aca="false">ROUND(MAX(AX282-AW282,0.01),2)</f>
        <v>26.05</v>
      </c>
      <c r="AZ282" s="40" t="n">
        <f aca="true">IF(MIN(p_StopLb,ROW()-4)&lt;2,D282,SMALL(OFFSET(D282,1-MIN(p_StopLb,ROW()-4),0,MIN(p_StopLb,ROW()-4),1),2))</f>
        <v>25.97</v>
      </c>
      <c r="BA282" s="40" t="n">
        <f aca="false">IF(MOD(ROUND(ROUNDDOWN(MIN(AZ282-0.01,AY282-p_StopAtr*Y282),2)*100,0),50)=0,ROUNDDOWN(MIN(AZ282-0.01,AY282-p_StopAtr*Y282),2)-0.01,ROUNDDOWN(MIN(AZ282-0.01,AY282-p_StopAtr*Y282),2))</f>
        <v>25.35</v>
      </c>
      <c r="BB282" s="40" t="n">
        <f aca="false">ROUND(AI282,2)</f>
        <v>29.57</v>
      </c>
      <c r="BC282" s="40" t="n">
        <f aca="false">IF(AY282-BA282&gt;0,(BB282-AY282)/(AY282-BA282),0)</f>
        <v>5.02857142857143</v>
      </c>
      <c r="BD282" s="42" t="n">
        <f aca="false">IF(N282&lt;0,1,0)</f>
        <v>0</v>
      </c>
      <c r="BE282" s="41" t="n">
        <f aca="false">IF(AND(BD282=1,BD281=0),N282,IF(BD282=1,MIN(BE281,N282),BE281))</f>
        <v>-0.356654552541767</v>
      </c>
      <c r="BF282" s="40" t="n">
        <f aca="false">IF(AND(BD282=1,BD281=0),D282,IF(BD282=1,MIN(BF281,D282),BF281))</f>
        <v>25.91</v>
      </c>
      <c r="BG282" s="42" t="n">
        <f aca="false">IF(AND(BD282=1,BD281=0),ROW(),IF(BD282=1,IF(N282&lt;BE281,ROW(),BG281),BG281))</f>
        <v>261</v>
      </c>
      <c r="BH282" s="41" t="n">
        <f aca="false">IF(AND(BD282=1,BD281=0),BE281,BH281)</f>
        <v>-0.153190541609803</v>
      </c>
      <c r="BI282" s="40" t="n">
        <f aca="false">IF(AND(BD282=1,BD281=0),BF281,BI281)</f>
        <v>27.9</v>
      </c>
      <c r="BJ282" s="42" t="n">
        <f aca="false">IF(AND(BD282=1,BD281=0),BG281,BJ281)</f>
        <v>226</v>
      </c>
      <c r="BK282" s="42" t="n">
        <f aca="false">IF(AND(ISNUMBER(BG282),ISNUMBER(BJ282)),BG282-BJ282,"")</f>
        <v>35</v>
      </c>
      <c r="BL282" s="42" t="n">
        <f aca="false">IF(AND(BD282=1,N282&gt;N281,ISNUMBER(BH282),ISNUMBER(BK282)),IF(AND(BE282&gt;BH282,BF282&lt;BI282,BK282&gt;=p_GapMin,BK282&lt;=p_GapMax),1,0),0)</f>
        <v>0</v>
      </c>
      <c r="BM282" s="42" t="n">
        <f aca="false">IF(AND(BL282=1,E282&gt;BI282),1,0)</f>
        <v>0</v>
      </c>
      <c r="BN282" s="42" t="n">
        <f aca="false">IF(BL282=1,IF(BE282&gt;=BH282*0.5,1,0),0)</f>
        <v>0</v>
      </c>
      <c r="BO282" s="42" t="n">
        <f aca="true">IF(V282&gt;MIN(OFFSET(V282,-MIN(p_FiLb-1,ROW()-5),0,MIN(p_FiLb-1,ROW()-5),1)),1,0)</f>
        <v>1</v>
      </c>
      <c r="BP282" s="44" t="n">
        <f aca="true">IF(COUNTIF(OFFSET(V282,1-MIN(100,ROW()-4),0,MIN(100,ROW()-4),1),"&lt;0")&gt;=5,AVERAGEIF(OFFSET(V282,1-MIN(100,ROW()-4),0,MIN(100,ROW()-4),1),"&lt;0"),"")</f>
        <v>-1100903.32464951</v>
      </c>
      <c r="BQ282" s="42" t="n">
        <f aca="false">IF(ISNUMBER(BP282),IF(AND(V282&lt;5*BP282,V282&gt;V281,E282&lt;AJ282),1,0),0)</f>
        <v>0</v>
      </c>
      <c r="BR282" s="44" t="n">
        <f aca="true">AVERAGE(OFFSET(F282,1-MIN(5,ROW()-4),0,MIN(5,ROW()-4),1))</f>
        <v>3577340</v>
      </c>
      <c r="BS282" s="42" t="n">
        <f aca="false">IFERROR(IF(MATCH(G282,周线!$A$5:$A$84,0)&lt;=1,"",INDEX(周线!$R$5:$R$84,MATCH(G282,周线!$A$5:$A$84,0)-1)),"")</f>
        <v>1</v>
      </c>
      <c r="BT282" s="42" t="n">
        <f aca="false">IFERROR(IF(MATCH(G282,周线!$A$5:$A$84,0)&lt;=1,"",INDEX(周线!$S$5:$S$84,MATCH(G282,周线!$A$5:$A$84,0)-1)),"")</f>
        <v>0</v>
      </c>
      <c r="BU282" s="42" t="n">
        <f aca="false">IFERROR(IF(MATCH(G282,周线!$A$5:$A$84,0)&lt;=1,"",INDEX(周线!$U$5:$U$84,MATCH(G282,周线!$A$5:$A$84,0)-1)),"")</f>
        <v>-1</v>
      </c>
      <c r="BV282" s="42" t="n">
        <f aca="false">IF(AND(BS282=1,S282&lt;&gt;-1,V282&lt;0,BO282=1,E282&lt;=H282,E282&gt;=AJ282),1,0)</f>
        <v>1</v>
      </c>
      <c r="BW282" s="42" t="n">
        <f aca="false">BL282</f>
        <v>0</v>
      </c>
      <c r="BX282" s="42" t="n">
        <f aca="false">BQ282</f>
        <v>0</v>
      </c>
      <c r="BY282" s="42" t="n">
        <f aca="false">IF(BS282=1,10,0)+IF(BU282=1,5,IF(BU282=-1,0,3))+IF(BT282=1,5,0)+IF(AND(AE282&gt;AF282,AH282&gt;AH281),5,0)</f>
        <v>10</v>
      </c>
      <c r="BZ282" s="42" t="n">
        <f aca="false">IF(AND(E282&lt;=H282,E282&gt;=I282),10,IF(AND(E282&gt;=AJ282,E282&lt;I282),6,0))+IF(AND(V282&lt;0,BO282=1),8,0)+IF(AT282&lt;30,7,IF(AT282&lt;50,3,0))</f>
        <v>14</v>
      </c>
      <c r="CA282" s="42" t="n">
        <f aca="false">IF(AND(BV282=1,BW282=1),25,IF(BW282=1,22,IF(BV282=1,15,IF(BX282=1,12,0))))</f>
        <v>15</v>
      </c>
      <c r="CB282" s="42" t="n">
        <f aca="false">IF(W282&gt;0,6,0)+IF(F282&lt;BR282,4,0)</f>
        <v>4</v>
      </c>
      <c r="CC282" s="42" t="n">
        <f aca="false">IF(BC282&gt;=3,15,IF(BC282&gt;=p_RRmin,10,IF(BC282&gt;=1.5,4,0)))</f>
        <v>15</v>
      </c>
      <c r="CD282" s="42" t="n">
        <f aca="false">BY282+BZ282+CA282+CB282+CC282</f>
        <v>58</v>
      </c>
      <c r="CE282" s="42" t="n">
        <f aca="false">IF(AND(BS282&lt;&gt;1,BW282+BX282=0),1,0)</f>
        <v>0</v>
      </c>
      <c r="CF282" s="42" t="n">
        <f aca="false">IF(BU282=-1,1,0)</f>
        <v>1</v>
      </c>
      <c r="CG282" s="42" t="n">
        <f aca="false">IF(S282=-1,1,0)</f>
        <v>0</v>
      </c>
      <c r="CH282" s="42" t="n">
        <f aca="false">IF(BV282+BW282+BX282=0,1,0)</f>
        <v>0</v>
      </c>
      <c r="CI282" s="42" t="n">
        <f aca="false">IF(BC282&lt;p_RRmin,1,0)</f>
        <v>0</v>
      </c>
      <c r="CJ282" s="46" t="str">
        <f aca="false">IF(SUM(CE282:CI282)=0,IF(CD282&gt;=p_GradeA,"A",IF(CD282&gt;=p_GradeB,"B","C")),IF(AND(CI282=1,SUM(CE282:CH282)=0,CD282&gt;=p_GradeB),"B","C"))</f>
        <v>C</v>
      </c>
    </row>
    <row r="283" customFormat="false" ht="15" hidden="false" customHeight="false" outlineLevel="0" collapsed="false">
      <c r="A283" s="36" t="n">
        <v>46049</v>
      </c>
      <c r="B283" s="37" t="n">
        <v>26.99</v>
      </c>
      <c r="C283" s="37" t="n">
        <v>27.54</v>
      </c>
      <c r="D283" s="37" t="n">
        <v>26.88</v>
      </c>
      <c r="E283" s="37" t="n">
        <v>27.42</v>
      </c>
      <c r="F283" s="38" t="n">
        <v>5050000</v>
      </c>
      <c r="G283" s="39" t="n">
        <f aca="false">A283-WEEKDAY(A283,3)</f>
        <v>46048</v>
      </c>
      <c r="H283" s="40" t="n">
        <f aca="false">2/(p_EmaF+1)*E283+(1-2/(p_EmaF+1))*H282</f>
        <v>27.2622595313921</v>
      </c>
      <c r="I283" s="40" t="n">
        <f aca="false">2/(p_EmaS+1)*E283+(1-2/(p_EmaS+1))*I282</f>
        <v>27.8612836437695</v>
      </c>
      <c r="J283" s="41" t="n">
        <f aca="false">2/(p_MacdF+1)*E283+(1-2/(p_MacdF+1))*J282</f>
        <v>27.2254042036288</v>
      </c>
      <c r="K283" s="41" t="n">
        <f aca="false">2/(p_MacdS+1)*E283+(1-2/(p_MacdS+1))*K282</f>
        <v>27.8612836437695</v>
      </c>
      <c r="L283" s="41" t="n">
        <f aca="false">J283-K283</f>
        <v>-0.635879440140705</v>
      </c>
      <c r="M283" s="41" t="n">
        <f aca="false">2/(p_MacdSig+1)*L283+(1-2/(p_MacdSig+1))*M282</f>
        <v>-0.773987729732912</v>
      </c>
      <c r="N283" s="41" t="n">
        <f aca="false">L283-M283</f>
        <v>0.138108289592206</v>
      </c>
      <c r="O283" s="42" t="n">
        <f aca="false">IF(H283&gt;H282,1,0)</f>
        <v>1</v>
      </c>
      <c r="P283" s="42" t="n">
        <f aca="false">IF(H283&lt;H282,1,0)</f>
        <v>0</v>
      </c>
      <c r="Q283" s="42" t="n">
        <f aca="false">IF(N283&gt;N282,1,0)</f>
        <v>1</v>
      </c>
      <c r="R283" s="42" t="n">
        <f aca="false">IF(N283&lt;N282,1,0)</f>
        <v>0</v>
      </c>
      <c r="S283" s="42" t="n">
        <f aca="false">IF(AND(O283=1,Q283=1),1,IF(AND(P283=1,R283=1),-1,0))</f>
        <v>1</v>
      </c>
      <c r="T283" s="43" t="str">
        <f aca="false">IF(S283=1,"绿",IF(S283=-1,"红","蓝"))</f>
        <v>绿</v>
      </c>
      <c r="U283" s="44" t="n">
        <f aca="false">F283*(E283-E282)</f>
        <v>2222000.00000001</v>
      </c>
      <c r="V283" s="44" t="n">
        <f aca="false">2/(p_FiS+1)*U283+(1-2/(p_FiS+1))*V282</f>
        <v>1244105.96013064</v>
      </c>
      <c r="W283" s="44" t="n">
        <f aca="false">2/(p_FiL+1)*U283+(1-2/(p_FiL+1))*W282</f>
        <v>176797.398106504</v>
      </c>
      <c r="X283" s="41" t="n">
        <f aca="false">MAX(C283-D283,ABS(C283-E282),ABS(D283-E282))</f>
        <v>0.66</v>
      </c>
      <c r="Y283" s="41" t="n">
        <f aca="true">AVERAGE(OFFSET(X283,1-MIN(p_AtrN,ROW()-4),0,MIN(p_AtrN,ROW()-4),1))</f>
        <v>0.678461538461538</v>
      </c>
      <c r="Z283" s="41" t="n">
        <f aca="false">IF(AND(C283-C282&gt;D282-D283,C283-C282&gt;0),C283-C282,0)</f>
        <v>0</v>
      </c>
      <c r="AA283" s="41" t="n">
        <f aca="false">IF(AND(D282-D283&gt;C283-C282,D282-D283&gt;0),D282-D283,0)</f>
        <v>0</v>
      </c>
      <c r="AB283" s="41" t="n">
        <f aca="false">2/(p_AdxN+1)*X283+(1-2/(p_AdxN+1))*AB282</f>
        <v>0.651111313983748</v>
      </c>
      <c r="AC283" s="41" t="n">
        <f aca="false">2/(p_AdxN+1)*Z283+(1-2/(p_AdxN+1))*AC282</f>
        <v>0.113096537787353</v>
      </c>
      <c r="AD283" s="41" t="n">
        <f aca="false">2/(p_AdxN+1)*AA283+(1-2/(p_AdxN+1))*AD282</f>
        <v>0.162761388715866</v>
      </c>
      <c r="AE283" s="45" t="n">
        <f aca="false">100*AC283/AB283</f>
        <v>17.3697700160339</v>
      </c>
      <c r="AF283" s="45" t="n">
        <f aca="false">100*AD283/AB283</f>
        <v>24.9974751198884</v>
      </c>
      <c r="AG283" s="45" t="n">
        <f aca="false">IFERROR(100*ABS(AE283-AF283)/(AE283+AF283),0)</f>
        <v>18.0037788139951</v>
      </c>
      <c r="AH283" s="45" t="n">
        <f aca="false">2/(p_AdxN+1)*AG283+(1-2/(p_AdxN+1))*AH282</f>
        <v>35.1777340153622</v>
      </c>
      <c r="AI283" s="40" t="n">
        <f aca="false">I283*(1+p_ChPct)</f>
        <v>29.5329606623957</v>
      </c>
      <c r="AJ283" s="40" t="n">
        <f aca="false">I283*(1-p_ChPct)</f>
        <v>26.1896066251434</v>
      </c>
      <c r="AK283" s="40" t="n">
        <f aca="false">I283+1*Y283</f>
        <v>28.5397451822311</v>
      </c>
      <c r="AL283" s="40" t="n">
        <f aca="false">I283+2*Y283</f>
        <v>29.2182067206926</v>
      </c>
      <c r="AM283" s="40" t="n">
        <f aca="false">I283+3*Y283</f>
        <v>29.8966682591541</v>
      </c>
      <c r="AN283" s="40" t="n">
        <f aca="false">I283-1*Y283</f>
        <v>27.182822105308</v>
      </c>
      <c r="AO283" s="40" t="n">
        <f aca="false">I283-2*Y283</f>
        <v>26.5043605668465</v>
      </c>
      <c r="AP283" s="40" t="n">
        <f aca="false">I283-3*Y283</f>
        <v>25.8258990283849</v>
      </c>
      <c r="AQ283" s="40" t="n">
        <f aca="true">MAX(OFFSET(C283,1-MIN(p_StochN,ROW()-4),0,MIN(p_StochN,ROW()-4),1))</f>
        <v>27.7</v>
      </c>
      <c r="AR283" s="40" t="n">
        <f aca="true">MIN(OFFSET(D283,1-MIN(p_StochN,ROW()-4),0,MIN(p_StochN,ROW()-4),1))</f>
        <v>26.6</v>
      </c>
      <c r="AS283" s="45" t="n">
        <f aca="false">IF(AQ283=AR283,50,100*(E283-AR283)/(AQ283-AR283))</f>
        <v>74.5454545454547</v>
      </c>
      <c r="AT283" s="45" t="n">
        <f aca="true">AVERAGE(OFFSET(AS283,1-MIN(p_StochSm,ROW()-4),0,MIN(p_StochSm,ROW()-4),1))</f>
        <v>64.0326340326341</v>
      </c>
      <c r="AU283" s="45" t="n">
        <f aca="true">AVERAGE(OFFSET(AT283,1-MIN(p_StochSm,ROW()-4),0,MIN(p_StochSm,ROW()-4),1))</f>
        <v>70.5610928024721</v>
      </c>
      <c r="AV283" s="41" t="n">
        <f aca="false">MAX(0,H283-D283)</f>
        <v>0.382259531392133</v>
      </c>
      <c r="AW283" s="41" t="n">
        <f aca="true">IF(COUNTIF(OFFSET(AV283,1-MIN(p_PenLb,ROW()-4),0,MIN(p_PenLb,ROW()-4),1),"&gt;0")&gt;0,SUM(OFFSET(AV283,1-MIN(p_PenLb,ROW()-4),0,MIN(p_PenLb,ROW()-4),1))/COUNTIF(OFFSET(AV283,1-MIN(p_PenLb,ROW()-4),0,MIN(p_PenLb,ROW()-4),1),"&gt;0"),0.5*Y283)</f>
        <v>1.13215337523709</v>
      </c>
      <c r="AX283" s="41" t="n">
        <f aca="false">2*H283-H282</f>
        <v>27.2885496094934</v>
      </c>
      <c r="AY283" s="40" t="n">
        <f aca="false">ROUND(MAX(AX283-AW283,0.01),2)</f>
        <v>26.16</v>
      </c>
      <c r="AZ283" s="40" t="n">
        <f aca="true">IF(MIN(p_StopLb,ROW()-4)&lt;2,D283,SMALL(OFFSET(D283,1-MIN(p_StopLb,ROW()-4),0,MIN(p_StopLb,ROW()-4),1),2))</f>
        <v>26.24</v>
      </c>
      <c r="BA283" s="40" t="n">
        <f aca="false">IF(MOD(ROUND(ROUNDDOWN(MIN(AZ283-0.01,AY283-p_StopAtr*Y283),2)*100,0),50)=0,ROUNDDOWN(MIN(AZ283-0.01,AY283-p_StopAtr*Y283),2)-0.01,ROUNDDOWN(MIN(AZ283-0.01,AY283-p_StopAtr*Y283),2))</f>
        <v>25.48</v>
      </c>
      <c r="BB283" s="40" t="n">
        <f aca="false">ROUND(AI283,2)</f>
        <v>29.53</v>
      </c>
      <c r="BC283" s="40" t="n">
        <f aca="false">IF(AY283-BA283&gt;0,(BB283-AY283)/(AY283-BA283),0)</f>
        <v>4.95588235294118</v>
      </c>
      <c r="BD283" s="42" t="n">
        <f aca="false">IF(N283&lt;0,1,0)</f>
        <v>0</v>
      </c>
      <c r="BE283" s="41" t="n">
        <f aca="false">IF(AND(BD283=1,BD282=0),N283,IF(BD283=1,MIN(BE282,N283),BE282))</f>
        <v>-0.356654552541767</v>
      </c>
      <c r="BF283" s="40" t="n">
        <f aca="false">IF(AND(BD283=1,BD282=0),D283,IF(BD283=1,MIN(BF282,D283),BF282))</f>
        <v>25.91</v>
      </c>
      <c r="BG283" s="42" t="n">
        <f aca="false">IF(AND(BD283=1,BD282=0),ROW(),IF(BD283=1,IF(N283&lt;BE282,ROW(),BG282),BG282))</f>
        <v>261</v>
      </c>
      <c r="BH283" s="41" t="n">
        <f aca="false">IF(AND(BD283=1,BD282=0),BE282,BH282)</f>
        <v>-0.153190541609803</v>
      </c>
      <c r="BI283" s="40" t="n">
        <f aca="false">IF(AND(BD283=1,BD282=0),BF282,BI282)</f>
        <v>27.9</v>
      </c>
      <c r="BJ283" s="42" t="n">
        <f aca="false">IF(AND(BD283=1,BD282=0),BG282,BJ282)</f>
        <v>226</v>
      </c>
      <c r="BK283" s="42" t="n">
        <f aca="false">IF(AND(ISNUMBER(BG283),ISNUMBER(BJ283)),BG283-BJ283,"")</f>
        <v>35</v>
      </c>
      <c r="BL283" s="42" t="n">
        <f aca="false">IF(AND(BD283=1,N283&gt;N282,ISNUMBER(BH283),ISNUMBER(BK283)),IF(AND(BE283&gt;BH283,BF283&lt;BI283,BK283&gt;=p_GapMin,BK283&lt;=p_GapMax),1,0),0)</f>
        <v>0</v>
      </c>
      <c r="BM283" s="42" t="n">
        <f aca="false">IF(AND(BL283=1,E283&gt;BI283),1,0)</f>
        <v>0</v>
      </c>
      <c r="BN283" s="42" t="n">
        <f aca="false">IF(BL283=1,IF(BE283&gt;=BH283*0.5,1,0),0)</f>
        <v>0</v>
      </c>
      <c r="BO283" s="42" t="n">
        <f aca="true">IF(V283&gt;MIN(OFFSET(V283,-MIN(p_FiLb-1,ROW()-5),0,MIN(p_FiLb-1,ROW()-5),1)),1,0)</f>
        <v>1</v>
      </c>
      <c r="BP283" s="44" t="n">
        <f aca="true">IF(COUNTIF(OFFSET(V283,1-MIN(100,ROW()-4),0,MIN(100,ROW()-4),1),"&lt;0")&gt;=5,AVERAGEIF(OFFSET(V283,1-MIN(100,ROW()-4),0,MIN(100,ROW()-4),1),"&lt;0"),"")</f>
        <v>-1123570.11736061</v>
      </c>
      <c r="BQ283" s="42" t="n">
        <f aca="false">IF(ISNUMBER(BP283),IF(AND(V283&lt;5*BP283,V283&gt;V282,E283&lt;AJ283),1,0),0)</f>
        <v>0</v>
      </c>
      <c r="BR283" s="44" t="n">
        <f aca="true">AVERAGE(OFFSET(F283,1-MIN(5,ROW()-4),0,MIN(5,ROW()-4),1))</f>
        <v>3857280</v>
      </c>
      <c r="BS283" s="42" t="n">
        <f aca="false">IFERROR(IF(MATCH(G283,周线!$A$5:$A$84,0)&lt;=1,"",INDEX(周线!$R$5:$R$84,MATCH(G283,周线!$A$5:$A$84,0)-1)),"")</f>
        <v>1</v>
      </c>
      <c r="BT283" s="42" t="n">
        <f aca="false">IFERROR(IF(MATCH(G283,周线!$A$5:$A$84,0)&lt;=1,"",INDEX(周线!$S$5:$S$84,MATCH(G283,周线!$A$5:$A$84,0)-1)),"")</f>
        <v>0</v>
      </c>
      <c r="BU283" s="42" t="n">
        <f aca="false">IFERROR(IF(MATCH(G283,周线!$A$5:$A$84,0)&lt;=1,"",INDEX(周线!$U$5:$U$84,MATCH(G283,周线!$A$5:$A$84,0)-1)),"")</f>
        <v>-1</v>
      </c>
      <c r="BV283" s="42" t="n">
        <f aca="false">IF(AND(BS283=1,S283&lt;&gt;-1,V283&lt;0,BO283=1,E283&lt;=H283,E283&gt;=AJ283),1,0)</f>
        <v>0</v>
      </c>
      <c r="BW283" s="42" t="n">
        <f aca="false">BL283</f>
        <v>0</v>
      </c>
      <c r="BX283" s="42" t="n">
        <f aca="false">BQ283</f>
        <v>0</v>
      </c>
      <c r="BY283" s="42" t="n">
        <f aca="false">IF(BS283=1,10,0)+IF(BU283=1,5,IF(BU283=-1,0,3))+IF(BT283=1,5,0)+IF(AND(AE283&gt;AF283,AH283&gt;AH282),5,0)</f>
        <v>10</v>
      </c>
      <c r="BZ283" s="42" t="n">
        <f aca="false">IF(AND(E283&lt;=H283,E283&gt;=I283),10,IF(AND(E283&gt;=AJ283,E283&lt;I283),6,0))+IF(AND(V283&lt;0,BO283=1),8,0)+IF(AT283&lt;30,7,IF(AT283&lt;50,3,0))</f>
        <v>6</v>
      </c>
      <c r="CA283" s="42" t="n">
        <f aca="false">IF(AND(BV283=1,BW283=1),25,IF(BW283=1,22,IF(BV283=1,15,IF(BX283=1,12,0))))</f>
        <v>0</v>
      </c>
      <c r="CB283" s="42" t="n">
        <f aca="false">IF(W283&gt;0,6,0)+IF(F283&lt;BR283,4,0)</f>
        <v>6</v>
      </c>
      <c r="CC283" s="42" t="n">
        <f aca="false">IF(BC283&gt;=3,15,IF(BC283&gt;=p_RRmin,10,IF(BC283&gt;=1.5,4,0)))</f>
        <v>15</v>
      </c>
      <c r="CD283" s="42" t="n">
        <f aca="false">BY283+BZ283+CA283+CB283+CC283</f>
        <v>37</v>
      </c>
      <c r="CE283" s="42" t="n">
        <f aca="false">IF(AND(BS283&lt;&gt;1,BW283+BX283=0),1,0)</f>
        <v>0</v>
      </c>
      <c r="CF283" s="42" t="n">
        <f aca="false">IF(BU283=-1,1,0)</f>
        <v>1</v>
      </c>
      <c r="CG283" s="42" t="n">
        <f aca="false">IF(S283=-1,1,0)</f>
        <v>0</v>
      </c>
      <c r="CH283" s="42" t="n">
        <f aca="false">IF(BV283+BW283+BX283=0,1,0)</f>
        <v>1</v>
      </c>
      <c r="CI283" s="42" t="n">
        <f aca="false">IF(BC283&lt;p_RRmin,1,0)</f>
        <v>0</v>
      </c>
      <c r="CJ283" s="46" t="str">
        <f aca="false">IF(SUM(CE283:CI283)=0,IF(CD283&gt;=p_GradeA,"A",IF(CD283&gt;=p_GradeB,"B","C")),IF(AND(CI283=1,SUM(CE283:CH283)=0,CD283&gt;=p_GradeB),"B","C"))</f>
        <v>C</v>
      </c>
    </row>
    <row r="284" customFormat="false" ht="15" hidden="false" customHeight="false" outlineLevel="0" collapsed="false">
      <c r="A284" s="36" t="n">
        <v>46050</v>
      </c>
      <c r="B284" s="37" t="n">
        <v>27.45</v>
      </c>
      <c r="C284" s="37" t="n">
        <v>27.45</v>
      </c>
      <c r="D284" s="37" t="n">
        <v>27.21</v>
      </c>
      <c r="E284" s="37" t="n">
        <v>27.21</v>
      </c>
      <c r="F284" s="38" t="n">
        <v>2790600</v>
      </c>
      <c r="G284" s="39" t="n">
        <f aca="false">A284-WEEKDAY(A284,3)</f>
        <v>46048</v>
      </c>
      <c r="H284" s="40" t="n">
        <f aca="false">2/(p_EmaF+1)*E284+(1-2/(p_EmaF+1))*H283</f>
        <v>27.2547938840504</v>
      </c>
      <c r="I284" s="40" t="n">
        <f aca="false">2/(p_EmaS+1)*E284+(1-2/(p_EmaS+1))*I283</f>
        <v>27.8130404108977</v>
      </c>
      <c r="J284" s="41" t="n">
        <f aca="false">2/(p_MacdF+1)*E284+(1-2/(p_MacdF+1))*J283</f>
        <v>27.2230343261475</v>
      </c>
      <c r="K284" s="41" t="n">
        <f aca="false">2/(p_MacdS+1)*E284+(1-2/(p_MacdS+1))*K283</f>
        <v>27.8130404108977</v>
      </c>
      <c r="L284" s="41" t="n">
        <f aca="false">J284-K284</f>
        <v>-0.590006084750243</v>
      </c>
      <c r="M284" s="41" t="n">
        <f aca="false">2/(p_MacdSig+1)*L284+(1-2/(p_MacdSig+1))*M283</f>
        <v>-0.737191400736378</v>
      </c>
      <c r="N284" s="41" t="n">
        <f aca="false">L284-M284</f>
        <v>0.147185315986135</v>
      </c>
      <c r="O284" s="42" t="n">
        <f aca="false">IF(H284&gt;H283,1,0)</f>
        <v>0</v>
      </c>
      <c r="P284" s="42" t="n">
        <f aca="false">IF(H284&lt;H283,1,0)</f>
        <v>1</v>
      </c>
      <c r="Q284" s="42" t="n">
        <f aca="false">IF(N284&gt;N283,1,0)</f>
        <v>1</v>
      </c>
      <c r="R284" s="42" t="n">
        <f aca="false">IF(N284&lt;N283,1,0)</f>
        <v>0</v>
      </c>
      <c r="S284" s="42" t="n">
        <f aca="false">IF(AND(O284=1,Q284=1),1,IF(AND(P284=1,R284=1),-1,0))</f>
        <v>0</v>
      </c>
      <c r="T284" s="43" t="str">
        <f aca="false">IF(S284=1,"绿",IF(S284=-1,"红","蓝"))</f>
        <v>蓝</v>
      </c>
      <c r="U284" s="44" t="n">
        <f aca="false">F284*(E284-E283)</f>
        <v>-586026.000000002</v>
      </c>
      <c r="V284" s="44" t="n">
        <f aca="false">2/(p_FiS+1)*U284+(1-2/(p_FiS+1))*V283</f>
        <v>24017.9867102106</v>
      </c>
      <c r="W284" s="44" t="n">
        <f aca="false">2/(p_FiL+1)*U284+(1-2/(p_FiL+1))*W283</f>
        <v>67822.6269484315</v>
      </c>
      <c r="X284" s="41" t="n">
        <f aca="false">MAX(C284-D284,ABS(C284-E283),ABS(D284-E283))</f>
        <v>0.239999999999998</v>
      </c>
      <c r="Y284" s="41" t="n">
        <f aca="true">AVERAGE(OFFSET(X284,1-MIN(p_AtrN,ROW()-4),0,MIN(p_AtrN,ROW()-4),1))</f>
        <v>0.575384615384615</v>
      </c>
      <c r="Z284" s="41" t="n">
        <f aca="false">IF(AND(C284-C283&gt;D283-D284,C284-C283&gt;0),C284-C283,0)</f>
        <v>0</v>
      </c>
      <c r="AA284" s="41" t="n">
        <f aca="false">IF(AND(D283-D284&gt;C284-C283,D283-D284&gt;0),D283-D284,0)</f>
        <v>0</v>
      </c>
      <c r="AB284" s="41" t="n">
        <f aca="false">2/(p_AdxN+1)*X284+(1-2/(p_AdxN+1))*AB283</f>
        <v>0.592381126271784</v>
      </c>
      <c r="AC284" s="41" t="n">
        <f aca="false">2/(p_AdxN+1)*Z284+(1-2/(p_AdxN+1))*AC283</f>
        <v>0.096939889532017</v>
      </c>
      <c r="AD284" s="41" t="n">
        <f aca="false">2/(p_AdxN+1)*AA284+(1-2/(p_AdxN+1))*AD283</f>
        <v>0.139509761756456</v>
      </c>
      <c r="AE284" s="45" t="n">
        <f aca="false">100*AC284/AB284</f>
        <v>16.3644460015327</v>
      </c>
      <c r="AF284" s="45" t="n">
        <f aca="false">100*AD284/AB284</f>
        <v>23.5506763415095</v>
      </c>
      <c r="AG284" s="45" t="n">
        <f aca="false">IFERROR(100*ABS(AE284-AF284)/(AE284+AF284),0)</f>
        <v>18.0037788139951</v>
      </c>
      <c r="AH284" s="45" t="n">
        <f aca="false">2/(p_AdxN+1)*AG284+(1-2/(p_AdxN+1))*AH283</f>
        <v>32.7243118437383</v>
      </c>
      <c r="AI284" s="40" t="n">
        <f aca="false">I284*(1+p_ChPct)</f>
        <v>29.4818228355516</v>
      </c>
      <c r="AJ284" s="40" t="n">
        <f aca="false">I284*(1-p_ChPct)</f>
        <v>26.1442579862438</v>
      </c>
      <c r="AK284" s="40" t="n">
        <f aca="false">I284+1*Y284</f>
        <v>28.3884250262823</v>
      </c>
      <c r="AL284" s="40" t="n">
        <f aca="false">I284+2*Y284</f>
        <v>28.9638096416669</v>
      </c>
      <c r="AM284" s="40" t="n">
        <f aca="false">I284+3*Y284</f>
        <v>29.5391942570516</v>
      </c>
      <c r="AN284" s="40" t="n">
        <f aca="false">I284-1*Y284</f>
        <v>27.2376557955131</v>
      </c>
      <c r="AO284" s="40" t="n">
        <f aca="false">I284-2*Y284</f>
        <v>26.6622711801285</v>
      </c>
      <c r="AP284" s="40" t="n">
        <f aca="false">I284-3*Y284</f>
        <v>26.0868865647439</v>
      </c>
      <c r="AQ284" s="40" t="n">
        <f aca="true">MAX(OFFSET(C284,1-MIN(p_StochN,ROW()-4),0,MIN(p_StochN,ROW()-4),1))</f>
        <v>27.7</v>
      </c>
      <c r="AR284" s="40" t="n">
        <f aca="true">MIN(OFFSET(D284,1-MIN(p_StochN,ROW()-4),0,MIN(p_StochN,ROW()-4),1))</f>
        <v>26.6</v>
      </c>
      <c r="AS284" s="45" t="n">
        <f aca="false">IF(AQ284=AR284,50,100*(E284-AR284)/(AQ284-AR284))</f>
        <v>55.4545454545455</v>
      </c>
      <c r="AT284" s="45" t="n">
        <f aca="true">AVERAGE(OFFSET(AS284,1-MIN(p_StochSm,ROW()-4),0,MIN(p_StochSm,ROW()-4),1))</f>
        <v>56.1538461538462</v>
      </c>
      <c r="AU284" s="45" t="n">
        <f aca="true">AVERAGE(OFFSET(AT284,1-MIN(p_StochSm,ROW()-4),0,MIN(p_StochSm,ROW()-4),1))</f>
        <v>63.486790986791</v>
      </c>
      <c r="AV284" s="41" t="n">
        <f aca="false">MAX(0,H284-D284)</f>
        <v>0.0447938840503994</v>
      </c>
      <c r="AW284" s="41" t="n">
        <f aca="true">IF(COUNTIF(OFFSET(AV284,1-MIN(p_PenLb,ROW()-4),0,MIN(p_PenLb,ROW()-4),1),"&gt;0")&gt;0,SUM(OFFSET(AV284,1-MIN(p_PenLb,ROW()-4),0,MIN(p_PenLb,ROW()-4),1))/COUNTIF(OFFSET(AV284,1-MIN(p_PenLb,ROW()-4),0,MIN(p_PenLb,ROW()-4),1),"&gt;0"),0.5*Y284)</f>
        <v>1.10884756779515</v>
      </c>
      <c r="AX284" s="41" t="n">
        <f aca="false">2*H284-H283</f>
        <v>27.2473282367087</v>
      </c>
      <c r="AY284" s="40" t="n">
        <f aca="false">ROUND(MAX(AX284-AW284,0.01),2)</f>
        <v>26.14</v>
      </c>
      <c r="AZ284" s="40" t="n">
        <f aca="true">IF(MIN(p_StopLb,ROW()-4)&lt;2,D284,SMALL(OFFSET(D284,1-MIN(p_StopLb,ROW()-4),0,MIN(p_StopLb,ROW()-4),1),2))</f>
        <v>26.47</v>
      </c>
      <c r="BA284" s="40" t="n">
        <f aca="false">IF(MOD(ROUND(ROUNDDOWN(MIN(AZ284-0.01,AY284-p_StopAtr*Y284),2)*100,0),50)=0,ROUNDDOWN(MIN(AZ284-0.01,AY284-p_StopAtr*Y284),2)-0.01,ROUNDDOWN(MIN(AZ284-0.01,AY284-p_StopAtr*Y284),2))</f>
        <v>25.56</v>
      </c>
      <c r="BB284" s="40" t="n">
        <f aca="false">ROUND(AI284,2)</f>
        <v>29.48</v>
      </c>
      <c r="BC284" s="40" t="n">
        <f aca="false">IF(AY284-BA284&gt;0,(BB284-AY284)/(AY284-BA284),0)</f>
        <v>5.75862068965515</v>
      </c>
      <c r="BD284" s="42" t="n">
        <f aca="false">IF(N284&lt;0,1,0)</f>
        <v>0</v>
      </c>
      <c r="BE284" s="41" t="n">
        <f aca="false">IF(AND(BD284=1,BD283=0),N284,IF(BD284=1,MIN(BE283,N284),BE283))</f>
        <v>-0.356654552541767</v>
      </c>
      <c r="BF284" s="40" t="n">
        <f aca="false">IF(AND(BD284=1,BD283=0),D284,IF(BD284=1,MIN(BF283,D284),BF283))</f>
        <v>25.91</v>
      </c>
      <c r="BG284" s="42" t="n">
        <f aca="false">IF(AND(BD284=1,BD283=0),ROW(),IF(BD284=1,IF(N284&lt;BE283,ROW(),BG283),BG283))</f>
        <v>261</v>
      </c>
      <c r="BH284" s="41" t="n">
        <f aca="false">IF(AND(BD284=1,BD283=0),BE283,BH283)</f>
        <v>-0.153190541609803</v>
      </c>
      <c r="BI284" s="40" t="n">
        <f aca="false">IF(AND(BD284=1,BD283=0),BF283,BI283)</f>
        <v>27.9</v>
      </c>
      <c r="BJ284" s="42" t="n">
        <f aca="false">IF(AND(BD284=1,BD283=0),BG283,BJ283)</f>
        <v>226</v>
      </c>
      <c r="BK284" s="42" t="n">
        <f aca="false">IF(AND(ISNUMBER(BG284),ISNUMBER(BJ284)),BG284-BJ284,"")</f>
        <v>35</v>
      </c>
      <c r="BL284" s="42" t="n">
        <f aca="false">IF(AND(BD284=1,N284&gt;N283,ISNUMBER(BH284),ISNUMBER(BK284)),IF(AND(BE284&gt;BH284,BF284&lt;BI284,BK284&gt;=p_GapMin,BK284&lt;=p_GapMax),1,0),0)</f>
        <v>0</v>
      </c>
      <c r="BM284" s="42" t="n">
        <f aca="false">IF(AND(BL284=1,E284&gt;BI284),1,0)</f>
        <v>0</v>
      </c>
      <c r="BN284" s="42" t="n">
        <f aca="false">IF(BL284=1,IF(BE284&gt;=BH284*0.5,1,0),0)</f>
        <v>0</v>
      </c>
      <c r="BO284" s="42" t="n">
        <f aca="true">IF(V284&gt;MIN(OFFSET(V284,-MIN(p_FiLb-1,ROW()-5),0,MIN(p_FiLb-1,ROW()-5),1)),1,0)</f>
        <v>1</v>
      </c>
      <c r="BP284" s="44" t="n">
        <f aca="true">IF(COUNTIF(OFFSET(V284,1-MIN(100,ROW()-4),0,MIN(100,ROW()-4),1),"&lt;0")&gt;=5,AVERAGEIF(OFFSET(V284,1-MIN(100,ROW()-4),0,MIN(100,ROW()-4),1),"&lt;0"),"")</f>
        <v>-1123570.11736061</v>
      </c>
      <c r="BQ284" s="42" t="n">
        <f aca="false">IF(ISNUMBER(BP284),IF(AND(V284&lt;5*BP284,V284&gt;V283,E284&lt;AJ284),1,0),0)</f>
        <v>0</v>
      </c>
      <c r="BR284" s="44" t="n">
        <f aca="true">AVERAGE(OFFSET(F284,1-MIN(5,ROW()-4),0,MIN(5,ROW()-4),1))</f>
        <v>3961140</v>
      </c>
      <c r="BS284" s="42" t="n">
        <f aca="false">IFERROR(IF(MATCH(G284,周线!$A$5:$A$84,0)&lt;=1,"",INDEX(周线!$R$5:$R$84,MATCH(G284,周线!$A$5:$A$84,0)-1)),"")</f>
        <v>1</v>
      </c>
      <c r="BT284" s="42" t="n">
        <f aca="false">IFERROR(IF(MATCH(G284,周线!$A$5:$A$84,0)&lt;=1,"",INDEX(周线!$S$5:$S$84,MATCH(G284,周线!$A$5:$A$84,0)-1)),"")</f>
        <v>0</v>
      </c>
      <c r="BU284" s="42" t="n">
        <f aca="false">IFERROR(IF(MATCH(G284,周线!$A$5:$A$84,0)&lt;=1,"",INDEX(周线!$U$5:$U$84,MATCH(G284,周线!$A$5:$A$84,0)-1)),"")</f>
        <v>-1</v>
      </c>
      <c r="BV284" s="42" t="n">
        <f aca="false">IF(AND(BS284=1,S284&lt;&gt;-1,V284&lt;0,BO284=1,E284&lt;=H284,E284&gt;=AJ284),1,0)</f>
        <v>0</v>
      </c>
      <c r="BW284" s="42" t="n">
        <f aca="false">BL284</f>
        <v>0</v>
      </c>
      <c r="BX284" s="42" t="n">
        <f aca="false">BQ284</f>
        <v>0</v>
      </c>
      <c r="BY284" s="42" t="n">
        <f aca="false">IF(BS284=1,10,0)+IF(BU284=1,5,IF(BU284=-1,0,3))+IF(BT284=1,5,0)+IF(AND(AE284&gt;AF284,AH284&gt;AH283),5,0)</f>
        <v>10</v>
      </c>
      <c r="BZ284" s="42" t="n">
        <f aca="false">IF(AND(E284&lt;=H284,E284&gt;=I284),10,IF(AND(E284&gt;=AJ284,E284&lt;I284),6,0))+IF(AND(V284&lt;0,BO284=1),8,0)+IF(AT284&lt;30,7,IF(AT284&lt;50,3,0))</f>
        <v>6</v>
      </c>
      <c r="CA284" s="42" t="n">
        <f aca="false">IF(AND(BV284=1,BW284=1),25,IF(BW284=1,22,IF(BV284=1,15,IF(BX284=1,12,0))))</f>
        <v>0</v>
      </c>
      <c r="CB284" s="42" t="n">
        <f aca="false">IF(W284&gt;0,6,0)+IF(F284&lt;BR284,4,0)</f>
        <v>10</v>
      </c>
      <c r="CC284" s="42" t="n">
        <f aca="false">IF(BC284&gt;=3,15,IF(BC284&gt;=p_RRmin,10,IF(BC284&gt;=1.5,4,0)))</f>
        <v>15</v>
      </c>
      <c r="CD284" s="42" t="n">
        <f aca="false">BY284+BZ284+CA284+CB284+CC284</f>
        <v>41</v>
      </c>
      <c r="CE284" s="42" t="n">
        <f aca="false">IF(AND(BS284&lt;&gt;1,BW284+BX284=0),1,0)</f>
        <v>0</v>
      </c>
      <c r="CF284" s="42" t="n">
        <f aca="false">IF(BU284=-1,1,0)</f>
        <v>1</v>
      </c>
      <c r="CG284" s="42" t="n">
        <f aca="false">IF(S284=-1,1,0)</f>
        <v>0</v>
      </c>
      <c r="CH284" s="42" t="n">
        <f aca="false">IF(BV284+BW284+BX284=0,1,0)</f>
        <v>1</v>
      </c>
      <c r="CI284" s="42" t="n">
        <f aca="false">IF(BC284&lt;p_RRmin,1,0)</f>
        <v>0</v>
      </c>
      <c r="CJ284" s="46" t="str">
        <f aca="false">IF(SUM(CE284:CI284)=0,IF(CD284&gt;=p_GradeA,"A",IF(CD284&gt;=p_GradeB,"B","C")),IF(AND(CI284=1,SUM(CE284:CH284)=0,CD284&gt;=p_GradeB),"B","C"))</f>
        <v>C</v>
      </c>
    </row>
    <row r="285" customFormat="false" ht="15" hidden="false" customHeight="false" outlineLevel="0" collapsed="false">
      <c r="A285" s="36" t="n">
        <v>46051</v>
      </c>
      <c r="B285" s="37" t="n">
        <v>27.25</v>
      </c>
      <c r="C285" s="37" t="n">
        <v>27.68</v>
      </c>
      <c r="D285" s="37" t="n">
        <v>27.23</v>
      </c>
      <c r="E285" s="37" t="n">
        <v>27.65</v>
      </c>
      <c r="F285" s="38" t="n">
        <v>4032100</v>
      </c>
      <c r="G285" s="39" t="n">
        <f aca="false">A285-WEEKDAY(A285,3)</f>
        <v>46048</v>
      </c>
      <c r="H285" s="40" t="n">
        <f aca="false">2/(p_EmaF+1)*E285+(1-2/(p_EmaF+1))*H284</f>
        <v>27.3112519006146</v>
      </c>
      <c r="I285" s="40" t="n">
        <f aca="false">2/(p_EmaS+1)*E285+(1-2/(p_EmaS+1))*I284</f>
        <v>27.8009633434238</v>
      </c>
      <c r="J285" s="41" t="n">
        <f aca="false">2/(p_MacdF+1)*E285+(1-2/(p_MacdF+1))*J284</f>
        <v>27.288721352894</v>
      </c>
      <c r="K285" s="41" t="n">
        <f aca="false">2/(p_MacdS+1)*E285+(1-2/(p_MacdS+1))*K284</f>
        <v>27.8009633434238</v>
      </c>
      <c r="L285" s="41" t="n">
        <f aca="false">J285-K285</f>
        <v>-0.512241990529795</v>
      </c>
      <c r="M285" s="41" t="n">
        <f aca="false">2/(p_MacdSig+1)*L285+(1-2/(p_MacdSig+1))*M284</f>
        <v>-0.692201518695061</v>
      </c>
      <c r="N285" s="41" t="n">
        <f aca="false">L285-M285</f>
        <v>0.179959528165267</v>
      </c>
      <c r="O285" s="42" t="n">
        <f aca="false">IF(H285&gt;H284,1,0)</f>
        <v>1</v>
      </c>
      <c r="P285" s="42" t="n">
        <f aca="false">IF(H285&lt;H284,1,0)</f>
        <v>0</v>
      </c>
      <c r="Q285" s="42" t="n">
        <f aca="false">IF(N285&gt;N284,1,0)</f>
        <v>1</v>
      </c>
      <c r="R285" s="42" t="n">
        <f aca="false">IF(N285&lt;N284,1,0)</f>
        <v>0</v>
      </c>
      <c r="S285" s="42" t="n">
        <f aca="false">IF(AND(O285=1,Q285=1),1,IF(AND(P285=1,R285=1),-1,0))</f>
        <v>1</v>
      </c>
      <c r="T285" s="43" t="str">
        <f aca="false">IF(S285=1,"绿",IF(S285=-1,"红","蓝"))</f>
        <v>绿</v>
      </c>
      <c r="U285" s="44" t="n">
        <f aca="false">F285*(E285-E284)</f>
        <v>1774123.99999999</v>
      </c>
      <c r="V285" s="44" t="n">
        <f aca="false">2/(p_FiS+1)*U285+(1-2/(p_FiS+1))*V284</f>
        <v>1190755.3289034</v>
      </c>
      <c r="W285" s="44" t="n">
        <f aca="false">2/(p_FiL+1)*U285+(1-2/(p_FiL+1))*W284</f>
        <v>311579.965955797</v>
      </c>
      <c r="X285" s="41" t="n">
        <f aca="false">MAX(C285-D285,ABS(C285-E284),ABS(D285-E284))</f>
        <v>0.469999999999999</v>
      </c>
      <c r="Y285" s="41" t="n">
        <f aca="true">AVERAGE(OFFSET(X285,1-MIN(p_AtrN,ROW()-4),0,MIN(p_AtrN,ROW()-4),1))</f>
        <v>0.556153846153846</v>
      </c>
      <c r="Z285" s="41" t="n">
        <f aca="false">IF(AND(C285-C284&gt;D284-D285,C285-C284&gt;0),C285-C284,0)</f>
        <v>0.23</v>
      </c>
      <c r="AA285" s="41" t="n">
        <f aca="false">IF(AND(D284-D285&gt;C285-C284,D284-D285&gt;0),D284-D285,0)</f>
        <v>0</v>
      </c>
      <c r="AB285" s="41" t="n">
        <f aca="false">2/(p_AdxN+1)*X285+(1-2/(p_AdxN+1))*AB284</f>
        <v>0.574898108232957</v>
      </c>
      <c r="AC285" s="41" t="n">
        <f aca="false">2/(p_AdxN+1)*Z285+(1-2/(p_AdxN+1))*AC284</f>
        <v>0.115948476741729</v>
      </c>
      <c r="AD285" s="41" t="n">
        <f aca="false">2/(p_AdxN+1)*AA285+(1-2/(p_AdxN+1))*AD284</f>
        <v>0.119579795791248</v>
      </c>
      <c r="AE285" s="45" t="n">
        <f aca="false">100*AC285/AB285</f>
        <v>20.1685264016811</v>
      </c>
      <c r="AF285" s="45" t="n">
        <f aca="false">100*AD285/AB285</f>
        <v>20.8001720789787</v>
      </c>
      <c r="AG285" s="45" t="n">
        <f aca="false">IFERROR(100*ABS(AE285-AF285)/(AE285+AF285),0)</f>
        <v>1.54177628463311</v>
      </c>
      <c r="AH285" s="45" t="n">
        <f aca="false">2/(p_AdxN+1)*AG285+(1-2/(p_AdxN+1))*AH284</f>
        <v>28.2696639067233</v>
      </c>
      <c r="AI285" s="40" t="n">
        <f aca="false">I285*(1+p_ChPct)</f>
        <v>29.4690211440292</v>
      </c>
      <c r="AJ285" s="40" t="n">
        <f aca="false">I285*(1-p_ChPct)</f>
        <v>26.1329055428184</v>
      </c>
      <c r="AK285" s="40" t="n">
        <f aca="false">I285+1*Y285</f>
        <v>28.3571171895777</v>
      </c>
      <c r="AL285" s="40" t="n">
        <f aca="false">I285+2*Y285</f>
        <v>28.9132710357315</v>
      </c>
      <c r="AM285" s="40" t="n">
        <f aca="false">I285+3*Y285</f>
        <v>29.4694248818853</v>
      </c>
      <c r="AN285" s="40" t="n">
        <f aca="false">I285-1*Y285</f>
        <v>27.24480949727</v>
      </c>
      <c r="AO285" s="40" t="n">
        <f aca="false">I285-2*Y285</f>
        <v>26.6886556511161</v>
      </c>
      <c r="AP285" s="40" t="n">
        <f aca="false">I285-3*Y285</f>
        <v>26.1325018049623</v>
      </c>
      <c r="AQ285" s="40" t="n">
        <f aca="true">MAX(OFFSET(C285,1-MIN(p_StochN,ROW()-4),0,MIN(p_StochN,ROW()-4),1))</f>
        <v>27.7</v>
      </c>
      <c r="AR285" s="40" t="n">
        <f aca="true">MIN(OFFSET(D285,1-MIN(p_StochN,ROW()-4),0,MIN(p_StochN,ROW()-4),1))</f>
        <v>26.6</v>
      </c>
      <c r="AS285" s="45" t="n">
        <f aca="false">IF(AQ285=AR285,50,100*(E285-AR285)/(AQ285-AR285))</f>
        <v>95.4545454545454</v>
      </c>
      <c r="AT285" s="45" t="n">
        <f aca="true">AVERAGE(OFFSET(AS285,1-MIN(p_StochSm,ROW()-4),0,MIN(p_StochSm,ROW()-4),1))</f>
        <v>75.1515151515152</v>
      </c>
      <c r="AU285" s="45" t="n">
        <f aca="true">AVERAGE(OFFSET(AT285,1-MIN(p_StochSm,ROW()-4),0,MIN(p_StochSm,ROW()-4),1))</f>
        <v>65.1126651126652</v>
      </c>
      <c r="AV285" s="41" t="n">
        <f aca="false">MAX(0,H285-D285)</f>
        <v>0.0812519006146282</v>
      </c>
      <c r="AW285" s="41" t="n">
        <f aca="true">IF(COUNTIF(OFFSET(AV285,1-MIN(p_PenLb,ROW()-4),0,MIN(p_PenLb,ROW()-4),1),"&gt;0")&gt;0,SUM(OFFSET(AV285,1-MIN(p_PenLb,ROW()-4),0,MIN(p_PenLb,ROW()-4),1))/COUNTIF(OFFSET(AV285,1-MIN(p_PenLb,ROW()-4),0,MIN(p_PenLb,ROW()-4),1),"&gt;0"),0.5*Y285)</f>
        <v>1.08360022545575</v>
      </c>
      <c r="AX285" s="41" t="n">
        <f aca="false">2*H285-H284</f>
        <v>27.3677099171789</v>
      </c>
      <c r="AY285" s="40" t="n">
        <f aca="false">ROUND(MAX(AX285-AW285,0.01),2)</f>
        <v>26.28</v>
      </c>
      <c r="AZ285" s="40" t="n">
        <f aca="true">IF(MIN(p_StopLb,ROW()-4)&lt;2,D285,SMALL(OFFSET(D285,1-MIN(p_StopLb,ROW()-4),0,MIN(p_StopLb,ROW()-4),1),2))</f>
        <v>26.53</v>
      </c>
      <c r="BA285" s="40" t="n">
        <f aca="false">IF(MOD(ROUND(ROUNDDOWN(MIN(AZ285-0.01,AY285-p_StopAtr*Y285),2)*100,0),50)=0,ROUNDDOWN(MIN(AZ285-0.01,AY285-p_StopAtr*Y285),2)-0.01,ROUNDDOWN(MIN(AZ285-0.01,AY285-p_StopAtr*Y285),2))</f>
        <v>25.72</v>
      </c>
      <c r="BB285" s="40" t="n">
        <f aca="false">ROUND(AI285,2)</f>
        <v>29.47</v>
      </c>
      <c r="BC285" s="40" t="n">
        <f aca="false">IF(AY285-BA285&gt;0,(BB285-AY285)/(AY285-BA285),0)</f>
        <v>5.69642857142854</v>
      </c>
      <c r="BD285" s="42" t="n">
        <f aca="false">IF(N285&lt;0,1,0)</f>
        <v>0</v>
      </c>
      <c r="BE285" s="41" t="n">
        <f aca="false">IF(AND(BD285=1,BD284=0),N285,IF(BD285=1,MIN(BE284,N285),BE284))</f>
        <v>-0.356654552541767</v>
      </c>
      <c r="BF285" s="40" t="n">
        <f aca="false">IF(AND(BD285=1,BD284=0),D285,IF(BD285=1,MIN(BF284,D285),BF284))</f>
        <v>25.91</v>
      </c>
      <c r="BG285" s="42" t="n">
        <f aca="false">IF(AND(BD285=1,BD284=0),ROW(),IF(BD285=1,IF(N285&lt;BE284,ROW(),BG284),BG284))</f>
        <v>261</v>
      </c>
      <c r="BH285" s="41" t="n">
        <f aca="false">IF(AND(BD285=1,BD284=0),BE284,BH284)</f>
        <v>-0.153190541609803</v>
      </c>
      <c r="BI285" s="40" t="n">
        <f aca="false">IF(AND(BD285=1,BD284=0),BF284,BI284)</f>
        <v>27.9</v>
      </c>
      <c r="BJ285" s="42" t="n">
        <f aca="false">IF(AND(BD285=1,BD284=0),BG284,BJ284)</f>
        <v>226</v>
      </c>
      <c r="BK285" s="42" t="n">
        <f aca="false">IF(AND(ISNUMBER(BG285),ISNUMBER(BJ285)),BG285-BJ285,"")</f>
        <v>35</v>
      </c>
      <c r="BL285" s="42" t="n">
        <f aca="false">IF(AND(BD285=1,N285&gt;N284,ISNUMBER(BH285),ISNUMBER(BK285)),IF(AND(BE285&gt;BH285,BF285&lt;BI285,BK285&gt;=p_GapMin,BK285&lt;=p_GapMax),1,0),0)</f>
        <v>0</v>
      </c>
      <c r="BM285" s="42" t="n">
        <f aca="false">IF(AND(BL285=1,E285&gt;BI285),1,0)</f>
        <v>0</v>
      </c>
      <c r="BN285" s="42" t="n">
        <f aca="false">IF(BL285=1,IF(BE285&gt;=BH285*0.5,1,0),0)</f>
        <v>0</v>
      </c>
      <c r="BO285" s="42" t="n">
        <f aca="true">IF(V285&gt;MIN(OFFSET(V285,-MIN(p_FiLb-1,ROW()-5),0,MIN(p_FiLb-1,ROW()-5),1)),1,0)</f>
        <v>1</v>
      </c>
      <c r="BP285" s="44" t="n">
        <f aca="true">IF(COUNTIF(OFFSET(V285,1-MIN(100,ROW()-4),0,MIN(100,ROW()-4),1),"&lt;0")&gt;=5,AVERAGEIF(OFFSET(V285,1-MIN(100,ROW()-4),0,MIN(100,ROW()-4),1),"&lt;0"),"")</f>
        <v>-1123570.11736061</v>
      </c>
      <c r="BQ285" s="42" t="n">
        <f aca="false">IF(ISNUMBER(BP285),IF(AND(V285&lt;5*BP285,V285&gt;V284,E285&lt;AJ285),1,0),0)</f>
        <v>0</v>
      </c>
      <c r="BR285" s="44" t="n">
        <f aca="true">AVERAGE(OFFSET(F285,1-MIN(5,ROW()-4),0,MIN(5,ROW()-4),1))</f>
        <v>3795140</v>
      </c>
      <c r="BS285" s="42" t="n">
        <f aca="false">IFERROR(IF(MATCH(G285,周线!$A$5:$A$84,0)&lt;=1,"",INDEX(周线!$R$5:$R$84,MATCH(G285,周线!$A$5:$A$84,0)-1)),"")</f>
        <v>1</v>
      </c>
      <c r="BT285" s="42" t="n">
        <f aca="false">IFERROR(IF(MATCH(G285,周线!$A$5:$A$84,0)&lt;=1,"",INDEX(周线!$S$5:$S$84,MATCH(G285,周线!$A$5:$A$84,0)-1)),"")</f>
        <v>0</v>
      </c>
      <c r="BU285" s="42" t="n">
        <f aca="false">IFERROR(IF(MATCH(G285,周线!$A$5:$A$84,0)&lt;=1,"",INDEX(周线!$U$5:$U$84,MATCH(G285,周线!$A$5:$A$84,0)-1)),"")</f>
        <v>-1</v>
      </c>
      <c r="BV285" s="42" t="n">
        <f aca="false">IF(AND(BS285=1,S285&lt;&gt;-1,V285&lt;0,BO285=1,E285&lt;=H285,E285&gt;=AJ285),1,0)</f>
        <v>0</v>
      </c>
      <c r="BW285" s="42" t="n">
        <f aca="false">BL285</f>
        <v>0</v>
      </c>
      <c r="BX285" s="42" t="n">
        <f aca="false">BQ285</f>
        <v>0</v>
      </c>
      <c r="BY285" s="42" t="n">
        <f aca="false">IF(BS285=1,10,0)+IF(BU285=1,5,IF(BU285=-1,0,3))+IF(BT285=1,5,0)+IF(AND(AE285&gt;AF285,AH285&gt;AH284),5,0)</f>
        <v>10</v>
      </c>
      <c r="BZ285" s="42" t="n">
        <f aca="false">IF(AND(E285&lt;=H285,E285&gt;=I285),10,IF(AND(E285&gt;=AJ285,E285&lt;I285),6,0))+IF(AND(V285&lt;0,BO285=1),8,0)+IF(AT285&lt;30,7,IF(AT285&lt;50,3,0))</f>
        <v>6</v>
      </c>
      <c r="CA285" s="42" t="n">
        <f aca="false">IF(AND(BV285=1,BW285=1),25,IF(BW285=1,22,IF(BV285=1,15,IF(BX285=1,12,0))))</f>
        <v>0</v>
      </c>
      <c r="CB285" s="42" t="n">
        <f aca="false">IF(W285&gt;0,6,0)+IF(F285&lt;BR285,4,0)</f>
        <v>6</v>
      </c>
      <c r="CC285" s="42" t="n">
        <f aca="false">IF(BC285&gt;=3,15,IF(BC285&gt;=p_RRmin,10,IF(BC285&gt;=1.5,4,0)))</f>
        <v>15</v>
      </c>
      <c r="CD285" s="42" t="n">
        <f aca="false">BY285+BZ285+CA285+CB285+CC285</f>
        <v>37</v>
      </c>
      <c r="CE285" s="42" t="n">
        <f aca="false">IF(AND(BS285&lt;&gt;1,BW285+BX285=0),1,0)</f>
        <v>0</v>
      </c>
      <c r="CF285" s="42" t="n">
        <f aca="false">IF(BU285=-1,1,0)</f>
        <v>1</v>
      </c>
      <c r="CG285" s="42" t="n">
        <f aca="false">IF(S285=-1,1,0)</f>
        <v>0</v>
      </c>
      <c r="CH285" s="42" t="n">
        <f aca="false">IF(BV285+BW285+BX285=0,1,0)</f>
        <v>1</v>
      </c>
      <c r="CI285" s="42" t="n">
        <f aca="false">IF(BC285&lt;p_RRmin,1,0)</f>
        <v>0</v>
      </c>
      <c r="CJ285" s="46" t="str">
        <f aca="false">IF(SUM(CE285:CI285)=0,IF(CD285&gt;=p_GradeA,"A",IF(CD285&gt;=p_GradeB,"B","C")),IF(AND(CI285=1,SUM(CE285:CH285)=0,CD285&gt;=p_GradeB),"B","C"))</f>
        <v>C</v>
      </c>
    </row>
    <row r="286" customFormat="false" ht="15" hidden="false" customHeight="false" outlineLevel="0" collapsed="false">
      <c r="A286" s="36" t="n">
        <v>46052</v>
      </c>
      <c r="B286" s="37" t="n">
        <v>27.7</v>
      </c>
      <c r="C286" s="37" t="n">
        <v>27.97</v>
      </c>
      <c r="D286" s="37" t="n">
        <v>27.61</v>
      </c>
      <c r="E286" s="37" t="n">
        <v>27.92</v>
      </c>
      <c r="F286" s="38" t="n">
        <v>4598600</v>
      </c>
      <c r="G286" s="39" t="n">
        <f aca="false">A286-WEEKDAY(A286,3)</f>
        <v>46048</v>
      </c>
      <c r="H286" s="40" t="n">
        <f aca="false">2/(p_EmaF+1)*E286+(1-2/(p_EmaF+1))*H285</f>
        <v>27.3982159148125</v>
      </c>
      <c r="I286" s="40" t="n">
        <f aca="false">2/(p_EmaS+1)*E286+(1-2/(p_EmaS+1))*I285</f>
        <v>27.8097808735406</v>
      </c>
      <c r="J286" s="41" t="n">
        <f aca="false">2/(p_MacdF+1)*E286+(1-2/(p_MacdF+1))*J285</f>
        <v>27.3858411447565</v>
      </c>
      <c r="K286" s="41" t="n">
        <f aca="false">2/(p_MacdS+1)*E286+(1-2/(p_MacdS+1))*K285</f>
        <v>27.8097808735406</v>
      </c>
      <c r="L286" s="41" t="n">
        <f aca="false">J286-K286</f>
        <v>-0.423939728784088</v>
      </c>
      <c r="M286" s="41" t="n">
        <f aca="false">2/(p_MacdSig+1)*L286+(1-2/(p_MacdSig+1))*M285</f>
        <v>-0.638549160712867</v>
      </c>
      <c r="N286" s="41" t="n">
        <f aca="false">L286-M286</f>
        <v>0.214609431928779</v>
      </c>
      <c r="O286" s="42" t="n">
        <f aca="false">IF(H286&gt;H285,1,0)</f>
        <v>1</v>
      </c>
      <c r="P286" s="42" t="n">
        <f aca="false">IF(H286&lt;H285,1,0)</f>
        <v>0</v>
      </c>
      <c r="Q286" s="42" t="n">
        <f aca="false">IF(N286&gt;N285,1,0)</f>
        <v>1</v>
      </c>
      <c r="R286" s="42" t="n">
        <f aca="false">IF(N286&lt;N285,1,0)</f>
        <v>0</v>
      </c>
      <c r="S286" s="42" t="n">
        <f aca="false">IF(AND(O286=1,Q286=1),1,IF(AND(P286=1,R286=1),-1,0))</f>
        <v>1</v>
      </c>
      <c r="T286" s="43" t="str">
        <f aca="false">IF(S286=1,"绿",IF(S286=-1,"红","蓝"))</f>
        <v>绿</v>
      </c>
      <c r="U286" s="44" t="n">
        <f aca="false">F286*(E286-E285)</f>
        <v>1241622.00000001</v>
      </c>
      <c r="V286" s="44" t="n">
        <f aca="false">2/(p_FiS+1)*U286+(1-2/(p_FiS+1))*V285</f>
        <v>1224666.44296781</v>
      </c>
      <c r="W286" s="44" t="n">
        <f aca="false">2/(p_FiL+1)*U286+(1-2/(p_FiL+1))*W285</f>
        <v>444443.1136764</v>
      </c>
      <c r="X286" s="41" t="n">
        <f aca="false">MAX(C286-D286,ABS(C286-E285),ABS(D286-E285))</f>
        <v>0.359999999999999</v>
      </c>
      <c r="Y286" s="41" t="n">
        <f aca="true">AVERAGE(OFFSET(X286,1-MIN(p_AtrN,ROW()-4),0,MIN(p_AtrN,ROW()-4),1))</f>
        <v>0.52</v>
      </c>
      <c r="Z286" s="41" t="n">
        <f aca="false">IF(AND(C286-C285&gt;D285-D286,C286-C285&gt;0),C286-C285,0)</f>
        <v>0.289999999999999</v>
      </c>
      <c r="AA286" s="41" t="n">
        <f aca="false">IF(AND(D285-D286&gt;C286-C285,D285-D286&gt;0),D285-D286,0)</f>
        <v>0</v>
      </c>
      <c r="AB286" s="41" t="n">
        <f aca="false">2/(p_AdxN+1)*X286+(1-2/(p_AdxN+1))*AB285</f>
        <v>0.544198378485392</v>
      </c>
      <c r="AC286" s="41" t="n">
        <f aca="false">2/(p_AdxN+1)*Z286+(1-2/(p_AdxN+1))*AC285</f>
        <v>0.140812980064339</v>
      </c>
      <c r="AD286" s="41" t="n">
        <f aca="false">2/(p_AdxN+1)*AA286+(1-2/(p_AdxN+1))*AD285</f>
        <v>0.10249696782107</v>
      </c>
      <c r="AE286" s="45" t="n">
        <f aca="false">100*AC286/AB286</f>
        <v>25.875303130496</v>
      </c>
      <c r="AF286" s="45" t="n">
        <f aca="false">100*AD286/AB286</f>
        <v>18.8344860758936</v>
      </c>
      <c r="AG286" s="45" t="n">
        <f aca="false">IFERROR(100*ABS(AE286-AF286)/(AE286+AF286),0)</f>
        <v>15.747819838963</v>
      </c>
      <c r="AH286" s="45" t="n">
        <f aca="false">2/(p_AdxN+1)*AG286+(1-2/(p_AdxN+1))*AH285</f>
        <v>26.4808290399004</v>
      </c>
      <c r="AI286" s="40" t="n">
        <f aca="false">I286*(1+p_ChPct)</f>
        <v>29.478367725953</v>
      </c>
      <c r="AJ286" s="40" t="n">
        <f aca="false">I286*(1-p_ChPct)</f>
        <v>26.1411940211281</v>
      </c>
      <c r="AK286" s="40" t="n">
        <f aca="false">I286+1*Y286</f>
        <v>28.3297808735406</v>
      </c>
      <c r="AL286" s="40" t="n">
        <f aca="false">I286+2*Y286</f>
        <v>28.8497808735406</v>
      </c>
      <c r="AM286" s="40" t="n">
        <f aca="false">I286+3*Y286</f>
        <v>29.3697808735406</v>
      </c>
      <c r="AN286" s="40" t="n">
        <f aca="false">I286-1*Y286</f>
        <v>27.2897808735406</v>
      </c>
      <c r="AO286" s="40" t="n">
        <f aca="false">I286-2*Y286</f>
        <v>26.7697808735406</v>
      </c>
      <c r="AP286" s="40" t="n">
        <f aca="false">I286-3*Y286</f>
        <v>26.2497808735406</v>
      </c>
      <c r="AQ286" s="40" t="n">
        <f aca="true">MAX(OFFSET(C286,1-MIN(p_StochN,ROW()-4),0,MIN(p_StochN,ROW()-4),1))</f>
        <v>27.97</v>
      </c>
      <c r="AR286" s="40" t="n">
        <f aca="true">MIN(OFFSET(D286,1-MIN(p_StochN,ROW()-4),0,MIN(p_StochN,ROW()-4),1))</f>
        <v>26.6</v>
      </c>
      <c r="AS286" s="45" t="n">
        <f aca="false">IF(AQ286=AR286,50,100*(E286-AR286)/(AQ286-AR286))</f>
        <v>96.3503649635039</v>
      </c>
      <c r="AT286" s="45" t="n">
        <f aca="true">AVERAGE(OFFSET(AS286,1-MIN(p_StochSm,ROW()-4),0,MIN(p_StochSm,ROW()-4),1))</f>
        <v>82.4198186241982</v>
      </c>
      <c r="AU286" s="45" t="n">
        <f aca="true">AVERAGE(OFFSET(AT286,1-MIN(p_StochSm,ROW()-4),0,MIN(p_StochSm,ROW()-4),1))</f>
        <v>71.2417266431866</v>
      </c>
      <c r="AV286" s="41" t="n">
        <f aca="false">MAX(0,H286-D286)</f>
        <v>0</v>
      </c>
      <c r="AW286" s="41" t="n">
        <f aca="true">IF(COUNTIF(OFFSET(AV286,1-MIN(p_PenLb,ROW()-4),0,MIN(p_PenLb,ROW()-4),1),"&gt;0")&gt;0,SUM(OFFSET(AV286,1-MIN(p_PenLb,ROW()-4),0,MIN(p_PenLb,ROW()-4),1))/COUNTIF(OFFSET(AV286,1-MIN(p_PenLb,ROW()-4),0,MIN(p_PenLb,ROW()-4),1),"&gt;0"),0.5*Y286)</f>
        <v>1.08306273875905</v>
      </c>
      <c r="AX286" s="41" t="n">
        <f aca="false">2*H286-H285</f>
        <v>27.4851799290105</v>
      </c>
      <c r="AY286" s="40" t="n">
        <f aca="false">ROUND(MAX(AX286-AW286,0.01),2)</f>
        <v>26.4</v>
      </c>
      <c r="AZ286" s="40" t="n">
        <f aca="true">IF(MIN(p_StopLb,ROW()-4)&lt;2,D286,SMALL(OFFSET(D286,1-MIN(p_StopLb,ROW()-4),0,MIN(p_StopLb,ROW()-4),1),2))</f>
        <v>26.6</v>
      </c>
      <c r="BA286" s="40" t="n">
        <f aca="false">IF(MOD(ROUND(ROUNDDOWN(MIN(AZ286-0.01,AY286-p_StopAtr*Y286),2)*100,0),50)=0,ROUNDDOWN(MIN(AZ286-0.01,AY286-p_StopAtr*Y286),2)-0.01,ROUNDDOWN(MIN(AZ286-0.01,AY286-p_StopAtr*Y286),2))</f>
        <v>25.88</v>
      </c>
      <c r="BB286" s="40" t="n">
        <f aca="false">ROUND(AI286,2)</f>
        <v>29.48</v>
      </c>
      <c r="BC286" s="40" t="n">
        <f aca="false">IF(AY286-BA286&gt;0,(BB286-AY286)/(AY286-BA286),0)</f>
        <v>5.92307692307693</v>
      </c>
      <c r="BD286" s="42" t="n">
        <f aca="false">IF(N286&lt;0,1,0)</f>
        <v>0</v>
      </c>
      <c r="BE286" s="41" t="n">
        <f aca="false">IF(AND(BD286=1,BD285=0),N286,IF(BD286=1,MIN(BE285,N286),BE285))</f>
        <v>-0.356654552541767</v>
      </c>
      <c r="BF286" s="40" t="n">
        <f aca="false">IF(AND(BD286=1,BD285=0),D286,IF(BD286=1,MIN(BF285,D286),BF285))</f>
        <v>25.91</v>
      </c>
      <c r="BG286" s="42" t="n">
        <f aca="false">IF(AND(BD286=1,BD285=0),ROW(),IF(BD286=1,IF(N286&lt;BE285,ROW(),BG285),BG285))</f>
        <v>261</v>
      </c>
      <c r="BH286" s="41" t="n">
        <f aca="false">IF(AND(BD286=1,BD285=0),BE285,BH285)</f>
        <v>-0.153190541609803</v>
      </c>
      <c r="BI286" s="40" t="n">
        <f aca="false">IF(AND(BD286=1,BD285=0),BF285,BI285)</f>
        <v>27.9</v>
      </c>
      <c r="BJ286" s="42" t="n">
        <f aca="false">IF(AND(BD286=1,BD285=0),BG285,BJ285)</f>
        <v>226</v>
      </c>
      <c r="BK286" s="42" t="n">
        <f aca="false">IF(AND(ISNUMBER(BG286),ISNUMBER(BJ286)),BG286-BJ286,"")</f>
        <v>35</v>
      </c>
      <c r="BL286" s="42" t="n">
        <f aca="false">IF(AND(BD286=1,N286&gt;N285,ISNUMBER(BH286),ISNUMBER(BK286)),IF(AND(BE286&gt;BH286,BF286&lt;BI286,BK286&gt;=p_GapMin,BK286&lt;=p_GapMax),1,0),0)</f>
        <v>0</v>
      </c>
      <c r="BM286" s="42" t="n">
        <f aca="false">IF(AND(BL286=1,E286&gt;BI286),1,0)</f>
        <v>0</v>
      </c>
      <c r="BN286" s="42" t="n">
        <f aca="false">IF(BL286=1,IF(BE286&gt;=BH286*0.5,1,0),0)</f>
        <v>0</v>
      </c>
      <c r="BO286" s="42" t="n">
        <f aca="true">IF(V286&gt;MIN(OFFSET(V286,-MIN(p_FiLb-1,ROW()-5),0,MIN(p_FiLb-1,ROW()-5),1)),1,0)</f>
        <v>1</v>
      </c>
      <c r="BP286" s="44" t="n">
        <f aca="true">IF(COUNTIF(OFFSET(V286,1-MIN(100,ROW()-4),0,MIN(100,ROW()-4),1),"&lt;0")&gt;=5,AVERAGEIF(OFFSET(V286,1-MIN(100,ROW()-4),0,MIN(100,ROW()-4),1),"&lt;0"),"")</f>
        <v>-1145629.52772768</v>
      </c>
      <c r="BQ286" s="42" t="n">
        <f aca="false">IF(ISNUMBER(BP286),IF(AND(V286&lt;5*BP286,V286&gt;V285,E286&lt;AJ286),1,0),0)</f>
        <v>0</v>
      </c>
      <c r="BR286" s="44" t="n">
        <f aca="true">AVERAGE(OFFSET(F286,1-MIN(5,ROW()-4),0,MIN(5,ROW()-4),1))</f>
        <v>3954600</v>
      </c>
      <c r="BS286" s="42" t="n">
        <f aca="false">IFERROR(IF(MATCH(G286,周线!$A$5:$A$84,0)&lt;=1,"",INDEX(周线!$R$5:$R$84,MATCH(G286,周线!$A$5:$A$84,0)-1)),"")</f>
        <v>1</v>
      </c>
      <c r="BT286" s="42" t="n">
        <f aca="false">IFERROR(IF(MATCH(G286,周线!$A$5:$A$84,0)&lt;=1,"",INDEX(周线!$S$5:$S$84,MATCH(G286,周线!$A$5:$A$84,0)-1)),"")</f>
        <v>0</v>
      </c>
      <c r="BU286" s="42" t="n">
        <f aca="false">IFERROR(IF(MATCH(G286,周线!$A$5:$A$84,0)&lt;=1,"",INDEX(周线!$U$5:$U$84,MATCH(G286,周线!$A$5:$A$84,0)-1)),"")</f>
        <v>-1</v>
      </c>
      <c r="BV286" s="42" t="n">
        <f aca="false">IF(AND(BS286=1,S286&lt;&gt;-1,V286&lt;0,BO286=1,E286&lt;=H286,E286&gt;=AJ286),1,0)</f>
        <v>0</v>
      </c>
      <c r="BW286" s="42" t="n">
        <f aca="false">BL286</f>
        <v>0</v>
      </c>
      <c r="BX286" s="42" t="n">
        <f aca="false">BQ286</f>
        <v>0</v>
      </c>
      <c r="BY286" s="42" t="n">
        <f aca="false">IF(BS286=1,10,0)+IF(BU286=1,5,IF(BU286=-1,0,3))+IF(BT286=1,5,0)+IF(AND(AE286&gt;AF286,AH286&gt;AH285),5,0)</f>
        <v>10</v>
      </c>
      <c r="BZ286" s="42" t="n">
        <f aca="false">IF(AND(E286&lt;=H286,E286&gt;=I286),10,IF(AND(E286&gt;=AJ286,E286&lt;I286),6,0))+IF(AND(V286&lt;0,BO286=1),8,0)+IF(AT286&lt;30,7,IF(AT286&lt;50,3,0))</f>
        <v>0</v>
      </c>
      <c r="CA286" s="42" t="n">
        <f aca="false">IF(AND(BV286=1,BW286=1),25,IF(BW286=1,22,IF(BV286=1,15,IF(BX286=1,12,0))))</f>
        <v>0</v>
      </c>
      <c r="CB286" s="42" t="n">
        <f aca="false">IF(W286&gt;0,6,0)+IF(F286&lt;BR286,4,0)</f>
        <v>6</v>
      </c>
      <c r="CC286" s="42" t="n">
        <f aca="false">IF(BC286&gt;=3,15,IF(BC286&gt;=p_RRmin,10,IF(BC286&gt;=1.5,4,0)))</f>
        <v>15</v>
      </c>
      <c r="CD286" s="42" t="n">
        <f aca="false">BY286+BZ286+CA286+CB286+CC286</f>
        <v>31</v>
      </c>
      <c r="CE286" s="42" t="n">
        <f aca="false">IF(AND(BS286&lt;&gt;1,BW286+BX286=0),1,0)</f>
        <v>0</v>
      </c>
      <c r="CF286" s="42" t="n">
        <f aca="false">IF(BU286=-1,1,0)</f>
        <v>1</v>
      </c>
      <c r="CG286" s="42" t="n">
        <f aca="false">IF(S286=-1,1,0)</f>
        <v>0</v>
      </c>
      <c r="CH286" s="42" t="n">
        <f aca="false">IF(BV286+BW286+BX286=0,1,0)</f>
        <v>1</v>
      </c>
      <c r="CI286" s="42" t="n">
        <f aca="false">IF(BC286&lt;p_RRmin,1,0)</f>
        <v>0</v>
      </c>
      <c r="CJ286" s="46" t="str">
        <f aca="false">IF(SUM(CE286:CI286)=0,IF(CD286&gt;=p_GradeA,"A",IF(CD286&gt;=p_GradeB,"B","C")),IF(AND(CI286=1,SUM(CE286:CH286)=0,CD286&gt;=p_GradeB),"B","C"))</f>
        <v>C</v>
      </c>
    </row>
    <row r="287" customFormat="false" ht="15" hidden="false" customHeight="false" outlineLevel="0" collapsed="false">
      <c r="A287" s="36" t="n">
        <v>46055</v>
      </c>
      <c r="B287" s="37" t="n">
        <v>27.9</v>
      </c>
      <c r="C287" s="37" t="n">
        <v>28.27</v>
      </c>
      <c r="D287" s="37" t="n">
        <v>27.8</v>
      </c>
      <c r="E287" s="37" t="n">
        <v>28.12</v>
      </c>
      <c r="F287" s="38" t="n">
        <v>4443900</v>
      </c>
      <c r="G287" s="39" t="n">
        <f aca="false">A287-WEEKDAY(A287,3)</f>
        <v>46055</v>
      </c>
      <c r="H287" s="40" t="n">
        <f aca="false">2/(p_EmaF+1)*E287+(1-2/(p_EmaF+1))*H286</f>
        <v>27.5013279269822</v>
      </c>
      <c r="I287" s="40" t="n">
        <f aca="false">2/(p_EmaS+1)*E287+(1-2/(p_EmaS+1))*I286</f>
        <v>27.8327600680931</v>
      </c>
      <c r="J287" s="41" t="n">
        <f aca="false">2/(p_MacdF+1)*E287+(1-2/(p_MacdF+1))*J286</f>
        <v>27.4987886609478</v>
      </c>
      <c r="K287" s="41" t="n">
        <f aca="false">2/(p_MacdS+1)*E287+(1-2/(p_MacdS+1))*K286</f>
        <v>27.8327600680931</v>
      </c>
      <c r="L287" s="41" t="n">
        <f aca="false">J287-K287</f>
        <v>-0.333971407145327</v>
      </c>
      <c r="M287" s="41" t="n">
        <f aca="false">2/(p_MacdSig+1)*L287+(1-2/(p_MacdSig+1))*M286</f>
        <v>-0.577633609999359</v>
      </c>
      <c r="N287" s="41" t="n">
        <f aca="false">L287-M287</f>
        <v>0.243662202854032</v>
      </c>
      <c r="O287" s="42" t="n">
        <f aca="false">IF(H287&gt;H286,1,0)</f>
        <v>1</v>
      </c>
      <c r="P287" s="42" t="n">
        <f aca="false">IF(H287&lt;H286,1,0)</f>
        <v>0</v>
      </c>
      <c r="Q287" s="42" t="n">
        <f aca="false">IF(N287&gt;N286,1,0)</f>
        <v>1</v>
      </c>
      <c r="R287" s="42" t="n">
        <f aca="false">IF(N287&lt;N286,1,0)</f>
        <v>0</v>
      </c>
      <c r="S287" s="42" t="n">
        <f aca="false">IF(AND(O287=1,Q287=1),1,IF(AND(P287=1,R287=1),-1,0))</f>
        <v>1</v>
      </c>
      <c r="T287" s="43" t="str">
        <f aca="false">IF(S287=1,"绿",IF(S287=-1,"红","蓝"))</f>
        <v>绿</v>
      </c>
      <c r="U287" s="44" t="n">
        <f aca="false">F287*(E287-E286)</f>
        <v>888779.999999997</v>
      </c>
      <c r="V287" s="44" t="n">
        <f aca="false">2/(p_FiS+1)*U287+(1-2/(p_FiS+1))*V286</f>
        <v>1000742.14765593</v>
      </c>
      <c r="W287" s="44" t="n">
        <f aca="false">2/(p_FiL+1)*U287+(1-2/(p_FiL+1))*W286</f>
        <v>507919.811722628</v>
      </c>
      <c r="X287" s="41" t="n">
        <f aca="false">MAX(C287-D287,ABS(C287-E286),ABS(D287-E286))</f>
        <v>0.469999999999999</v>
      </c>
      <c r="Y287" s="41" t="n">
        <f aca="true">AVERAGE(OFFSET(X287,1-MIN(p_AtrN,ROW()-4),0,MIN(p_AtrN,ROW()-4),1))</f>
        <v>0.513846153846153</v>
      </c>
      <c r="Z287" s="41" t="n">
        <f aca="false">IF(AND(C287-C286&gt;D286-D287,C287-C286&gt;0),C287-C286,0)</f>
        <v>0.300000000000001</v>
      </c>
      <c r="AA287" s="41" t="n">
        <f aca="false">IF(AND(D286-D287&gt;C287-C286,D286-D287&gt;0),D286-D287,0)</f>
        <v>0</v>
      </c>
      <c r="AB287" s="41" t="n">
        <f aca="false">2/(p_AdxN+1)*X287+(1-2/(p_AdxN+1))*AB286</f>
        <v>0.533598610130336</v>
      </c>
      <c r="AC287" s="41" t="n">
        <f aca="false">2/(p_AdxN+1)*Z287+(1-2/(p_AdxN+1))*AC286</f>
        <v>0.163553982912291</v>
      </c>
      <c r="AD287" s="41" t="n">
        <f aca="false">2/(p_AdxN+1)*AA287+(1-2/(p_AdxN+1))*AD286</f>
        <v>0.0878545438466315</v>
      </c>
      <c r="AE287" s="45" t="n">
        <f aca="false">100*AC287/AB287</f>
        <v>30.6511261100064</v>
      </c>
      <c r="AF287" s="45" t="n">
        <f aca="false">100*AD287/AB287</f>
        <v>16.4645376091164</v>
      </c>
      <c r="AG287" s="45" t="n">
        <f aca="false">IFERROR(100*ABS(AE287-AF287)/(AE287+AF287),0)</f>
        <v>30.1101319201668</v>
      </c>
      <c r="AH287" s="45" t="n">
        <f aca="false">2/(p_AdxN+1)*AG287+(1-2/(p_AdxN+1))*AH286</f>
        <v>26.9993008799384</v>
      </c>
      <c r="AI287" s="40" t="n">
        <f aca="false">I287*(1+p_ChPct)</f>
        <v>29.5027256721787</v>
      </c>
      <c r="AJ287" s="40" t="n">
        <f aca="false">I287*(1-p_ChPct)</f>
        <v>26.1627944640075</v>
      </c>
      <c r="AK287" s="40" t="n">
        <f aca="false">I287+1*Y287</f>
        <v>28.3466062219393</v>
      </c>
      <c r="AL287" s="40" t="n">
        <f aca="false">I287+2*Y287</f>
        <v>28.8604523757854</v>
      </c>
      <c r="AM287" s="40" t="n">
        <f aca="false">I287+3*Y287</f>
        <v>29.3742985296316</v>
      </c>
      <c r="AN287" s="40" t="n">
        <f aca="false">I287-1*Y287</f>
        <v>27.318913914247</v>
      </c>
      <c r="AO287" s="40" t="n">
        <f aca="false">I287-2*Y287</f>
        <v>26.8050677604008</v>
      </c>
      <c r="AP287" s="40" t="n">
        <f aca="false">I287-3*Y287</f>
        <v>26.2912216065547</v>
      </c>
      <c r="AQ287" s="40" t="n">
        <f aca="true">MAX(OFFSET(C287,1-MIN(p_StochN,ROW()-4),0,MIN(p_StochN,ROW()-4),1))</f>
        <v>28.27</v>
      </c>
      <c r="AR287" s="40" t="n">
        <f aca="true">MIN(OFFSET(D287,1-MIN(p_StochN,ROW()-4),0,MIN(p_StochN,ROW()-4),1))</f>
        <v>26.88</v>
      </c>
      <c r="AS287" s="45" t="n">
        <f aca="false">IF(AQ287=AR287,50,100*(E287-AR287)/(AQ287-AR287))</f>
        <v>89.2086330935253</v>
      </c>
      <c r="AT287" s="45" t="n">
        <f aca="true">AVERAGE(OFFSET(AS287,1-MIN(p_StochSm,ROW()-4),0,MIN(p_StochSm,ROW()-4),1))</f>
        <v>93.6711811705249</v>
      </c>
      <c r="AU287" s="45" t="n">
        <f aca="true">AVERAGE(OFFSET(AT287,1-MIN(p_StochSm,ROW()-4),0,MIN(p_StochSm,ROW()-4),1))</f>
        <v>83.7475049820794</v>
      </c>
      <c r="AV287" s="41" t="n">
        <f aca="false">MAX(0,H287-D287)</f>
        <v>0</v>
      </c>
      <c r="AW287" s="41" t="n">
        <f aca="true">IF(COUNTIF(OFFSET(AV287,1-MIN(p_PenLb,ROW()-4),0,MIN(p_PenLb,ROW()-4),1),"&gt;0")&gt;0,SUM(OFFSET(AV287,1-MIN(p_PenLb,ROW()-4),0,MIN(p_PenLb,ROW()-4),1))/COUNTIF(OFFSET(AV287,1-MIN(p_PenLb,ROW()-4),0,MIN(p_PenLb,ROW()-4),1),"&gt;0"),0.5*Y287)</f>
        <v>1.07983279195234</v>
      </c>
      <c r="AX287" s="41" t="n">
        <f aca="false">2*H287-H286</f>
        <v>27.6044399391518</v>
      </c>
      <c r="AY287" s="40" t="n">
        <f aca="false">ROUND(MAX(AX287-AW287,0.01),2)</f>
        <v>26.52</v>
      </c>
      <c r="AZ287" s="40" t="n">
        <f aca="true">IF(MIN(p_StopLb,ROW()-4)&lt;2,D287,SMALL(OFFSET(D287,1-MIN(p_StopLb,ROW()-4),0,MIN(p_StopLb,ROW()-4),1),2))</f>
        <v>26.6</v>
      </c>
      <c r="BA287" s="40" t="n">
        <f aca="false">IF(MOD(ROUND(ROUNDDOWN(MIN(AZ287-0.01,AY287-p_StopAtr*Y287),2)*100,0),50)=0,ROUNDDOWN(MIN(AZ287-0.01,AY287-p_StopAtr*Y287),2)-0.01,ROUNDDOWN(MIN(AZ287-0.01,AY287-p_StopAtr*Y287),2))</f>
        <v>25.99</v>
      </c>
      <c r="BB287" s="40" t="n">
        <f aca="false">ROUND(AI287,2)</f>
        <v>29.5</v>
      </c>
      <c r="BC287" s="40" t="n">
        <f aca="false">IF(AY287-BA287&gt;0,(BB287-AY287)/(AY287-BA287),0)</f>
        <v>5.62264150943395</v>
      </c>
      <c r="BD287" s="42" t="n">
        <f aca="false">IF(N287&lt;0,1,0)</f>
        <v>0</v>
      </c>
      <c r="BE287" s="41" t="n">
        <f aca="false">IF(AND(BD287=1,BD286=0),N287,IF(BD287=1,MIN(BE286,N287),BE286))</f>
        <v>-0.356654552541767</v>
      </c>
      <c r="BF287" s="40" t="n">
        <f aca="false">IF(AND(BD287=1,BD286=0),D287,IF(BD287=1,MIN(BF286,D287),BF286))</f>
        <v>25.91</v>
      </c>
      <c r="BG287" s="42" t="n">
        <f aca="false">IF(AND(BD287=1,BD286=0),ROW(),IF(BD287=1,IF(N287&lt;BE286,ROW(),BG286),BG286))</f>
        <v>261</v>
      </c>
      <c r="BH287" s="41" t="n">
        <f aca="false">IF(AND(BD287=1,BD286=0),BE286,BH286)</f>
        <v>-0.153190541609803</v>
      </c>
      <c r="BI287" s="40" t="n">
        <f aca="false">IF(AND(BD287=1,BD286=0),BF286,BI286)</f>
        <v>27.9</v>
      </c>
      <c r="BJ287" s="42" t="n">
        <f aca="false">IF(AND(BD287=1,BD286=0),BG286,BJ286)</f>
        <v>226</v>
      </c>
      <c r="BK287" s="42" t="n">
        <f aca="false">IF(AND(ISNUMBER(BG287),ISNUMBER(BJ287)),BG287-BJ287,"")</f>
        <v>35</v>
      </c>
      <c r="BL287" s="42" t="n">
        <f aca="false">IF(AND(BD287=1,N287&gt;N286,ISNUMBER(BH287),ISNUMBER(BK287)),IF(AND(BE287&gt;BH287,BF287&lt;BI287,BK287&gt;=p_GapMin,BK287&lt;=p_GapMax),1,0),0)</f>
        <v>0</v>
      </c>
      <c r="BM287" s="42" t="n">
        <f aca="false">IF(AND(BL287=1,E287&gt;BI287),1,0)</f>
        <v>0</v>
      </c>
      <c r="BN287" s="42" t="n">
        <f aca="false">IF(BL287=1,IF(BE287&gt;=BH287*0.5,1,0),0)</f>
        <v>0</v>
      </c>
      <c r="BO287" s="42" t="n">
        <f aca="true">IF(V287&gt;MIN(OFFSET(V287,-MIN(p_FiLb-1,ROW()-5),0,MIN(p_FiLb-1,ROW()-5),1)),1,0)</f>
        <v>1</v>
      </c>
      <c r="BP287" s="44" t="n">
        <f aca="true">IF(COUNTIF(OFFSET(V287,1-MIN(100,ROW()-4),0,MIN(100,ROW()-4),1),"&lt;0")&gt;=5,AVERAGEIF(OFFSET(V287,1-MIN(100,ROW()-4),0,MIN(100,ROW()-4),1),"&lt;0"),"")</f>
        <v>-1145629.52772768</v>
      </c>
      <c r="BQ287" s="42" t="n">
        <f aca="false">IF(ISNUMBER(BP287),IF(AND(V287&lt;5*BP287,V287&gt;V286,E287&lt;AJ287),1,0),0)</f>
        <v>0</v>
      </c>
      <c r="BR287" s="44" t="n">
        <f aca="true">AVERAGE(OFFSET(F287,1-MIN(5,ROW()-4),0,MIN(5,ROW()-4),1))</f>
        <v>4183040</v>
      </c>
      <c r="BS287" s="42" t="n">
        <f aca="false">IFERROR(IF(MATCH(G287,周线!$A$5:$A$84,0)&lt;=1,"",INDEX(周线!$R$5:$R$84,MATCH(G287,周线!$A$5:$A$84,0)-1)),"")</f>
        <v>1</v>
      </c>
      <c r="BT287" s="42" t="n">
        <f aca="false">IFERROR(IF(MATCH(G287,周线!$A$5:$A$84,0)&lt;=1,"",INDEX(周线!$S$5:$S$84,MATCH(G287,周线!$A$5:$A$84,0)-1)),"")</f>
        <v>1</v>
      </c>
      <c r="BU287" s="42" t="n">
        <f aca="false">IFERROR(IF(MATCH(G287,周线!$A$5:$A$84,0)&lt;=1,"",INDEX(周线!$U$5:$U$84,MATCH(G287,周线!$A$5:$A$84,0)-1)),"")</f>
        <v>0</v>
      </c>
      <c r="BV287" s="42" t="n">
        <f aca="false">IF(AND(BS287=1,S287&lt;&gt;-1,V287&lt;0,BO287=1,E287&lt;=H287,E287&gt;=AJ287),1,0)</f>
        <v>0</v>
      </c>
      <c r="BW287" s="42" t="n">
        <f aca="false">BL287</f>
        <v>0</v>
      </c>
      <c r="BX287" s="42" t="n">
        <f aca="false">BQ287</f>
        <v>0</v>
      </c>
      <c r="BY287" s="42" t="n">
        <f aca="false">IF(BS287=1,10,0)+IF(BU287=1,5,IF(BU287=-1,0,3))+IF(BT287=1,5,0)+IF(AND(AE287&gt;AF287,AH287&gt;AH286),5,0)</f>
        <v>23</v>
      </c>
      <c r="BZ287" s="42" t="n">
        <f aca="false">IF(AND(E287&lt;=H287,E287&gt;=I287),10,IF(AND(E287&gt;=AJ287,E287&lt;I287),6,0))+IF(AND(V287&lt;0,BO287=1),8,0)+IF(AT287&lt;30,7,IF(AT287&lt;50,3,0))</f>
        <v>0</v>
      </c>
      <c r="CA287" s="42" t="n">
        <f aca="false">IF(AND(BV287=1,BW287=1),25,IF(BW287=1,22,IF(BV287=1,15,IF(BX287=1,12,0))))</f>
        <v>0</v>
      </c>
      <c r="CB287" s="42" t="n">
        <f aca="false">IF(W287&gt;0,6,0)+IF(F287&lt;BR287,4,0)</f>
        <v>6</v>
      </c>
      <c r="CC287" s="42" t="n">
        <f aca="false">IF(BC287&gt;=3,15,IF(BC287&gt;=p_RRmin,10,IF(BC287&gt;=1.5,4,0)))</f>
        <v>15</v>
      </c>
      <c r="CD287" s="42" t="n">
        <f aca="false">BY287+BZ287+CA287+CB287+CC287</f>
        <v>44</v>
      </c>
      <c r="CE287" s="42" t="n">
        <f aca="false">IF(AND(BS287&lt;&gt;1,BW287+BX287=0),1,0)</f>
        <v>0</v>
      </c>
      <c r="CF287" s="42" t="n">
        <f aca="false">IF(BU287=-1,1,0)</f>
        <v>0</v>
      </c>
      <c r="CG287" s="42" t="n">
        <f aca="false">IF(S287=-1,1,0)</f>
        <v>0</v>
      </c>
      <c r="CH287" s="42" t="n">
        <f aca="false">IF(BV287+BW287+BX287=0,1,0)</f>
        <v>1</v>
      </c>
      <c r="CI287" s="42" t="n">
        <f aca="false">IF(BC287&lt;p_RRmin,1,0)</f>
        <v>0</v>
      </c>
      <c r="CJ287" s="46" t="str">
        <f aca="false">IF(SUM(CE287:CI287)=0,IF(CD287&gt;=p_GradeA,"A",IF(CD287&gt;=p_GradeB,"B","C")),IF(AND(CI287=1,SUM(CE287:CH287)=0,CD287&gt;=p_GradeB),"B","C"))</f>
        <v>C</v>
      </c>
    </row>
    <row r="288" customFormat="false" ht="15" hidden="false" customHeight="false" outlineLevel="0" collapsed="false">
      <c r="A288" s="36" t="n">
        <v>46056</v>
      </c>
      <c r="B288" s="37" t="n">
        <v>28.15</v>
      </c>
      <c r="C288" s="37" t="n">
        <v>28.96</v>
      </c>
      <c r="D288" s="37" t="n">
        <v>28</v>
      </c>
      <c r="E288" s="37" t="n">
        <v>28.82</v>
      </c>
      <c r="F288" s="38" t="n">
        <v>4283800</v>
      </c>
      <c r="G288" s="39" t="n">
        <f aca="false">A288-WEEKDAY(A288,3)</f>
        <v>46055</v>
      </c>
      <c r="H288" s="40" t="n">
        <f aca="false">2/(p_EmaF+1)*E288+(1-2/(p_EmaF+1))*H287</f>
        <v>27.689709651699</v>
      </c>
      <c r="I288" s="40" t="n">
        <f aca="false">2/(p_EmaS+1)*E288+(1-2/(p_EmaS+1))*I287</f>
        <v>27.9058889519381</v>
      </c>
      <c r="J288" s="41" t="n">
        <f aca="false">2/(p_MacdF+1)*E288+(1-2/(p_MacdF+1))*J287</f>
        <v>27.7020519438789</v>
      </c>
      <c r="K288" s="41" t="n">
        <f aca="false">2/(p_MacdS+1)*E288+(1-2/(p_MacdS+1))*K287</f>
        <v>27.9058889519381</v>
      </c>
      <c r="L288" s="41" t="n">
        <f aca="false">J288-K288</f>
        <v>-0.203837008059171</v>
      </c>
      <c r="M288" s="41" t="n">
        <f aca="false">2/(p_MacdSig+1)*L288+(1-2/(p_MacdSig+1))*M287</f>
        <v>-0.502874289611321</v>
      </c>
      <c r="N288" s="41" t="n">
        <f aca="false">L288-M288</f>
        <v>0.29903728155215</v>
      </c>
      <c r="O288" s="42" t="n">
        <f aca="false">IF(H288&gt;H287,1,0)</f>
        <v>1</v>
      </c>
      <c r="P288" s="42" t="n">
        <f aca="false">IF(H288&lt;H287,1,0)</f>
        <v>0</v>
      </c>
      <c r="Q288" s="42" t="n">
        <f aca="false">IF(N288&gt;N287,1,0)</f>
        <v>1</v>
      </c>
      <c r="R288" s="42" t="n">
        <f aca="false">IF(N288&lt;N287,1,0)</f>
        <v>0</v>
      </c>
      <c r="S288" s="42" t="n">
        <f aca="false">IF(AND(O288=1,Q288=1),1,IF(AND(P288=1,R288=1),-1,0))</f>
        <v>1</v>
      </c>
      <c r="T288" s="43" t="str">
        <f aca="false">IF(S288=1,"绿",IF(S288=-1,"红","蓝"))</f>
        <v>绿</v>
      </c>
      <c r="U288" s="44" t="n">
        <f aca="false">F288*(E288-E287)</f>
        <v>2998660</v>
      </c>
      <c r="V288" s="44" t="n">
        <f aca="false">2/(p_FiS+1)*U288+(1-2/(p_FiS+1))*V287</f>
        <v>2332687.38255198</v>
      </c>
      <c r="W288" s="44" t="n">
        <f aca="false">2/(p_FiL+1)*U288+(1-2/(p_FiL+1))*W287</f>
        <v>863739.838619395</v>
      </c>
      <c r="X288" s="41" t="n">
        <f aca="false">MAX(C288-D288,ABS(C288-E287),ABS(D288-E287))</f>
        <v>0.960000000000001</v>
      </c>
      <c r="Y288" s="41" t="n">
        <f aca="true">AVERAGE(OFFSET(X288,1-MIN(p_AtrN,ROW()-4),0,MIN(p_AtrN,ROW()-4),1))</f>
        <v>0.534615384615384</v>
      </c>
      <c r="Z288" s="41" t="n">
        <f aca="false">IF(AND(C288-C287&gt;D287-D288,C288-C287&gt;0),C288-C287,0)</f>
        <v>0.690000000000001</v>
      </c>
      <c r="AA288" s="41" t="n">
        <f aca="false">IF(AND(D287-D288&gt;C288-C287,D287-D288&gt;0),D287-D288,0)</f>
        <v>0</v>
      </c>
      <c r="AB288" s="41" t="n">
        <f aca="false">2/(p_AdxN+1)*X288+(1-2/(p_AdxN+1))*AB287</f>
        <v>0.594513094397431</v>
      </c>
      <c r="AC288" s="41" t="n">
        <f aca="false">2/(p_AdxN+1)*Z288+(1-2/(p_AdxN+1))*AC287</f>
        <v>0.238760556781964</v>
      </c>
      <c r="AD288" s="41" t="n">
        <f aca="false">2/(p_AdxN+1)*AA288+(1-2/(p_AdxN+1))*AD287</f>
        <v>0.0753038947256842</v>
      </c>
      <c r="AE288" s="45" t="n">
        <f aca="false">100*AC288/AB288</f>
        <v>40.160689315676</v>
      </c>
      <c r="AF288" s="45" t="n">
        <f aca="false">100*AD288/AB288</f>
        <v>12.6664821070104</v>
      </c>
      <c r="AG288" s="45" t="n">
        <f aca="false">IFERROR(100*ABS(AE288-AF288)/(AE288+AF288),0)</f>
        <v>52.0455789477655</v>
      </c>
      <c r="AH288" s="45" t="n">
        <f aca="false">2/(p_AdxN+1)*AG288+(1-2/(p_AdxN+1))*AH287</f>
        <v>30.5773406039137</v>
      </c>
      <c r="AI288" s="40" t="n">
        <f aca="false">I288*(1+p_ChPct)</f>
        <v>29.5802422890544</v>
      </c>
      <c r="AJ288" s="40" t="n">
        <f aca="false">I288*(1-p_ChPct)</f>
        <v>26.2315356148218</v>
      </c>
      <c r="AK288" s="40" t="n">
        <f aca="false">I288+1*Y288</f>
        <v>28.4405043365535</v>
      </c>
      <c r="AL288" s="40" t="n">
        <f aca="false">I288+2*Y288</f>
        <v>28.9751197211688</v>
      </c>
      <c r="AM288" s="40" t="n">
        <f aca="false">I288+3*Y288</f>
        <v>29.5097351057842</v>
      </c>
      <c r="AN288" s="40" t="n">
        <f aca="false">I288-1*Y288</f>
        <v>27.3712735673227</v>
      </c>
      <c r="AO288" s="40" t="n">
        <f aca="false">I288-2*Y288</f>
        <v>26.8366581827073</v>
      </c>
      <c r="AP288" s="40" t="n">
        <f aca="false">I288-3*Y288</f>
        <v>26.3020427980919</v>
      </c>
      <c r="AQ288" s="40" t="n">
        <f aca="true">MAX(OFFSET(C288,1-MIN(p_StochN,ROW()-4),0,MIN(p_StochN,ROW()-4),1))</f>
        <v>28.96</v>
      </c>
      <c r="AR288" s="40" t="n">
        <f aca="true">MIN(OFFSET(D288,1-MIN(p_StochN,ROW()-4),0,MIN(p_StochN,ROW()-4),1))</f>
        <v>27.21</v>
      </c>
      <c r="AS288" s="45" t="n">
        <f aca="false">IF(AQ288=AR288,50,100*(E288-AR288)/(AQ288-AR288))</f>
        <v>92</v>
      </c>
      <c r="AT288" s="45" t="n">
        <f aca="true">AVERAGE(OFFSET(AS288,1-MIN(p_StochSm,ROW()-4),0,MIN(p_StochSm,ROW()-4),1))</f>
        <v>92.5196660190097</v>
      </c>
      <c r="AU288" s="45" t="n">
        <f aca="true">AVERAGE(OFFSET(AT288,1-MIN(p_StochSm,ROW()-4),0,MIN(p_StochSm,ROW()-4),1))</f>
        <v>89.5368886045776</v>
      </c>
      <c r="AV288" s="41" t="n">
        <f aca="false">MAX(0,H288-D288)</f>
        <v>0</v>
      </c>
      <c r="AW288" s="41" t="n">
        <f aca="true">IF(COUNTIF(OFFSET(AV288,1-MIN(p_PenLb,ROW()-4),0,MIN(p_PenLb,ROW()-4),1),"&gt;0")&gt;0,SUM(OFFSET(AV288,1-MIN(p_PenLb,ROW()-4),0,MIN(p_PenLb,ROW()-4),1))/COUNTIF(OFFSET(AV288,1-MIN(p_PenLb,ROW()-4),0,MIN(p_PenLb,ROW()-4),1),"&gt;0"),0.5*Y288)</f>
        <v>1.0999273069437</v>
      </c>
      <c r="AX288" s="41" t="n">
        <f aca="false">2*H288-H287</f>
        <v>27.8780913764158</v>
      </c>
      <c r="AY288" s="40" t="n">
        <f aca="false">ROUND(MAX(AX288-AW288,0.01),2)</f>
        <v>26.78</v>
      </c>
      <c r="AZ288" s="40" t="n">
        <f aca="true">IF(MIN(p_StopLb,ROW()-4)&lt;2,D288,SMALL(OFFSET(D288,1-MIN(p_StopLb,ROW()-4),0,MIN(p_StopLb,ROW()-4),1),2))</f>
        <v>26.68</v>
      </c>
      <c r="BA288" s="40" t="n">
        <f aca="false">IF(MOD(ROUND(ROUNDDOWN(MIN(AZ288-0.01,AY288-p_StopAtr*Y288),2)*100,0),50)=0,ROUNDDOWN(MIN(AZ288-0.01,AY288-p_StopAtr*Y288),2)-0.01,ROUNDDOWN(MIN(AZ288-0.01,AY288-p_StopAtr*Y288),2))</f>
        <v>26.24</v>
      </c>
      <c r="BB288" s="40" t="n">
        <f aca="false">ROUND(AI288,2)</f>
        <v>29.58</v>
      </c>
      <c r="BC288" s="40" t="n">
        <f aca="false">IF(AY288-BA288&gt;0,(BB288-AY288)/(AY288-BA288),0)</f>
        <v>5.18518518518515</v>
      </c>
      <c r="BD288" s="42" t="n">
        <f aca="false">IF(N288&lt;0,1,0)</f>
        <v>0</v>
      </c>
      <c r="BE288" s="41" t="n">
        <f aca="false">IF(AND(BD288=1,BD287=0),N288,IF(BD288=1,MIN(BE287,N288),BE287))</f>
        <v>-0.356654552541767</v>
      </c>
      <c r="BF288" s="40" t="n">
        <f aca="false">IF(AND(BD288=1,BD287=0),D288,IF(BD288=1,MIN(BF287,D288),BF287))</f>
        <v>25.91</v>
      </c>
      <c r="BG288" s="42" t="n">
        <f aca="false">IF(AND(BD288=1,BD287=0),ROW(),IF(BD288=1,IF(N288&lt;BE287,ROW(),BG287),BG287))</f>
        <v>261</v>
      </c>
      <c r="BH288" s="41" t="n">
        <f aca="false">IF(AND(BD288=1,BD287=0),BE287,BH287)</f>
        <v>-0.153190541609803</v>
      </c>
      <c r="BI288" s="40" t="n">
        <f aca="false">IF(AND(BD288=1,BD287=0),BF287,BI287)</f>
        <v>27.9</v>
      </c>
      <c r="BJ288" s="42" t="n">
        <f aca="false">IF(AND(BD288=1,BD287=0),BG287,BJ287)</f>
        <v>226</v>
      </c>
      <c r="BK288" s="42" t="n">
        <f aca="false">IF(AND(ISNUMBER(BG288),ISNUMBER(BJ288)),BG288-BJ288,"")</f>
        <v>35</v>
      </c>
      <c r="BL288" s="42" t="n">
        <f aca="false">IF(AND(BD288=1,N288&gt;N287,ISNUMBER(BH288),ISNUMBER(BK288)),IF(AND(BE288&gt;BH288,BF288&lt;BI288,BK288&gt;=p_GapMin,BK288&lt;=p_GapMax),1,0),0)</f>
        <v>0</v>
      </c>
      <c r="BM288" s="42" t="n">
        <f aca="false">IF(AND(BL288=1,E288&gt;BI288),1,0)</f>
        <v>0</v>
      </c>
      <c r="BN288" s="42" t="n">
        <f aca="false">IF(BL288=1,IF(BE288&gt;=BH288*0.5,1,0),0)</f>
        <v>0</v>
      </c>
      <c r="BO288" s="42" t="n">
        <f aca="true">IF(V288&gt;MIN(OFFSET(V288,-MIN(p_FiLb-1,ROW()-5),0,MIN(p_FiLb-1,ROW()-5),1)),1,0)</f>
        <v>1</v>
      </c>
      <c r="BP288" s="44" t="n">
        <f aca="true">IF(COUNTIF(OFFSET(V288,1-MIN(100,ROW()-4),0,MIN(100,ROW()-4),1),"&lt;0")&gt;=5,AVERAGEIF(OFFSET(V288,1-MIN(100,ROW()-4),0,MIN(100,ROW()-4),1),"&lt;0"),"")</f>
        <v>-1165274.17808515</v>
      </c>
      <c r="BQ288" s="42" t="n">
        <f aca="false">IF(ISNUMBER(BP288),IF(AND(V288&lt;5*BP288,V288&gt;V287,E288&lt;AJ288),1,0),0)</f>
        <v>0</v>
      </c>
      <c r="BR288" s="44" t="n">
        <f aca="true">AVERAGE(OFFSET(F288,1-MIN(5,ROW()-4),0,MIN(5,ROW()-4),1))</f>
        <v>4029800</v>
      </c>
      <c r="BS288" s="42" t="n">
        <f aca="false">IFERROR(IF(MATCH(G288,周线!$A$5:$A$84,0)&lt;=1,"",INDEX(周线!$R$5:$R$84,MATCH(G288,周线!$A$5:$A$84,0)-1)),"")</f>
        <v>1</v>
      </c>
      <c r="BT288" s="42" t="n">
        <f aca="false">IFERROR(IF(MATCH(G288,周线!$A$5:$A$84,0)&lt;=1,"",INDEX(周线!$S$5:$S$84,MATCH(G288,周线!$A$5:$A$84,0)-1)),"")</f>
        <v>1</v>
      </c>
      <c r="BU288" s="42" t="n">
        <f aca="false">IFERROR(IF(MATCH(G288,周线!$A$5:$A$84,0)&lt;=1,"",INDEX(周线!$U$5:$U$84,MATCH(G288,周线!$A$5:$A$84,0)-1)),"")</f>
        <v>0</v>
      </c>
      <c r="BV288" s="42" t="n">
        <f aca="false">IF(AND(BS288=1,S288&lt;&gt;-1,V288&lt;0,BO288=1,E288&lt;=H288,E288&gt;=AJ288),1,0)</f>
        <v>0</v>
      </c>
      <c r="BW288" s="42" t="n">
        <f aca="false">BL288</f>
        <v>0</v>
      </c>
      <c r="BX288" s="42" t="n">
        <f aca="false">BQ288</f>
        <v>0</v>
      </c>
      <c r="BY288" s="42" t="n">
        <f aca="false">IF(BS288=1,10,0)+IF(BU288=1,5,IF(BU288=-1,0,3))+IF(BT288=1,5,0)+IF(AND(AE288&gt;AF288,AH288&gt;AH287),5,0)</f>
        <v>23</v>
      </c>
      <c r="BZ288" s="42" t="n">
        <f aca="false">IF(AND(E288&lt;=H288,E288&gt;=I288),10,IF(AND(E288&gt;=AJ288,E288&lt;I288),6,0))+IF(AND(V288&lt;0,BO288=1),8,0)+IF(AT288&lt;30,7,IF(AT288&lt;50,3,0))</f>
        <v>0</v>
      </c>
      <c r="CA288" s="42" t="n">
        <f aca="false">IF(AND(BV288=1,BW288=1),25,IF(BW288=1,22,IF(BV288=1,15,IF(BX288=1,12,0))))</f>
        <v>0</v>
      </c>
      <c r="CB288" s="42" t="n">
        <f aca="false">IF(W288&gt;0,6,0)+IF(F288&lt;BR288,4,0)</f>
        <v>6</v>
      </c>
      <c r="CC288" s="42" t="n">
        <f aca="false">IF(BC288&gt;=3,15,IF(BC288&gt;=p_RRmin,10,IF(BC288&gt;=1.5,4,0)))</f>
        <v>15</v>
      </c>
      <c r="CD288" s="42" t="n">
        <f aca="false">BY288+BZ288+CA288+CB288+CC288</f>
        <v>44</v>
      </c>
      <c r="CE288" s="42" t="n">
        <f aca="false">IF(AND(BS288&lt;&gt;1,BW288+BX288=0),1,0)</f>
        <v>0</v>
      </c>
      <c r="CF288" s="42" t="n">
        <f aca="false">IF(BU288=-1,1,0)</f>
        <v>0</v>
      </c>
      <c r="CG288" s="42" t="n">
        <f aca="false">IF(S288=-1,1,0)</f>
        <v>0</v>
      </c>
      <c r="CH288" s="42" t="n">
        <f aca="false">IF(BV288+BW288+BX288=0,1,0)</f>
        <v>1</v>
      </c>
      <c r="CI288" s="42" t="n">
        <f aca="false">IF(BC288&lt;p_RRmin,1,0)</f>
        <v>0</v>
      </c>
      <c r="CJ288" s="46" t="str">
        <f aca="false">IF(SUM(CE288:CI288)=0,IF(CD288&gt;=p_GradeA,"A",IF(CD288&gt;=p_GradeB,"B","C")),IF(AND(CI288=1,SUM(CE288:CH288)=0,CD288&gt;=p_GradeB),"B","C"))</f>
        <v>C</v>
      </c>
    </row>
    <row r="289" customFormat="false" ht="15" hidden="false" customHeight="false" outlineLevel="0" collapsed="false">
      <c r="A289" s="36" t="n">
        <v>46057</v>
      </c>
      <c r="B289" s="37" t="n">
        <v>28.91</v>
      </c>
      <c r="C289" s="37" t="n">
        <v>29</v>
      </c>
      <c r="D289" s="37" t="n">
        <v>28.83</v>
      </c>
      <c r="E289" s="37" t="n">
        <v>28.88</v>
      </c>
      <c r="F289" s="38" t="n">
        <v>2431100</v>
      </c>
      <c r="G289" s="39" t="n">
        <f aca="false">A289-WEEKDAY(A289,3)</f>
        <v>46055</v>
      </c>
      <c r="H289" s="40" t="n">
        <f aca="false">2/(p_EmaF+1)*E289+(1-2/(p_EmaF+1))*H288</f>
        <v>27.8597511300277</v>
      </c>
      <c r="I289" s="40" t="n">
        <f aca="false">2/(p_EmaS+1)*E289+(1-2/(p_EmaS+1))*I288</f>
        <v>27.9780453258686</v>
      </c>
      <c r="J289" s="41" t="n">
        <f aca="false">2/(p_MacdF+1)*E289+(1-2/(p_MacdF+1))*J288</f>
        <v>27.8832747217437</v>
      </c>
      <c r="K289" s="41" t="n">
        <f aca="false">2/(p_MacdS+1)*E289+(1-2/(p_MacdS+1))*K288</f>
        <v>27.9780453258686</v>
      </c>
      <c r="L289" s="41" t="n">
        <f aca="false">J289-K289</f>
        <v>-0.0947706041248999</v>
      </c>
      <c r="M289" s="41" t="n">
        <f aca="false">2/(p_MacdSig+1)*L289+(1-2/(p_MacdSig+1))*M288</f>
        <v>-0.421253552514037</v>
      </c>
      <c r="N289" s="41" t="n">
        <f aca="false">L289-M289</f>
        <v>0.326482948389137</v>
      </c>
      <c r="O289" s="42" t="n">
        <f aca="false">IF(H289&gt;H288,1,0)</f>
        <v>1</v>
      </c>
      <c r="P289" s="42" t="n">
        <f aca="false">IF(H289&lt;H288,1,0)</f>
        <v>0</v>
      </c>
      <c r="Q289" s="42" t="n">
        <f aca="false">IF(N289&gt;N288,1,0)</f>
        <v>1</v>
      </c>
      <c r="R289" s="42" t="n">
        <f aca="false">IF(N289&lt;N288,1,0)</f>
        <v>0</v>
      </c>
      <c r="S289" s="42" t="n">
        <f aca="false">IF(AND(O289=1,Q289=1),1,IF(AND(P289=1,R289=1),-1,0))</f>
        <v>1</v>
      </c>
      <c r="T289" s="43" t="str">
        <f aca="false">IF(S289=1,"绿",IF(S289=-1,"红","蓝"))</f>
        <v>绿</v>
      </c>
      <c r="U289" s="44" t="n">
        <f aca="false">F289*(E289-E288)</f>
        <v>145865.999999997</v>
      </c>
      <c r="V289" s="44" t="n">
        <f aca="false">2/(p_FiS+1)*U289+(1-2/(p_FiS+1))*V288</f>
        <v>874806.460850657</v>
      </c>
      <c r="W289" s="44" t="n">
        <f aca="false">2/(p_FiL+1)*U289+(1-2/(p_FiL+1))*W288</f>
        <v>761186.433102338</v>
      </c>
      <c r="X289" s="41" t="n">
        <f aca="false">MAX(C289-D289,ABS(C289-E288),ABS(D289-E288))</f>
        <v>0.18</v>
      </c>
      <c r="Y289" s="41" t="n">
        <f aca="true">AVERAGE(OFFSET(X289,1-MIN(p_AtrN,ROW()-4),0,MIN(p_AtrN,ROW()-4),1))</f>
        <v>0.501538461538461</v>
      </c>
      <c r="Z289" s="41" t="n">
        <f aca="false">IF(AND(C289-C288&gt;D288-D289,C289-C288&gt;0),C289-C288,0)</f>
        <v>0.0399999999999992</v>
      </c>
      <c r="AA289" s="41" t="n">
        <f aca="false">IF(AND(D288-D289&gt;C289-C288,D288-D289&gt;0),D288-D289,0)</f>
        <v>0</v>
      </c>
      <c r="AB289" s="41" t="n">
        <f aca="false">2/(p_AdxN+1)*X289+(1-2/(p_AdxN+1))*AB288</f>
        <v>0.535296938054941</v>
      </c>
      <c r="AC289" s="41" t="n">
        <f aca="false">2/(p_AdxN+1)*Z289+(1-2/(p_AdxN+1))*AC288</f>
        <v>0.210366191527397</v>
      </c>
      <c r="AD289" s="41" t="n">
        <f aca="false">2/(p_AdxN+1)*AA289+(1-2/(p_AdxN+1))*AD288</f>
        <v>0.0645461954791578</v>
      </c>
      <c r="AE289" s="45" t="n">
        <f aca="false">100*AC289/AB289</f>
        <v>39.2989715748769</v>
      </c>
      <c r="AF289" s="45" t="n">
        <f aca="false">100*AD289/AB289</f>
        <v>12.0580169417171</v>
      </c>
      <c r="AG289" s="45" t="n">
        <f aca="false">IFERROR(100*ABS(AE289-AF289)/(AE289+AF289),0)</f>
        <v>53.0423520147757</v>
      </c>
      <c r="AH289" s="45" t="n">
        <f aca="false">2/(p_AdxN+1)*AG289+(1-2/(p_AdxN+1))*AH288</f>
        <v>33.7866279483226</v>
      </c>
      <c r="AI289" s="40" t="n">
        <f aca="false">I289*(1+p_ChPct)</f>
        <v>29.6567280454207</v>
      </c>
      <c r="AJ289" s="40" t="n">
        <f aca="false">I289*(1-p_ChPct)</f>
        <v>26.2993626063165</v>
      </c>
      <c r="AK289" s="40" t="n">
        <f aca="false">I289+1*Y289</f>
        <v>28.479583787407</v>
      </c>
      <c r="AL289" s="40" t="n">
        <f aca="false">I289+2*Y289</f>
        <v>28.9811222489455</v>
      </c>
      <c r="AM289" s="40" t="n">
        <f aca="false">I289+3*Y289</f>
        <v>29.482660710484</v>
      </c>
      <c r="AN289" s="40" t="n">
        <f aca="false">I289-1*Y289</f>
        <v>27.4765068643301</v>
      </c>
      <c r="AO289" s="40" t="n">
        <f aca="false">I289-2*Y289</f>
        <v>26.9749684027917</v>
      </c>
      <c r="AP289" s="40" t="n">
        <f aca="false">I289-3*Y289</f>
        <v>26.4734299412532</v>
      </c>
      <c r="AQ289" s="40" t="n">
        <f aca="true">MAX(OFFSET(C289,1-MIN(p_StochN,ROW()-4),0,MIN(p_StochN,ROW()-4),1))</f>
        <v>29</v>
      </c>
      <c r="AR289" s="40" t="n">
        <f aca="true">MIN(OFFSET(D289,1-MIN(p_StochN,ROW()-4),0,MIN(p_StochN,ROW()-4),1))</f>
        <v>27.23</v>
      </c>
      <c r="AS289" s="45" t="n">
        <f aca="false">IF(AQ289=AR289,50,100*(E289-AR289)/(AQ289-AR289))</f>
        <v>93.2203389830508</v>
      </c>
      <c r="AT289" s="45" t="n">
        <f aca="true">AVERAGE(OFFSET(AS289,1-MIN(p_StochSm,ROW()-4),0,MIN(p_StochSm,ROW()-4),1))</f>
        <v>91.4763240255254</v>
      </c>
      <c r="AU289" s="45" t="n">
        <f aca="true">AVERAGE(OFFSET(AT289,1-MIN(p_StochSm,ROW()-4),0,MIN(p_StochSm,ROW()-4),1))</f>
        <v>92.5557237383533</v>
      </c>
      <c r="AV289" s="41" t="n">
        <f aca="false">MAX(0,H289-D289)</f>
        <v>0</v>
      </c>
      <c r="AW289" s="41" t="n">
        <f aca="true">IF(COUNTIF(OFFSET(AV289,1-MIN(p_PenLb,ROW()-4),0,MIN(p_PenLb,ROW()-4),1),"&gt;0")&gt;0,SUM(OFFSET(AV289,1-MIN(p_PenLb,ROW()-4),0,MIN(p_PenLb,ROW()-4),1))/COUNTIF(OFFSET(AV289,1-MIN(p_PenLb,ROW()-4),0,MIN(p_PenLb,ROW()-4),1),"&gt;0"),0.5*Y289)</f>
        <v>1.09401438543251</v>
      </c>
      <c r="AX289" s="41" t="n">
        <f aca="false">2*H289-H288</f>
        <v>28.0297926083564</v>
      </c>
      <c r="AY289" s="40" t="n">
        <f aca="false">ROUND(MAX(AX289-AW289,0.01),2)</f>
        <v>26.94</v>
      </c>
      <c r="AZ289" s="40" t="n">
        <f aca="true">IF(MIN(p_StopLb,ROW()-4)&lt;2,D289,SMALL(OFFSET(D289,1-MIN(p_StopLb,ROW()-4),0,MIN(p_StopLb,ROW()-4),1),2))</f>
        <v>26.72</v>
      </c>
      <c r="BA289" s="40" t="n">
        <f aca="false">IF(MOD(ROUND(ROUNDDOWN(MIN(AZ289-0.01,AY289-p_StopAtr*Y289),2)*100,0),50)=0,ROUNDDOWN(MIN(AZ289-0.01,AY289-p_StopAtr*Y289),2)-0.01,ROUNDDOWN(MIN(AZ289-0.01,AY289-p_StopAtr*Y289),2))</f>
        <v>26.43</v>
      </c>
      <c r="BB289" s="40" t="n">
        <f aca="false">ROUND(AI289,2)</f>
        <v>29.66</v>
      </c>
      <c r="BC289" s="40" t="n">
        <f aca="false">IF(AY289-BA289&gt;0,(BB289-AY289)/(AY289-BA289),0)</f>
        <v>5.33333333333331</v>
      </c>
      <c r="BD289" s="42" t="n">
        <f aca="false">IF(N289&lt;0,1,0)</f>
        <v>0</v>
      </c>
      <c r="BE289" s="41" t="n">
        <f aca="false">IF(AND(BD289=1,BD288=0),N289,IF(BD289=1,MIN(BE288,N289),BE288))</f>
        <v>-0.356654552541767</v>
      </c>
      <c r="BF289" s="40" t="n">
        <f aca="false">IF(AND(BD289=1,BD288=0),D289,IF(BD289=1,MIN(BF288,D289),BF288))</f>
        <v>25.91</v>
      </c>
      <c r="BG289" s="42" t="n">
        <f aca="false">IF(AND(BD289=1,BD288=0),ROW(),IF(BD289=1,IF(N289&lt;BE288,ROW(),BG288),BG288))</f>
        <v>261</v>
      </c>
      <c r="BH289" s="41" t="n">
        <f aca="false">IF(AND(BD289=1,BD288=0),BE288,BH288)</f>
        <v>-0.153190541609803</v>
      </c>
      <c r="BI289" s="40" t="n">
        <f aca="false">IF(AND(BD289=1,BD288=0),BF288,BI288)</f>
        <v>27.9</v>
      </c>
      <c r="BJ289" s="42" t="n">
        <f aca="false">IF(AND(BD289=1,BD288=0),BG288,BJ288)</f>
        <v>226</v>
      </c>
      <c r="BK289" s="42" t="n">
        <f aca="false">IF(AND(ISNUMBER(BG289),ISNUMBER(BJ289)),BG289-BJ289,"")</f>
        <v>35</v>
      </c>
      <c r="BL289" s="42" t="n">
        <f aca="false">IF(AND(BD289=1,N289&gt;N288,ISNUMBER(BH289),ISNUMBER(BK289)),IF(AND(BE289&gt;BH289,BF289&lt;BI289,BK289&gt;=p_GapMin,BK289&lt;=p_GapMax),1,0),0)</f>
        <v>0</v>
      </c>
      <c r="BM289" s="42" t="n">
        <f aca="false">IF(AND(BL289=1,E289&gt;BI289),1,0)</f>
        <v>0</v>
      </c>
      <c r="BN289" s="42" t="n">
        <f aca="false">IF(BL289=1,IF(BE289&gt;=BH289*0.5,1,0),0)</f>
        <v>0</v>
      </c>
      <c r="BO289" s="42" t="n">
        <f aca="true">IF(V289&gt;MIN(OFFSET(V289,-MIN(p_FiLb-1,ROW()-5),0,MIN(p_FiLb-1,ROW()-5),1)),1,0)</f>
        <v>1</v>
      </c>
      <c r="BP289" s="44" t="n">
        <f aca="true">IF(COUNTIF(OFFSET(V289,1-MIN(100,ROW()-4),0,MIN(100,ROW()-4),1),"&lt;0")&gt;=5,AVERAGEIF(OFFSET(V289,1-MIN(100,ROW()-4),0,MIN(100,ROW()-4),1),"&lt;0"),"")</f>
        <v>-1117735.90008435</v>
      </c>
      <c r="BQ289" s="42" t="n">
        <f aca="false">IF(ISNUMBER(BP289),IF(AND(V289&lt;5*BP289,V289&gt;V288,E289&lt;AJ289),1,0),0)</f>
        <v>0</v>
      </c>
      <c r="BR289" s="44" t="n">
        <f aca="true">AVERAGE(OFFSET(F289,1-MIN(5,ROW()-4),0,MIN(5,ROW()-4),1))</f>
        <v>3957900</v>
      </c>
      <c r="BS289" s="42" t="n">
        <f aca="false">IFERROR(IF(MATCH(G289,周线!$A$5:$A$84,0)&lt;=1,"",INDEX(周线!$R$5:$R$84,MATCH(G289,周线!$A$5:$A$84,0)-1)),"")</f>
        <v>1</v>
      </c>
      <c r="BT289" s="42" t="n">
        <f aca="false">IFERROR(IF(MATCH(G289,周线!$A$5:$A$84,0)&lt;=1,"",INDEX(周线!$S$5:$S$84,MATCH(G289,周线!$A$5:$A$84,0)-1)),"")</f>
        <v>1</v>
      </c>
      <c r="BU289" s="42" t="n">
        <f aca="false">IFERROR(IF(MATCH(G289,周线!$A$5:$A$84,0)&lt;=1,"",INDEX(周线!$U$5:$U$84,MATCH(G289,周线!$A$5:$A$84,0)-1)),"")</f>
        <v>0</v>
      </c>
      <c r="BV289" s="42" t="n">
        <f aca="false">IF(AND(BS289=1,S289&lt;&gt;-1,V289&lt;0,BO289=1,E289&lt;=H289,E289&gt;=AJ289),1,0)</f>
        <v>0</v>
      </c>
      <c r="BW289" s="42" t="n">
        <f aca="false">BL289</f>
        <v>0</v>
      </c>
      <c r="BX289" s="42" t="n">
        <f aca="false">BQ289</f>
        <v>0</v>
      </c>
      <c r="BY289" s="42" t="n">
        <f aca="false">IF(BS289=1,10,0)+IF(BU289=1,5,IF(BU289=-1,0,3))+IF(BT289=1,5,0)+IF(AND(AE289&gt;AF289,AH289&gt;AH288),5,0)</f>
        <v>23</v>
      </c>
      <c r="BZ289" s="42" t="n">
        <f aca="false">IF(AND(E289&lt;=H289,E289&gt;=I289),10,IF(AND(E289&gt;=AJ289,E289&lt;I289),6,0))+IF(AND(V289&lt;0,BO289=1),8,0)+IF(AT289&lt;30,7,IF(AT289&lt;50,3,0))</f>
        <v>0</v>
      </c>
      <c r="CA289" s="42" t="n">
        <f aca="false">IF(AND(BV289=1,BW289=1),25,IF(BW289=1,22,IF(BV289=1,15,IF(BX289=1,12,0))))</f>
        <v>0</v>
      </c>
      <c r="CB289" s="42" t="n">
        <f aca="false">IF(W289&gt;0,6,0)+IF(F289&lt;BR289,4,0)</f>
        <v>10</v>
      </c>
      <c r="CC289" s="42" t="n">
        <f aca="false">IF(BC289&gt;=3,15,IF(BC289&gt;=p_RRmin,10,IF(BC289&gt;=1.5,4,0)))</f>
        <v>15</v>
      </c>
      <c r="CD289" s="42" t="n">
        <f aca="false">BY289+BZ289+CA289+CB289+CC289</f>
        <v>48</v>
      </c>
      <c r="CE289" s="42" t="n">
        <f aca="false">IF(AND(BS289&lt;&gt;1,BW289+BX289=0),1,0)</f>
        <v>0</v>
      </c>
      <c r="CF289" s="42" t="n">
        <f aca="false">IF(BU289=-1,1,0)</f>
        <v>0</v>
      </c>
      <c r="CG289" s="42" t="n">
        <f aca="false">IF(S289=-1,1,0)</f>
        <v>0</v>
      </c>
      <c r="CH289" s="42" t="n">
        <f aca="false">IF(BV289+BW289+BX289=0,1,0)</f>
        <v>1</v>
      </c>
      <c r="CI289" s="42" t="n">
        <f aca="false">IF(BC289&lt;p_RRmin,1,0)</f>
        <v>0</v>
      </c>
      <c r="CJ289" s="46" t="str">
        <f aca="false">IF(SUM(CE289:CI289)=0,IF(CD289&gt;=p_GradeA,"A",IF(CD289&gt;=p_GradeB,"B","C")),IF(AND(CI289=1,SUM(CE289:CH289)=0,CD289&gt;=p_GradeB),"B","C"))</f>
        <v>C</v>
      </c>
    </row>
    <row r="290" customFormat="false" ht="15" hidden="false" customHeight="false" outlineLevel="0" collapsed="false">
      <c r="A290" s="36" t="n">
        <v>46058</v>
      </c>
      <c r="B290" s="37" t="n">
        <v>28.99</v>
      </c>
      <c r="C290" s="37" t="n">
        <v>29.19</v>
      </c>
      <c r="D290" s="37" t="n">
        <v>28.84</v>
      </c>
      <c r="E290" s="37" t="n">
        <v>29.07</v>
      </c>
      <c r="F290" s="38" t="n">
        <v>4466300</v>
      </c>
      <c r="G290" s="39" t="n">
        <f aca="false">A290-WEEKDAY(A290,3)</f>
        <v>46055</v>
      </c>
      <c r="H290" s="40" t="n">
        <f aca="false">2/(p_EmaF+1)*E290+(1-2/(p_EmaF+1))*H289</f>
        <v>28.0326438257381</v>
      </c>
      <c r="I290" s="40" t="n">
        <f aca="false">2/(p_EmaS+1)*E290+(1-2/(p_EmaS+1))*I289</f>
        <v>28.0589308572857</v>
      </c>
      <c r="J290" s="41" t="n">
        <f aca="false">2/(p_MacdF+1)*E290+(1-2/(p_MacdF+1))*J289</f>
        <v>28.0658478414754</v>
      </c>
      <c r="K290" s="41" t="n">
        <f aca="false">2/(p_MacdS+1)*E290+(1-2/(p_MacdS+1))*K289</f>
        <v>28.0589308572857</v>
      </c>
      <c r="L290" s="41" t="n">
        <f aca="false">J290-K290</f>
        <v>0.00691698418970077</v>
      </c>
      <c r="M290" s="41" t="n">
        <f aca="false">2/(p_MacdSig+1)*L290+(1-2/(p_MacdSig+1))*M289</f>
        <v>-0.335619445173289</v>
      </c>
      <c r="N290" s="41" t="n">
        <f aca="false">L290-M290</f>
        <v>0.34253642936299</v>
      </c>
      <c r="O290" s="42" t="n">
        <f aca="false">IF(H290&gt;H289,1,0)</f>
        <v>1</v>
      </c>
      <c r="P290" s="42" t="n">
        <f aca="false">IF(H290&lt;H289,1,0)</f>
        <v>0</v>
      </c>
      <c r="Q290" s="42" t="n">
        <f aca="false">IF(N290&gt;N289,1,0)</f>
        <v>1</v>
      </c>
      <c r="R290" s="42" t="n">
        <f aca="false">IF(N290&lt;N289,1,0)</f>
        <v>0</v>
      </c>
      <c r="S290" s="42" t="n">
        <f aca="false">IF(AND(O290=1,Q290=1),1,IF(AND(P290=1,R290=1),-1,0))</f>
        <v>1</v>
      </c>
      <c r="T290" s="43" t="str">
        <f aca="false">IF(S290=1,"绿",IF(S290=-1,"红","蓝"))</f>
        <v>绿</v>
      </c>
      <c r="U290" s="44" t="n">
        <f aca="false">F290*(E290-E289)</f>
        <v>848597.000000006</v>
      </c>
      <c r="V290" s="44" t="n">
        <f aca="false">2/(p_FiS+1)*U290+(1-2/(p_FiS+1))*V289</f>
        <v>857333.486950223</v>
      </c>
      <c r="W290" s="44" t="n">
        <f aca="false">2/(p_FiL+1)*U290+(1-2/(p_FiL+1))*W289</f>
        <v>773673.656944862</v>
      </c>
      <c r="X290" s="41" t="n">
        <f aca="false">MAX(C290-D290,ABS(C290-E289),ABS(D290-E289))</f>
        <v>0.350000000000001</v>
      </c>
      <c r="Y290" s="41" t="n">
        <f aca="true">AVERAGE(OFFSET(X290,1-MIN(p_AtrN,ROW()-4),0,MIN(p_AtrN,ROW()-4),1))</f>
        <v>0.489230769230769</v>
      </c>
      <c r="Z290" s="41" t="n">
        <f aca="false">IF(AND(C290-C289&gt;D289-D290,C290-C289&gt;0),C290-C289,0)</f>
        <v>0.190000000000001</v>
      </c>
      <c r="AA290" s="41" t="n">
        <f aca="false">IF(AND(D289-D290&gt;C290-C289,D289-D290&gt;0),D289-D290,0)</f>
        <v>0</v>
      </c>
      <c r="AB290" s="41" t="n">
        <f aca="false">2/(p_AdxN+1)*X290+(1-2/(p_AdxN+1))*AB289</f>
        <v>0.508825946904235</v>
      </c>
      <c r="AC290" s="41" t="n">
        <f aca="false">2/(p_AdxN+1)*Z290+(1-2/(p_AdxN+1))*AC289</f>
        <v>0.207456735594912</v>
      </c>
      <c r="AD290" s="41" t="n">
        <f aca="false">2/(p_AdxN+1)*AA290+(1-2/(p_AdxN+1))*AD289</f>
        <v>0.0553253104107067</v>
      </c>
      <c r="AE290" s="45" t="n">
        <f aca="false">100*AC290/AB290</f>
        <v>40.7716502778812</v>
      </c>
      <c r="AF290" s="45" t="n">
        <f aca="false">100*AD290/AB290</f>
        <v>10.8731307330755</v>
      </c>
      <c r="AG290" s="45" t="n">
        <f aca="false">IFERROR(100*ABS(AE290-AF290)/(AE290+AF290),0)</f>
        <v>57.892625275074</v>
      </c>
      <c r="AH290" s="45" t="n">
        <f aca="false">2/(p_AdxN+1)*AG290+(1-2/(p_AdxN+1))*AH289</f>
        <v>37.2303418521442</v>
      </c>
      <c r="AI290" s="40" t="n">
        <f aca="false">I290*(1+p_ChPct)</f>
        <v>29.7424667087229</v>
      </c>
      <c r="AJ290" s="40" t="n">
        <f aca="false">I290*(1-p_ChPct)</f>
        <v>26.3753950058486</v>
      </c>
      <c r="AK290" s="40" t="n">
        <f aca="false">I290+1*Y290</f>
        <v>28.5481616265165</v>
      </c>
      <c r="AL290" s="40" t="n">
        <f aca="false">I290+2*Y290</f>
        <v>29.0373923957473</v>
      </c>
      <c r="AM290" s="40" t="n">
        <f aca="false">I290+3*Y290</f>
        <v>29.526623164978</v>
      </c>
      <c r="AN290" s="40" t="n">
        <f aca="false">I290-1*Y290</f>
        <v>27.569700088055</v>
      </c>
      <c r="AO290" s="40" t="n">
        <f aca="false">I290-2*Y290</f>
        <v>27.0804693188242</v>
      </c>
      <c r="AP290" s="40" t="n">
        <f aca="false">I290-3*Y290</f>
        <v>26.5912385495934</v>
      </c>
      <c r="AQ290" s="40" t="n">
        <f aca="true">MAX(OFFSET(C290,1-MIN(p_StochN,ROW()-4),0,MIN(p_StochN,ROW()-4),1))</f>
        <v>29.19</v>
      </c>
      <c r="AR290" s="40" t="n">
        <f aca="true">MIN(OFFSET(D290,1-MIN(p_StochN,ROW()-4),0,MIN(p_StochN,ROW()-4),1))</f>
        <v>27.61</v>
      </c>
      <c r="AS290" s="45" t="n">
        <f aca="false">IF(AQ290=AR290,50,100*(E290-AR290)/(AQ290-AR290))</f>
        <v>92.4050632911392</v>
      </c>
      <c r="AT290" s="45" t="n">
        <f aca="true">AVERAGE(OFFSET(AS290,1-MIN(p_StochSm,ROW()-4),0,MIN(p_StochSm,ROW()-4),1))</f>
        <v>92.5418007580633</v>
      </c>
      <c r="AU290" s="45" t="n">
        <f aca="true">AVERAGE(OFFSET(AT290,1-MIN(p_StochSm,ROW()-4),0,MIN(p_StochSm,ROW()-4),1))</f>
        <v>92.1792636008661</v>
      </c>
      <c r="AV290" s="41" t="n">
        <f aca="false">MAX(0,H290-D290)</f>
        <v>0</v>
      </c>
      <c r="AW290" s="41" t="n">
        <f aca="true">IF(COUNTIF(OFFSET(AV290,1-MIN(p_PenLb,ROW()-4),0,MIN(p_PenLb,ROW()-4),1),"&gt;0")&gt;0,SUM(OFFSET(AV290,1-MIN(p_PenLb,ROW()-4),0,MIN(p_PenLb,ROW()-4),1))/COUNTIF(OFFSET(AV290,1-MIN(p_PenLb,ROW()-4),0,MIN(p_PenLb,ROW()-4),1),"&gt;0"),0.5*Y290)</f>
        <v>1.08979771060923</v>
      </c>
      <c r="AX290" s="41" t="n">
        <f aca="false">2*H290-H289</f>
        <v>28.2055365214484</v>
      </c>
      <c r="AY290" s="40" t="n">
        <f aca="false">ROUND(MAX(AX290-AW290,0.01),2)</f>
        <v>27.12</v>
      </c>
      <c r="AZ290" s="40" t="n">
        <f aca="true">IF(MIN(p_StopLb,ROW()-4)&lt;2,D290,SMALL(OFFSET(D290,1-MIN(p_StopLb,ROW()-4),0,MIN(p_StopLb,ROW()-4),1),2))</f>
        <v>26.88</v>
      </c>
      <c r="BA290" s="40" t="n">
        <f aca="false">IF(MOD(ROUND(ROUNDDOWN(MIN(AZ290-0.01,AY290-p_StopAtr*Y290),2)*100,0),50)=0,ROUNDDOWN(MIN(AZ290-0.01,AY290-p_StopAtr*Y290),2)-0.01,ROUNDDOWN(MIN(AZ290-0.01,AY290-p_StopAtr*Y290),2))</f>
        <v>26.63</v>
      </c>
      <c r="BB290" s="40" t="n">
        <f aca="false">ROUND(AI290,2)</f>
        <v>29.74</v>
      </c>
      <c r="BC290" s="40" t="n">
        <f aca="false">IF(AY290-BA290&gt;0,(BB290-AY290)/(AY290-BA290),0)</f>
        <v>5.34693877551018</v>
      </c>
      <c r="BD290" s="42" t="n">
        <f aca="false">IF(N290&lt;0,1,0)</f>
        <v>0</v>
      </c>
      <c r="BE290" s="41" t="n">
        <f aca="false">IF(AND(BD290=1,BD289=0),N290,IF(BD290=1,MIN(BE289,N290),BE289))</f>
        <v>-0.356654552541767</v>
      </c>
      <c r="BF290" s="40" t="n">
        <f aca="false">IF(AND(BD290=1,BD289=0),D290,IF(BD290=1,MIN(BF289,D290),BF289))</f>
        <v>25.91</v>
      </c>
      <c r="BG290" s="42" t="n">
        <f aca="false">IF(AND(BD290=1,BD289=0),ROW(),IF(BD290=1,IF(N290&lt;BE289,ROW(),BG289),BG289))</f>
        <v>261</v>
      </c>
      <c r="BH290" s="41" t="n">
        <f aca="false">IF(AND(BD290=1,BD289=0),BE289,BH289)</f>
        <v>-0.153190541609803</v>
      </c>
      <c r="BI290" s="40" t="n">
        <f aca="false">IF(AND(BD290=1,BD289=0),BF289,BI289)</f>
        <v>27.9</v>
      </c>
      <c r="BJ290" s="42" t="n">
        <f aca="false">IF(AND(BD290=1,BD289=0),BG289,BJ289)</f>
        <v>226</v>
      </c>
      <c r="BK290" s="42" t="n">
        <f aca="false">IF(AND(ISNUMBER(BG290),ISNUMBER(BJ290)),BG290-BJ290,"")</f>
        <v>35</v>
      </c>
      <c r="BL290" s="42" t="n">
        <f aca="false">IF(AND(BD290=1,N290&gt;N289,ISNUMBER(BH290),ISNUMBER(BK290)),IF(AND(BE290&gt;BH290,BF290&lt;BI290,BK290&gt;=p_GapMin,BK290&lt;=p_GapMax),1,0),0)</f>
        <v>0</v>
      </c>
      <c r="BM290" s="42" t="n">
        <f aca="false">IF(AND(BL290=1,E290&gt;BI290),1,0)</f>
        <v>0</v>
      </c>
      <c r="BN290" s="42" t="n">
        <f aca="false">IF(BL290=1,IF(BE290&gt;=BH290*0.5,1,0),0)</f>
        <v>0</v>
      </c>
      <c r="BO290" s="42" t="n">
        <f aca="true">IF(V290&gt;MIN(OFFSET(V290,-MIN(p_FiLb-1,ROW()-5),0,MIN(p_FiLb-1,ROW()-5),1)),1,0)</f>
        <v>1</v>
      </c>
      <c r="BP290" s="44" t="n">
        <f aca="true">IF(COUNTIF(OFFSET(V290,1-MIN(100,ROW()-4),0,MIN(100,ROW()-4),1),"&lt;0")&gt;=5,AVERAGEIF(OFFSET(V290,1-MIN(100,ROW()-4),0,MIN(100,ROW()-4),1),"&lt;0"),"")</f>
        <v>-1117735.90008435</v>
      </c>
      <c r="BQ290" s="42" t="n">
        <f aca="false">IF(ISNUMBER(BP290),IF(AND(V290&lt;5*BP290,V290&gt;V289,E290&lt;AJ290),1,0),0)</f>
        <v>0</v>
      </c>
      <c r="BR290" s="44" t="n">
        <f aca="true">AVERAGE(OFFSET(F290,1-MIN(5,ROW()-4),0,MIN(5,ROW()-4),1))</f>
        <v>4044740</v>
      </c>
      <c r="BS290" s="42" t="n">
        <f aca="false">IFERROR(IF(MATCH(G290,周线!$A$5:$A$84,0)&lt;=1,"",INDEX(周线!$R$5:$R$84,MATCH(G290,周线!$A$5:$A$84,0)-1)),"")</f>
        <v>1</v>
      </c>
      <c r="BT290" s="42" t="n">
        <f aca="false">IFERROR(IF(MATCH(G290,周线!$A$5:$A$84,0)&lt;=1,"",INDEX(周线!$S$5:$S$84,MATCH(G290,周线!$A$5:$A$84,0)-1)),"")</f>
        <v>1</v>
      </c>
      <c r="BU290" s="42" t="n">
        <f aca="false">IFERROR(IF(MATCH(G290,周线!$A$5:$A$84,0)&lt;=1,"",INDEX(周线!$U$5:$U$84,MATCH(G290,周线!$A$5:$A$84,0)-1)),"")</f>
        <v>0</v>
      </c>
      <c r="BV290" s="42" t="n">
        <f aca="false">IF(AND(BS290=1,S290&lt;&gt;-1,V290&lt;0,BO290=1,E290&lt;=H290,E290&gt;=AJ290),1,0)</f>
        <v>0</v>
      </c>
      <c r="BW290" s="42" t="n">
        <f aca="false">BL290</f>
        <v>0</v>
      </c>
      <c r="BX290" s="42" t="n">
        <f aca="false">BQ290</f>
        <v>0</v>
      </c>
      <c r="BY290" s="42" t="n">
        <f aca="false">IF(BS290=1,10,0)+IF(BU290=1,5,IF(BU290=-1,0,3))+IF(BT290=1,5,0)+IF(AND(AE290&gt;AF290,AH290&gt;AH289),5,0)</f>
        <v>23</v>
      </c>
      <c r="BZ290" s="42" t="n">
        <f aca="false">IF(AND(E290&lt;=H290,E290&gt;=I290),10,IF(AND(E290&gt;=AJ290,E290&lt;I290),6,0))+IF(AND(V290&lt;0,BO290=1),8,0)+IF(AT290&lt;30,7,IF(AT290&lt;50,3,0))</f>
        <v>0</v>
      </c>
      <c r="CA290" s="42" t="n">
        <f aca="false">IF(AND(BV290=1,BW290=1),25,IF(BW290=1,22,IF(BV290=1,15,IF(BX290=1,12,0))))</f>
        <v>0</v>
      </c>
      <c r="CB290" s="42" t="n">
        <f aca="false">IF(W290&gt;0,6,0)+IF(F290&lt;BR290,4,0)</f>
        <v>6</v>
      </c>
      <c r="CC290" s="42" t="n">
        <f aca="false">IF(BC290&gt;=3,15,IF(BC290&gt;=p_RRmin,10,IF(BC290&gt;=1.5,4,0)))</f>
        <v>15</v>
      </c>
      <c r="CD290" s="42" t="n">
        <f aca="false">BY290+BZ290+CA290+CB290+CC290</f>
        <v>44</v>
      </c>
      <c r="CE290" s="42" t="n">
        <f aca="false">IF(AND(BS290&lt;&gt;1,BW290+BX290=0),1,0)</f>
        <v>0</v>
      </c>
      <c r="CF290" s="42" t="n">
        <f aca="false">IF(BU290=-1,1,0)</f>
        <v>0</v>
      </c>
      <c r="CG290" s="42" t="n">
        <f aca="false">IF(S290=-1,1,0)</f>
        <v>0</v>
      </c>
      <c r="CH290" s="42" t="n">
        <f aca="false">IF(BV290+BW290+BX290=0,1,0)</f>
        <v>1</v>
      </c>
      <c r="CI290" s="42" t="n">
        <f aca="false">IF(BC290&lt;p_RRmin,1,0)</f>
        <v>0</v>
      </c>
      <c r="CJ290" s="46" t="str">
        <f aca="false">IF(SUM(CE290:CI290)=0,IF(CD290&gt;=p_GradeA,"A",IF(CD290&gt;=p_GradeB,"B","C")),IF(AND(CI290=1,SUM(CE290:CH290)=0,CD290&gt;=p_GradeB),"B","C"))</f>
        <v>C</v>
      </c>
    </row>
    <row r="291" customFormat="false" ht="15" hidden="false" customHeight="false" outlineLevel="0" collapsed="false">
      <c r="A291" s="36" t="n">
        <v>46059</v>
      </c>
      <c r="B291" s="37" t="n">
        <v>29.19</v>
      </c>
      <c r="C291" s="37" t="n">
        <v>29.5</v>
      </c>
      <c r="D291" s="37" t="n">
        <v>28.87</v>
      </c>
      <c r="E291" s="37" t="n">
        <v>29.17</v>
      </c>
      <c r="F291" s="38" t="n">
        <v>3748100</v>
      </c>
      <c r="G291" s="39" t="n">
        <f aca="false">A291-WEEKDAY(A291,3)</f>
        <v>46055</v>
      </c>
      <c r="H291" s="40" t="n">
        <f aca="false">2/(p_EmaF+1)*E291+(1-2/(p_EmaF+1))*H290</f>
        <v>28.195123279204</v>
      </c>
      <c r="I291" s="40" t="n">
        <f aca="false">2/(p_EmaS+1)*E291+(1-2/(p_EmaS+1))*I290</f>
        <v>28.1412322752646</v>
      </c>
      <c r="J291" s="41" t="n">
        <f aca="false">2/(p_MacdF+1)*E291+(1-2/(p_MacdF+1))*J290</f>
        <v>28.2357174043254</v>
      </c>
      <c r="K291" s="41" t="n">
        <f aca="false">2/(p_MacdS+1)*E291+(1-2/(p_MacdS+1))*K290</f>
        <v>28.1412322752646</v>
      </c>
      <c r="L291" s="41" t="n">
        <f aca="false">J291-K291</f>
        <v>0.0944851290607964</v>
      </c>
      <c r="M291" s="41" t="n">
        <f aca="false">2/(p_MacdSig+1)*L291+(1-2/(p_MacdSig+1))*M290</f>
        <v>-0.249598530326472</v>
      </c>
      <c r="N291" s="41" t="n">
        <f aca="false">L291-M291</f>
        <v>0.344083659387269</v>
      </c>
      <c r="O291" s="42" t="n">
        <f aca="false">IF(H291&gt;H290,1,0)</f>
        <v>1</v>
      </c>
      <c r="P291" s="42" t="n">
        <f aca="false">IF(H291&lt;H290,1,0)</f>
        <v>0</v>
      </c>
      <c r="Q291" s="42" t="n">
        <f aca="false">IF(N291&gt;N290,1,0)</f>
        <v>1</v>
      </c>
      <c r="R291" s="42" t="n">
        <f aca="false">IF(N291&lt;N290,1,0)</f>
        <v>0</v>
      </c>
      <c r="S291" s="42" t="n">
        <f aca="false">IF(AND(O291=1,Q291=1),1,IF(AND(P291=1,R291=1),-1,0))</f>
        <v>1</v>
      </c>
      <c r="T291" s="43" t="str">
        <f aca="false">IF(S291=1,"绿",IF(S291=-1,"红","蓝"))</f>
        <v>绿</v>
      </c>
      <c r="U291" s="44" t="n">
        <f aca="false">F291*(E291-E290)</f>
        <v>374810.000000005</v>
      </c>
      <c r="V291" s="44" t="n">
        <f aca="false">2/(p_FiS+1)*U291+(1-2/(p_FiS+1))*V290</f>
        <v>535651.162316744</v>
      </c>
      <c r="W291" s="44" t="n">
        <f aca="false">2/(p_FiL+1)*U291+(1-2/(p_FiL+1))*W290</f>
        <v>716693.134524168</v>
      </c>
      <c r="X291" s="41" t="n">
        <f aca="false">MAX(C291-D291,ABS(C291-E290),ABS(D291-E290))</f>
        <v>0.629999999999999</v>
      </c>
      <c r="Y291" s="41" t="n">
        <f aca="true">AVERAGE(OFFSET(X291,1-MIN(p_AtrN,ROW()-4),0,MIN(p_AtrN,ROW()-4),1))</f>
        <v>0.517692307692308</v>
      </c>
      <c r="Z291" s="41" t="n">
        <f aca="false">IF(AND(C291-C290&gt;D290-D291,C291-C290&gt;0),C291-C290,0)</f>
        <v>0.309999999999999</v>
      </c>
      <c r="AA291" s="41" t="n">
        <f aca="false">IF(AND(D290-D291&gt;C291-C290,D290-D291&gt;0),D290-D291,0)</f>
        <v>0</v>
      </c>
      <c r="AB291" s="41" t="n">
        <f aca="false">2/(p_AdxN+1)*X291+(1-2/(p_AdxN+1))*AB290</f>
        <v>0.526136525917916</v>
      </c>
      <c r="AC291" s="41" t="n">
        <f aca="false">2/(p_AdxN+1)*Z291+(1-2/(p_AdxN+1))*AC290</f>
        <v>0.222105773367067</v>
      </c>
      <c r="AD291" s="41" t="n">
        <f aca="false">2/(p_AdxN+1)*AA291+(1-2/(p_AdxN+1))*AD290</f>
        <v>0.0474216946377486</v>
      </c>
      <c r="AE291" s="45" t="n">
        <f aca="false">100*AC291/AB291</f>
        <v>42.2144752219159</v>
      </c>
      <c r="AF291" s="45" t="n">
        <f aca="false">100*AD291/AB291</f>
        <v>9.01319188114057</v>
      </c>
      <c r="AG291" s="45" t="n">
        <f aca="false">IFERROR(100*ABS(AE291-AF291)/(AE291+AF291),0)</f>
        <v>64.8112342769448</v>
      </c>
      <c r="AH291" s="45" t="n">
        <f aca="false">2/(p_AdxN+1)*AG291+(1-2/(p_AdxN+1))*AH290</f>
        <v>41.1704693414014</v>
      </c>
      <c r="AI291" s="40" t="n">
        <f aca="false">I291*(1+p_ChPct)</f>
        <v>29.8297062117804</v>
      </c>
      <c r="AJ291" s="40" t="n">
        <f aca="false">I291*(1-p_ChPct)</f>
        <v>26.4527583387487</v>
      </c>
      <c r="AK291" s="40" t="n">
        <f aca="false">I291+1*Y291</f>
        <v>28.6589245829569</v>
      </c>
      <c r="AL291" s="40" t="n">
        <f aca="false">I291+2*Y291</f>
        <v>29.1766168906492</v>
      </c>
      <c r="AM291" s="40" t="n">
        <f aca="false">I291+3*Y291</f>
        <v>29.6943091983415</v>
      </c>
      <c r="AN291" s="40" t="n">
        <f aca="false">I291-1*Y291</f>
        <v>27.6235399675723</v>
      </c>
      <c r="AO291" s="40" t="n">
        <f aca="false">I291-2*Y291</f>
        <v>27.1058476598799</v>
      </c>
      <c r="AP291" s="40" t="n">
        <f aca="false">I291-3*Y291</f>
        <v>26.5881553521876</v>
      </c>
      <c r="AQ291" s="40" t="n">
        <f aca="true">MAX(OFFSET(C291,1-MIN(p_StochN,ROW()-4),0,MIN(p_StochN,ROW()-4),1))</f>
        <v>29.5</v>
      </c>
      <c r="AR291" s="40" t="n">
        <f aca="true">MIN(OFFSET(D291,1-MIN(p_StochN,ROW()-4),0,MIN(p_StochN,ROW()-4),1))</f>
        <v>27.8</v>
      </c>
      <c r="AS291" s="45" t="n">
        <f aca="false">IF(AQ291=AR291,50,100*(E291-AR291)/(AQ291-AR291))</f>
        <v>80.5882352941178</v>
      </c>
      <c r="AT291" s="45" t="n">
        <f aca="true">AVERAGE(OFFSET(AS291,1-MIN(p_StochSm,ROW()-4),0,MIN(p_StochSm,ROW()-4),1))</f>
        <v>88.7378791894359</v>
      </c>
      <c r="AU291" s="45" t="n">
        <f aca="true">AVERAGE(OFFSET(AT291,1-MIN(p_StochSm,ROW()-4),0,MIN(p_StochSm,ROW()-4),1))</f>
        <v>90.9186679910082</v>
      </c>
      <c r="AV291" s="41" t="n">
        <f aca="false">MAX(0,H291-D291)</f>
        <v>0</v>
      </c>
      <c r="AW291" s="41" t="n">
        <f aca="true">IF(COUNTIF(OFFSET(AV291,1-MIN(p_PenLb,ROW()-4),0,MIN(p_PenLb,ROW()-4),1),"&gt;0")&gt;0,SUM(OFFSET(AV291,1-MIN(p_PenLb,ROW()-4),0,MIN(p_PenLb,ROW()-4),1))/COUNTIF(OFFSET(AV291,1-MIN(p_PenLb,ROW()-4),0,MIN(p_PenLb,ROW()-4),1),"&gt;0"),0.5*Y291)</f>
        <v>1.06096104282734</v>
      </c>
      <c r="AX291" s="41" t="n">
        <f aca="false">2*H291-H290</f>
        <v>28.35760273267</v>
      </c>
      <c r="AY291" s="40" t="n">
        <f aca="false">ROUND(MAX(AX291-AW291,0.01),2)</f>
        <v>27.3</v>
      </c>
      <c r="AZ291" s="40" t="n">
        <f aca="true">IF(MIN(p_StopLb,ROW()-4)&lt;2,D291,SMALL(OFFSET(D291,1-MIN(p_StopLb,ROW()-4),0,MIN(p_StopLb,ROW()-4),1),2))</f>
        <v>26.88</v>
      </c>
      <c r="BA291" s="40" t="n">
        <f aca="false">IF(MOD(ROUND(ROUNDDOWN(MIN(AZ291-0.01,AY291-p_StopAtr*Y291),2)*100,0),50)=0,ROUNDDOWN(MIN(AZ291-0.01,AY291-p_StopAtr*Y291),2)-0.01,ROUNDDOWN(MIN(AZ291-0.01,AY291-p_StopAtr*Y291),2))</f>
        <v>26.78</v>
      </c>
      <c r="BB291" s="40" t="n">
        <f aca="false">ROUND(AI291,2)</f>
        <v>29.83</v>
      </c>
      <c r="BC291" s="40" t="n">
        <f aca="false">IF(AY291-BA291&gt;0,(BB291-AY291)/(AY291-BA291),0)</f>
        <v>4.86538461538462</v>
      </c>
      <c r="BD291" s="42" t="n">
        <f aca="false">IF(N291&lt;0,1,0)</f>
        <v>0</v>
      </c>
      <c r="BE291" s="41" t="n">
        <f aca="false">IF(AND(BD291=1,BD290=0),N291,IF(BD291=1,MIN(BE290,N291),BE290))</f>
        <v>-0.356654552541767</v>
      </c>
      <c r="BF291" s="40" t="n">
        <f aca="false">IF(AND(BD291=1,BD290=0),D291,IF(BD291=1,MIN(BF290,D291),BF290))</f>
        <v>25.91</v>
      </c>
      <c r="BG291" s="42" t="n">
        <f aca="false">IF(AND(BD291=1,BD290=0),ROW(),IF(BD291=1,IF(N291&lt;BE290,ROW(),BG290),BG290))</f>
        <v>261</v>
      </c>
      <c r="BH291" s="41" t="n">
        <f aca="false">IF(AND(BD291=1,BD290=0),BE290,BH290)</f>
        <v>-0.153190541609803</v>
      </c>
      <c r="BI291" s="40" t="n">
        <f aca="false">IF(AND(BD291=1,BD290=0),BF290,BI290)</f>
        <v>27.9</v>
      </c>
      <c r="BJ291" s="42" t="n">
        <f aca="false">IF(AND(BD291=1,BD290=0),BG290,BJ290)</f>
        <v>226</v>
      </c>
      <c r="BK291" s="42" t="n">
        <f aca="false">IF(AND(ISNUMBER(BG291),ISNUMBER(BJ291)),BG291-BJ291,"")</f>
        <v>35</v>
      </c>
      <c r="BL291" s="42" t="n">
        <f aca="false">IF(AND(BD291=1,N291&gt;N290,ISNUMBER(BH291),ISNUMBER(BK291)),IF(AND(BE291&gt;BH291,BF291&lt;BI291,BK291&gt;=p_GapMin,BK291&lt;=p_GapMax),1,0),0)</f>
        <v>0</v>
      </c>
      <c r="BM291" s="42" t="n">
        <f aca="false">IF(AND(BL291=1,E291&gt;BI291),1,0)</f>
        <v>0</v>
      </c>
      <c r="BN291" s="42" t="n">
        <f aca="false">IF(BL291=1,IF(BE291&gt;=BH291*0.5,1,0),0)</f>
        <v>0</v>
      </c>
      <c r="BO291" s="42" t="n">
        <f aca="true">IF(V291&gt;MIN(OFFSET(V291,-MIN(p_FiLb-1,ROW()-5),0,MIN(p_FiLb-1,ROW()-5),1)),1,0)</f>
        <v>1</v>
      </c>
      <c r="BP291" s="44" t="n">
        <f aca="true">IF(COUNTIF(OFFSET(V291,1-MIN(100,ROW()-4),0,MIN(100,ROW()-4),1),"&lt;0")&gt;=5,AVERAGEIF(OFFSET(V291,1-MIN(100,ROW()-4),0,MIN(100,ROW()-4),1),"&lt;0"),"")</f>
        <v>-1117735.90008435</v>
      </c>
      <c r="BQ291" s="42" t="n">
        <f aca="false">IF(ISNUMBER(BP291),IF(AND(V291&lt;5*BP291,V291&gt;V290,E291&lt;AJ291),1,0),0)</f>
        <v>0</v>
      </c>
      <c r="BR291" s="44" t="n">
        <f aca="true">AVERAGE(OFFSET(F291,1-MIN(5,ROW()-4),0,MIN(5,ROW()-4),1))</f>
        <v>3874640</v>
      </c>
      <c r="BS291" s="42" t="n">
        <f aca="false">IFERROR(IF(MATCH(G291,周线!$A$5:$A$84,0)&lt;=1,"",INDEX(周线!$R$5:$R$84,MATCH(G291,周线!$A$5:$A$84,0)-1)),"")</f>
        <v>1</v>
      </c>
      <c r="BT291" s="42" t="n">
        <f aca="false">IFERROR(IF(MATCH(G291,周线!$A$5:$A$84,0)&lt;=1,"",INDEX(周线!$S$5:$S$84,MATCH(G291,周线!$A$5:$A$84,0)-1)),"")</f>
        <v>1</v>
      </c>
      <c r="BU291" s="42" t="n">
        <f aca="false">IFERROR(IF(MATCH(G291,周线!$A$5:$A$84,0)&lt;=1,"",INDEX(周线!$U$5:$U$84,MATCH(G291,周线!$A$5:$A$84,0)-1)),"")</f>
        <v>0</v>
      </c>
      <c r="BV291" s="42" t="n">
        <f aca="false">IF(AND(BS291=1,S291&lt;&gt;-1,V291&lt;0,BO291=1,E291&lt;=H291,E291&gt;=AJ291),1,0)</f>
        <v>0</v>
      </c>
      <c r="BW291" s="42" t="n">
        <f aca="false">BL291</f>
        <v>0</v>
      </c>
      <c r="BX291" s="42" t="n">
        <f aca="false">BQ291</f>
        <v>0</v>
      </c>
      <c r="BY291" s="42" t="n">
        <f aca="false">IF(BS291=1,10,0)+IF(BU291=1,5,IF(BU291=-1,0,3))+IF(BT291=1,5,0)+IF(AND(AE291&gt;AF291,AH291&gt;AH290),5,0)</f>
        <v>23</v>
      </c>
      <c r="BZ291" s="42" t="n">
        <f aca="false">IF(AND(E291&lt;=H291,E291&gt;=I291),10,IF(AND(E291&gt;=AJ291,E291&lt;I291),6,0))+IF(AND(V291&lt;0,BO291=1),8,0)+IF(AT291&lt;30,7,IF(AT291&lt;50,3,0))</f>
        <v>0</v>
      </c>
      <c r="CA291" s="42" t="n">
        <f aca="false">IF(AND(BV291=1,BW291=1),25,IF(BW291=1,22,IF(BV291=1,15,IF(BX291=1,12,0))))</f>
        <v>0</v>
      </c>
      <c r="CB291" s="42" t="n">
        <f aca="false">IF(W291&gt;0,6,0)+IF(F291&lt;BR291,4,0)</f>
        <v>10</v>
      </c>
      <c r="CC291" s="42" t="n">
        <f aca="false">IF(BC291&gt;=3,15,IF(BC291&gt;=p_RRmin,10,IF(BC291&gt;=1.5,4,0)))</f>
        <v>15</v>
      </c>
      <c r="CD291" s="42" t="n">
        <f aca="false">BY291+BZ291+CA291+CB291+CC291</f>
        <v>48</v>
      </c>
      <c r="CE291" s="42" t="n">
        <f aca="false">IF(AND(BS291&lt;&gt;1,BW291+BX291=0),1,0)</f>
        <v>0</v>
      </c>
      <c r="CF291" s="42" t="n">
        <f aca="false">IF(BU291=-1,1,0)</f>
        <v>0</v>
      </c>
      <c r="CG291" s="42" t="n">
        <f aca="false">IF(S291=-1,1,0)</f>
        <v>0</v>
      </c>
      <c r="CH291" s="42" t="n">
        <f aca="false">IF(BV291+BW291+BX291=0,1,0)</f>
        <v>1</v>
      </c>
      <c r="CI291" s="42" t="n">
        <f aca="false">IF(BC291&lt;p_RRmin,1,0)</f>
        <v>0</v>
      </c>
      <c r="CJ291" s="46" t="str">
        <f aca="false">IF(SUM(CE291:CI291)=0,IF(CD291&gt;=p_GradeA,"A",IF(CD291&gt;=p_GradeB,"B","C")),IF(AND(CI291=1,SUM(CE291:CH291)=0,CD291&gt;=p_GradeB),"B","C"))</f>
        <v>C</v>
      </c>
    </row>
    <row r="292" customFormat="false" ht="15" hidden="false" customHeight="false" outlineLevel="0" collapsed="false">
      <c r="A292" s="36" t="n">
        <v>46062</v>
      </c>
      <c r="B292" s="37" t="n">
        <v>29.14</v>
      </c>
      <c r="C292" s="37" t="n">
        <v>29.78</v>
      </c>
      <c r="D292" s="37" t="n">
        <v>29.04</v>
      </c>
      <c r="E292" s="37" t="n">
        <v>29.67</v>
      </c>
      <c r="F292" s="38" t="n">
        <v>4049100</v>
      </c>
      <c r="G292" s="39" t="n">
        <f aca="false">A292-WEEKDAY(A292,3)</f>
        <v>46062</v>
      </c>
      <c r="H292" s="40" t="n">
        <f aca="false">2/(p_EmaF+1)*E292+(1-2/(p_EmaF+1))*H291</f>
        <v>28.4058199536035</v>
      </c>
      <c r="I292" s="40" t="n">
        <f aca="false">2/(p_EmaS+1)*E292+(1-2/(p_EmaS+1))*I291</f>
        <v>28.2544743289487</v>
      </c>
      <c r="J292" s="41" t="n">
        <f aca="false">2/(p_MacdF+1)*E292+(1-2/(p_MacdF+1))*J291</f>
        <v>28.4563762651984</v>
      </c>
      <c r="K292" s="41" t="n">
        <f aca="false">2/(p_MacdS+1)*E292+(1-2/(p_MacdS+1))*K291</f>
        <v>28.2544743289487</v>
      </c>
      <c r="L292" s="41" t="n">
        <f aca="false">J292-K292</f>
        <v>0.201901936249712</v>
      </c>
      <c r="M292" s="41" t="n">
        <f aca="false">2/(p_MacdSig+1)*L292+(1-2/(p_MacdSig+1))*M291</f>
        <v>-0.159298437011235</v>
      </c>
      <c r="N292" s="41" t="n">
        <f aca="false">L292-M292</f>
        <v>0.361200373260947</v>
      </c>
      <c r="O292" s="42" t="n">
        <f aca="false">IF(H292&gt;H291,1,0)</f>
        <v>1</v>
      </c>
      <c r="P292" s="42" t="n">
        <f aca="false">IF(H292&lt;H291,1,0)</f>
        <v>0</v>
      </c>
      <c r="Q292" s="42" t="n">
        <f aca="false">IF(N292&gt;N291,1,0)</f>
        <v>1</v>
      </c>
      <c r="R292" s="42" t="n">
        <f aca="false">IF(N292&lt;N291,1,0)</f>
        <v>0</v>
      </c>
      <c r="S292" s="42" t="n">
        <f aca="false">IF(AND(O292=1,Q292=1),1,IF(AND(P292=1,R292=1),-1,0))</f>
        <v>1</v>
      </c>
      <c r="T292" s="43" t="str">
        <f aca="false">IF(S292=1,"绿",IF(S292=-1,"红","蓝"))</f>
        <v>绿</v>
      </c>
      <c r="U292" s="44" t="n">
        <f aca="false">F292*(E292-E291)</f>
        <v>2024550</v>
      </c>
      <c r="V292" s="44" t="n">
        <f aca="false">2/(p_FiS+1)*U292+(1-2/(p_FiS+1))*V291</f>
        <v>1528250.38743891</v>
      </c>
      <c r="W292" s="44" t="n">
        <f aca="false">2/(p_FiL+1)*U292+(1-2/(p_FiL+1))*W291</f>
        <v>903529.829592144</v>
      </c>
      <c r="X292" s="41" t="n">
        <f aca="false">MAX(C292-D292,ABS(C292-E291),ABS(D292-E291))</f>
        <v>0.740000000000002</v>
      </c>
      <c r="Y292" s="41" t="n">
        <f aca="true">AVERAGE(OFFSET(X292,1-MIN(p_AtrN,ROW()-4),0,MIN(p_AtrN,ROW()-4),1))</f>
        <v>0.560769230769231</v>
      </c>
      <c r="Z292" s="41" t="n">
        <f aca="false">IF(AND(C292-C291&gt;D291-D292,C292-C291&gt;0),C292-C291,0)</f>
        <v>0.280000000000001</v>
      </c>
      <c r="AA292" s="41" t="n">
        <f aca="false">IF(AND(D291-D292&gt;C292-C291,D291-D292&gt;0),D291-D292,0)</f>
        <v>0</v>
      </c>
      <c r="AB292" s="41" t="n">
        <f aca="false">2/(p_AdxN+1)*X292+(1-2/(p_AdxN+1))*AB291</f>
        <v>0.556688450786785</v>
      </c>
      <c r="AC292" s="41" t="n">
        <f aca="false">2/(p_AdxN+1)*Z292+(1-2/(p_AdxN+1))*AC291</f>
        <v>0.230376377171772</v>
      </c>
      <c r="AD292" s="41" t="n">
        <f aca="false">2/(p_AdxN+1)*AA292+(1-2/(p_AdxN+1))*AD291</f>
        <v>0.040647166832356</v>
      </c>
      <c r="AE292" s="45" t="n">
        <f aca="false">100*AC292/AB292</f>
        <v>41.3833584738778</v>
      </c>
      <c r="AF292" s="45" t="n">
        <f aca="false">100*AD292/AB292</f>
        <v>7.30160052268159</v>
      </c>
      <c r="AG292" s="45" t="n">
        <f aca="false">IFERROR(100*ABS(AE292-AF292)/(AE292+AF292),0)</f>
        <v>70.0046968378977</v>
      </c>
      <c r="AH292" s="45" t="n">
        <f aca="false">2/(p_AdxN+1)*AG292+(1-2/(p_AdxN+1))*AH291</f>
        <v>45.2896446980438</v>
      </c>
      <c r="AI292" s="40" t="n">
        <f aca="false">I292*(1+p_ChPct)</f>
        <v>29.9497427886856</v>
      </c>
      <c r="AJ292" s="40" t="n">
        <f aca="false">I292*(1-p_ChPct)</f>
        <v>26.5592058692117</v>
      </c>
      <c r="AK292" s="40" t="n">
        <f aca="false">I292+1*Y292</f>
        <v>28.8152435597179</v>
      </c>
      <c r="AL292" s="40" t="n">
        <f aca="false">I292+2*Y292</f>
        <v>29.3760127904871</v>
      </c>
      <c r="AM292" s="40" t="n">
        <f aca="false">I292+3*Y292</f>
        <v>29.9367820212564</v>
      </c>
      <c r="AN292" s="40" t="n">
        <f aca="false">I292-1*Y292</f>
        <v>27.6937050981794</v>
      </c>
      <c r="AO292" s="40" t="n">
        <f aca="false">I292-2*Y292</f>
        <v>27.1329358674102</v>
      </c>
      <c r="AP292" s="40" t="n">
        <f aca="false">I292-3*Y292</f>
        <v>26.572166636641</v>
      </c>
      <c r="AQ292" s="40" t="n">
        <f aca="true">MAX(OFFSET(C292,1-MIN(p_StochN,ROW()-4),0,MIN(p_StochN,ROW()-4),1))</f>
        <v>29.78</v>
      </c>
      <c r="AR292" s="40" t="n">
        <f aca="true">MIN(OFFSET(D292,1-MIN(p_StochN,ROW()-4),0,MIN(p_StochN,ROW()-4),1))</f>
        <v>28</v>
      </c>
      <c r="AS292" s="45" t="n">
        <f aca="false">IF(AQ292=AR292,50,100*(E292-AR292)/(AQ292-AR292))</f>
        <v>93.8202247191012</v>
      </c>
      <c r="AT292" s="45" t="n">
        <f aca="true">AVERAGE(OFFSET(AS292,1-MIN(p_StochSm,ROW()-4),0,MIN(p_StochSm,ROW()-4),1))</f>
        <v>88.9378411014527</v>
      </c>
      <c r="AU292" s="45" t="n">
        <f aca="true">AVERAGE(OFFSET(AT292,1-MIN(p_StochSm,ROW()-4),0,MIN(p_StochSm,ROW()-4),1))</f>
        <v>90.0725070163173</v>
      </c>
      <c r="AV292" s="41" t="n">
        <f aca="false">MAX(0,H292-D292)</f>
        <v>0</v>
      </c>
      <c r="AW292" s="41" t="n">
        <f aca="true">IF(COUNTIF(OFFSET(AV292,1-MIN(p_PenLb,ROW()-4),0,MIN(p_PenLb,ROW()-4),1),"&gt;0")&gt;0,SUM(OFFSET(AV292,1-MIN(p_PenLb,ROW()-4),0,MIN(p_PenLb,ROW()-4),1))/COUNTIF(OFFSET(AV292,1-MIN(p_PenLb,ROW()-4),0,MIN(p_PenLb,ROW()-4),1),"&gt;0"),0.5*Y292)</f>
        <v>1.03296416543926</v>
      </c>
      <c r="AX292" s="41" t="n">
        <f aca="false">2*H292-H291</f>
        <v>28.6165166280029</v>
      </c>
      <c r="AY292" s="40" t="n">
        <f aca="false">ROUND(MAX(AX292-AW292,0.01),2)</f>
        <v>27.58</v>
      </c>
      <c r="AZ292" s="40" t="n">
        <f aca="true">IF(MIN(p_StopLb,ROW()-4)&lt;2,D292,SMALL(OFFSET(D292,1-MIN(p_StopLb,ROW()-4),0,MIN(p_StopLb,ROW()-4),1),2))</f>
        <v>27.21</v>
      </c>
      <c r="BA292" s="40" t="n">
        <f aca="false">IF(MOD(ROUND(ROUNDDOWN(MIN(AZ292-0.01,AY292-p_StopAtr*Y292),2)*100,0),50)=0,ROUNDDOWN(MIN(AZ292-0.01,AY292-p_StopAtr*Y292),2)-0.01,ROUNDDOWN(MIN(AZ292-0.01,AY292-p_StopAtr*Y292),2))</f>
        <v>27.01</v>
      </c>
      <c r="BB292" s="40" t="n">
        <f aca="false">ROUND(AI292,2)</f>
        <v>29.95</v>
      </c>
      <c r="BC292" s="40" t="n">
        <f aca="false">IF(AY292-BA292&gt;0,(BB292-AY292)/(AY292-BA292),0)</f>
        <v>4.15789473684213</v>
      </c>
      <c r="BD292" s="42" t="n">
        <f aca="false">IF(N292&lt;0,1,0)</f>
        <v>0</v>
      </c>
      <c r="BE292" s="41" t="n">
        <f aca="false">IF(AND(BD292=1,BD291=0),N292,IF(BD292=1,MIN(BE291,N292),BE291))</f>
        <v>-0.356654552541767</v>
      </c>
      <c r="BF292" s="40" t="n">
        <f aca="false">IF(AND(BD292=1,BD291=0),D292,IF(BD292=1,MIN(BF291,D292),BF291))</f>
        <v>25.91</v>
      </c>
      <c r="BG292" s="42" t="n">
        <f aca="false">IF(AND(BD292=1,BD291=0),ROW(),IF(BD292=1,IF(N292&lt;BE291,ROW(),BG291),BG291))</f>
        <v>261</v>
      </c>
      <c r="BH292" s="41" t="n">
        <f aca="false">IF(AND(BD292=1,BD291=0),BE291,BH291)</f>
        <v>-0.153190541609803</v>
      </c>
      <c r="BI292" s="40" t="n">
        <f aca="false">IF(AND(BD292=1,BD291=0),BF291,BI291)</f>
        <v>27.9</v>
      </c>
      <c r="BJ292" s="42" t="n">
        <f aca="false">IF(AND(BD292=1,BD291=0),BG291,BJ291)</f>
        <v>226</v>
      </c>
      <c r="BK292" s="42" t="n">
        <f aca="false">IF(AND(ISNUMBER(BG292),ISNUMBER(BJ292)),BG292-BJ292,"")</f>
        <v>35</v>
      </c>
      <c r="BL292" s="42" t="n">
        <f aca="false">IF(AND(BD292=1,N292&gt;N291,ISNUMBER(BH292),ISNUMBER(BK292)),IF(AND(BE292&gt;BH292,BF292&lt;BI292,BK292&gt;=p_GapMin,BK292&lt;=p_GapMax),1,0),0)</f>
        <v>0</v>
      </c>
      <c r="BM292" s="42" t="n">
        <f aca="false">IF(AND(BL292=1,E292&gt;BI292),1,0)</f>
        <v>0</v>
      </c>
      <c r="BN292" s="42" t="n">
        <f aca="false">IF(BL292=1,IF(BE292&gt;=BH292*0.5,1,0),0)</f>
        <v>0</v>
      </c>
      <c r="BO292" s="42" t="n">
        <f aca="true">IF(V292&gt;MIN(OFFSET(V292,-MIN(p_FiLb-1,ROW()-5),0,MIN(p_FiLb-1,ROW()-5),1)),1,0)</f>
        <v>1</v>
      </c>
      <c r="BP292" s="44" t="n">
        <f aca="true">IF(COUNTIF(OFFSET(V292,1-MIN(100,ROW()-4),0,MIN(100,ROW()-4),1),"&lt;0")&gt;=5,AVERAGEIF(OFFSET(V292,1-MIN(100,ROW()-4),0,MIN(100,ROW()-4),1),"&lt;0"),"")</f>
        <v>-1117735.90008435</v>
      </c>
      <c r="BQ292" s="42" t="n">
        <f aca="false">IF(ISNUMBER(BP292),IF(AND(V292&lt;5*BP292,V292&gt;V291,E292&lt;AJ292),1,0),0)</f>
        <v>0</v>
      </c>
      <c r="BR292" s="44" t="n">
        <f aca="true">AVERAGE(OFFSET(F292,1-MIN(5,ROW()-4),0,MIN(5,ROW()-4),1))</f>
        <v>3795680</v>
      </c>
      <c r="BS292" s="42" t="n">
        <f aca="false">IFERROR(IF(MATCH(G292,周线!$A$5:$A$84,0)&lt;=1,"",INDEX(周线!$R$5:$R$84,MATCH(G292,周线!$A$5:$A$84,0)-1)),"")</f>
        <v>1</v>
      </c>
      <c r="BT292" s="42" t="n">
        <f aca="false">IFERROR(IF(MATCH(G292,周线!$A$5:$A$84,0)&lt;=1,"",INDEX(周线!$S$5:$S$84,MATCH(G292,周线!$A$5:$A$84,0)-1)),"")</f>
        <v>1</v>
      </c>
      <c r="BU292" s="42" t="n">
        <f aca="false">IFERROR(IF(MATCH(G292,周线!$A$5:$A$84,0)&lt;=1,"",INDEX(周线!$U$5:$U$84,MATCH(G292,周线!$A$5:$A$84,0)-1)),"")</f>
        <v>1</v>
      </c>
      <c r="BV292" s="42" t="n">
        <f aca="false">IF(AND(BS292=1,S292&lt;&gt;-1,V292&lt;0,BO292=1,E292&lt;=H292,E292&gt;=AJ292),1,0)</f>
        <v>0</v>
      </c>
      <c r="BW292" s="42" t="n">
        <f aca="false">BL292</f>
        <v>0</v>
      </c>
      <c r="BX292" s="42" t="n">
        <f aca="false">BQ292</f>
        <v>0</v>
      </c>
      <c r="BY292" s="42" t="n">
        <f aca="false">IF(BS292=1,10,0)+IF(BU292=1,5,IF(BU292=-1,0,3))+IF(BT292=1,5,0)+IF(AND(AE292&gt;AF292,AH292&gt;AH291),5,0)</f>
        <v>25</v>
      </c>
      <c r="BZ292" s="42" t="n">
        <f aca="false">IF(AND(E292&lt;=H292,E292&gt;=I292),10,IF(AND(E292&gt;=AJ292,E292&lt;I292),6,0))+IF(AND(V292&lt;0,BO292=1),8,0)+IF(AT292&lt;30,7,IF(AT292&lt;50,3,0))</f>
        <v>0</v>
      </c>
      <c r="CA292" s="42" t="n">
        <f aca="false">IF(AND(BV292=1,BW292=1),25,IF(BW292=1,22,IF(BV292=1,15,IF(BX292=1,12,0))))</f>
        <v>0</v>
      </c>
      <c r="CB292" s="42" t="n">
        <f aca="false">IF(W292&gt;0,6,0)+IF(F292&lt;BR292,4,0)</f>
        <v>6</v>
      </c>
      <c r="CC292" s="42" t="n">
        <f aca="false">IF(BC292&gt;=3,15,IF(BC292&gt;=p_RRmin,10,IF(BC292&gt;=1.5,4,0)))</f>
        <v>15</v>
      </c>
      <c r="CD292" s="42" t="n">
        <f aca="false">BY292+BZ292+CA292+CB292+CC292</f>
        <v>46</v>
      </c>
      <c r="CE292" s="42" t="n">
        <f aca="false">IF(AND(BS292&lt;&gt;1,BW292+BX292=0),1,0)</f>
        <v>0</v>
      </c>
      <c r="CF292" s="42" t="n">
        <f aca="false">IF(BU292=-1,1,0)</f>
        <v>0</v>
      </c>
      <c r="CG292" s="42" t="n">
        <f aca="false">IF(S292=-1,1,0)</f>
        <v>0</v>
      </c>
      <c r="CH292" s="42" t="n">
        <f aca="false">IF(BV292+BW292+BX292=0,1,0)</f>
        <v>1</v>
      </c>
      <c r="CI292" s="42" t="n">
        <f aca="false">IF(BC292&lt;p_RRmin,1,0)</f>
        <v>0</v>
      </c>
      <c r="CJ292" s="46" t="str">
        <f aca="false">IF(SUM(CE292:CI292)=0,IF(CD292&gt;=p_GradeA,"A",IF(CD292&gt;=p_GradeB,"B","C")),IF(AND(CI292=1,SUM(CE292:CH292)=0,CD292&gt;=p_GradeB),"B","C"))</f>
        <v>C</v>
      </c>
    </row>
    <row r="293" customFormat="false" ht="15" hidden="false" customHeight="false" outlineLevel="0" collapsed="false">
      <c r="A293" s="36" t="n">
        <v>46063</v>
      </c>
      <c r="B293" s="37" t="n">
        <v>29.79</v>
      </c>
      <c r="C293" s="37" t="n">
        <v>30.32</v>
      </c>
      <c r="D293" s="37" t="n">
        <v>29.47</v>
      </c>
      <c r="E293" s="37" t="n">
        <v>30.12</v>
      </c>
      <c r="F293" s="38" t="n">
        <v>3077800</v>
      </c>
      <c r="G293" s="39" t="n">
        <f aca="false">A293-WEEKDAY(A293,3)</f>
        <v>46062</v>
      </c>
      <c r="H293" s="40" t="n">
        <f aca="false">2/(p_EmaF+1)*E293+(1-2/(p_EmaF+1))*H292</f>
        <v>28.6507028173744</v>
      </c>
      <c r="I293" s="40" t="n">
        <f aca="false">2/(p_EmaS+1)*E293+(1-2/(p_EmaS+1))*I292</f>
        <v>28.3926614156932</v>
      </c>
      <c r="J293" s="41" t="n">
        <f aca="false">2/(p_MacdF+1)*E293+(1-2/(p_MacdF+1))*J292</f>
        <v>28.7123183782448</v>
      </c>
      <c r="K293" s="41" t="n">
        <f aca="false">2/(p_MacdS+1)*E293+(1-2/(p_MacdS+1))*K292</f>
        <v>28.3926614156932</v>
      </c>
      <c r="L293" s="41" t="n">
        <f aca="false">J293-K293</f>
        <v>0.319656962551569</v>
      </c>
      <c r="M293" s="41" t="n">
        <f aca="false">2/(p_MacdSig+1)*L293+(1-2/(p_MacdSig+1))*M292</f>
        <v>-0.0635073570986745</v>
      </c>
      <c r="N293" s="41" t="n">
        <f aca="false">L293-M293</f>
        <v>0.383164319650244</v>
      </c>
      <c r="O293" s="42" t="n">
        <f aca="false">IF(H293&gt;H292,1,0)</f>
        <v>1</v>
      </c>
      <c r="P293" s="42" t="n">
        <f aca="false">IF(H293&lt;H292,1,0)</f>
        <v>0</v>
      </c>
      <c r="Q293" s="42" t="n">
        <f aca="false">IF(N293&gt;N292,1,0)</f>
        <v>1</v>
      </c>
      <c r="R293" s="42" t="n">
        <f aca="false">IF(N293&lt;N292,1,0)</f>
        <v>0</v>
      </c>
      <c r="S293" s="42" t="n">
        <f aca="false">IF(AND(O293=1,Q293=1),1,IF(AND(P293=1,R293=1),-1,0))</f>
        <v>1</v>
      </c>
      <c r="T293" s="43" t="str">
        <f aca="false">IF(S293=1,"绿",IF(S293=-1,"红","蓝"))</f>
        <v>绿</v>
      </c>
      <c r="U293" s="44" t="n">
        <f aca="false">F293*(E293-E292)</f>
        <v>1385010</v>
      </c>
      <c r="V293" s="44" t="n">
        <f aca="false">2/(p_FiS+1)*U293+(1-2/(p_FiS+1))*V292</f>
        <v>1432756.79581297</v>
      </c>
      <c r="W293" s="44" t="n">
        <f aca="false">2/(p_FiL+1)*U293+(1-2/(p_FiL+1))*W292</f>
        <v>972312.711078981</v>
      </c>
      <c r="X293" s="41" t="n">
        <f aca="false">MAX(C293-D293,ABS(C293-E292),ABS(D293-E292))</f>
        <v>0.850000000000001</v>
      </c>
      <c r="Y293" s="41" t="n">
        <f aca="true">AVERAGE(OFFSET(X293,1-MIN(p_AtrN,ROW()-4),0,MIN(p_AtrN,ROW()-4),1))</f>
        <v>0.565384615384615</v>
      </c>
      <c r="Z293" s="41" t="n">
        <f aca="false">IF(AND(C293-C292&gt;D292-D293,C293-C292&gt;0),C293-C292,0)</f>
        <v>0.539999999999999</v>
      </c>
      <c r="AA293" s="41" t="n">
        <f aca="false">IF(AND(D292-D293&gt;C293-C292,D292-D293&gt;0),D292-D293,0)</f>
        <v>0</v>
      </c>
      <c r="AB293" s="41" t="n">
        <f aca="false">2/(p_AdxN+1)*X293+(1-2/(p_AdxN+1))*AB292</f>
        <v>0.598590100674387</v>
      </c>
      <c r="AC293" s="41" t="n">
        <f aca="false">2/(p_AdxN+1)*Z293+(1-2/(p_AdxN+1))*AC292</f>
        <v>0.27460832329009</v>
      </c>
      <c r="AD293" s="41" t="n">
        <f aca="false">2/(p_AdxN+1)*AA293+(1-2/(p_AdxN+1))*AD292</f>
        <v>0.034840428713448</v>
      </c>
      <c r="AE293" s="45" t="n">
        <f aca="false">100*AC293/AB293</f>
        <v>45.8758544420814</v>
      </c>
      <c r="AF293" s="45" t="n">
        <f aca="false">100*AD293/AB293</f>
        <v>5.82041511782367</v>
      </c>
      <c r="AG293" s="45" t="n">
        <f aca="false">IFERROR(100*ABS(AE293-AF293)/(AE293+AF293),0)</f>
        <v>77.4822625795889</v>
      </c>
      <c r="AH293" s="45" t="n">
        <f aca="false">2/(p_AdxN+1)*AG293+(1-2/(p_AdxN+1))*AH292</f>
        <v>49.8885901096931</v>
      </c>
      <c r="AI293" s="40" t="n">
        <f aca="false">I293*(1+p_ChPct)</f>
        <v>30.0962211006348</v>
      </c>
      <c r="AJ293" s="40" t="n">
        <f aca="false">I293*(1-p_ChPct)</f>
        <v>26.6891017307516</v>
      </c>
      <c r="AK293" s="40" t="n">
        <f aca="false">I293+1*Y293</f>
        <v>28.9580460310778</v>
      </c>
      <c r="AL293" s="40" t="n">
        <f aca="false">I293+2*Y293</f>
        <v>29.5234306464624</v>
      </c>
      <c r="AM293" s="40" t="n">
        <f aca="false">I293+3*Y293</f>
        <v>30.0888152618471</v>
      </c>
      <c r="AN293" s="40" t="n">
        <f aca="false">I293-1*Y293</f>
        <v>27.8272768003086</v>
      </c>
      <c r="AO293" s="40" t="n">
        <f aca="false">I293-2*Y293</f>
        <v>27.261892184924</v>
      </c>
      <c r="AP293" s="40" t="n">
        <f aca="false">I293-3*Y293</f>
        <v>26.6965075695394</v>
      </c>
      <c r="AQ293" s="40" t="n">
        <f aca="true">MAX(OFFSET(C293,1-MIN(p_StochN,ROW()-4),0,MIN(p_StochN,ROW()-4),1))</f>
        <v>30.32</v>
      </c>
      <c r="AR293" s="40" t="n">
        <f aca="true">MIN(OFFSET(D293,1-MIN(p_StochN,ROW()-4),0,MIN(p_StochN,ROW()-4),1))</f>
        <v>28.83</v>
      </c>
      <c r="AS293" s="45" t="n">
        <f aca="false">IF(AQ293=AR293,50,100*(E293-AR293)/(AQ293-AR293))</f>
        <v>86.5771812080538</v>
      </c>
      <c r="AT293" s="45" t="n">
        <f aca="true">AVERAGE(OFFSET(AS293,1-MIN(p_StochSm,ROW()-4),0,MIN(p_StochSm,ROW()-4),1))</f>
        <v>86.9952137404242</v>
      </c>
      <c r="AU293" s="45" t="n">
        <f aca="true">AVERAGE(OFFSET(AT293,1-MIN(p_StochSm,ROW()-4),0,MIN(p_StochSm,ROW()-4),1))</f>
        <v>88.2236446771043</v>
      </c>
      <c r="AV293" s="41" t="n">
        <f aca="false">MAX(0,H293-D293)</f>
        <v>0</v>
      </c>
      <c r="AW293" s="41" t="n">
        <f aca="true">IF(COUNTIF(OFFSET(AV293,1-MIN(p_PenLb,ROW()-4),0,MIN(p_PenLb,ROW()-4),1),"&gt;0")&gt;0,SUM(OFFSET(AV293,1-MIN(p_PenLb,ROW()-4),0,MIN(p_PenLb,ROW()-4),1))/COUNTIF(OFFSET(AV293,1-MIN(p_PenLb,ROW()-4),0,MIN(p_PenLb,ROW()-4),1),"&gt;0"),0.5*Y293)</f>
        <v>1.0353410027582</v>
      </c>
      <c r="AX293" s="41" t="n">
        <f aca="false">2*H293-H292</f>
        <v>28.8955856811453</v>
      </c>
      <c r="AY293" s="40" t="n">
        <f aca="false">ROUND(MAX(AX293-AW293,0.01),2)</f>
        <v>27.86</v>
      </c>
      <c r="AZ293" s="40" t="n">
        <f aca="true">IF(MIN(p_StopLb,ROW()-4)&lt;2,D293,SMALL(OFFSET(D293,1-MIN(p_StopLb,ROW()-4),0,MIN(p_StopLb,ROW()-4),1),2))</f>
        <v>27.23</v>
      </c>
      <c r="BA293" s="40" t="n">
        <f aca="false">IF(MOD(ROUND(ROUNDDOWN(MIN(AZ293-0.01,AY293-p_StopAtr*Y293),2)*100,0),50)=0,ROUNDDOWN(MIN(AZ293-0.01,AY293-p_StopAtr*Y293),2)-0.01,ROUNDDOWN(MIN(AZ293-0.01,AY293-p_StopAtr*Y293),2))</f>
        <v>27.22</v>
      </c>
      <c r="BB293" s="40" t="n">
        <f aca="false">ROUND(AI293,2)</f>
        <v>30.1</v>
      </c>
      <c r="BC293" s="40" t="n">
        <f aca="false">IF(AY293-BA293&gt;0,(BB293-AY293)/(AY293-BA293),0)</f>
        <v>3.5</v>
      </c>
      <c r="BD293" s="42" t="n">
        <f aca="false">IF(N293&lt;0,1,0)</f>
        <v>0</v>
      </c>
      <c r="BE293" s="41" t="n">
        <f aca="false">IF(AND(BD293=1,BD292=0),N293,IF(BD293=1,MIN(BE292,N293),BE292))</f>
        <v>-0.356654552541767</v>
      </c>
      <c r="BF293" s="40" t="n">
        <f aca="false">IF(AND(BD293=1,BD292=0),D293,IF(BD293=1,MIN(BF292,D293),BF292))</f>
        <v>25.91</v>
      </c>
      <c r="BG293" s="42" t="n">
        <f aca="false">IF(AND(BD293=1,BD292=0),ROW(),IF(BD293=1,IF(N293&lt;BE292,ROW(),BG292),BG292))</f>
        <v>261</v>
      </c>
      <c r="BH293" s="41" t="n">
        <f aca="false">IF(AND(BD293=1,BD292=0),BE292,BH292)</f>
        <v>-0.153190541609803</v>
      </c>
      <c r="BI293" s="40" t="n">
        <f aca="false">IF(AND(BD293=1,BD292=0),BF292,BI292)</f>
        <v>27.9</v>
      </c>
      <c r="BJ293" s="42" t="n">
        <f aca="false">IF(AND(BD293=1,BD292=0),BG292,BJ292)</f>
        <v>226</v>
      </c>
      <c r="BK293" s="42" t="n">
        <f aca="false">IF(AND(ISNUMBER(BG293),ISNUMBER(BJ293)),BG293-BJ293,"")</f>
        <v>35</v>
      </c>
      <c r="BL293" s="42" t="n">
        <f aca="false">IF(AND(BD293=1,N293&gt;N292,ISNUMBER(BH293),ISNUMBER(BK293)),IF(AND(BE293&gt;BH293,BF293&lt;BI293,BK293&gt;=p_GapMin,BK293&lt;=p_GapMax),1,0),0)</f>
        <v>0</v>
      </c>
      <c r="BM293" s="42" t="n">
        <f aca="false">IF(AND(BL293=1,E293&gt;BI293),1,0)</f>
        <v>0</v>
      </c>
      <c r="BN293" s="42" t="n">
        <f aca="false">IF(BL293=1,IF(BE293&gt;=BH293*0.5,1,0),0)</f>
        <v>0</v>
      </c>
      <c r="BO293" s="42" t="n">
        <f aca="true">IF(V293&gt;MIN(OFFSET(V293,-MIN(p_FiLb-1,ROW()-5),0,MIN(p_FiLb-1,ROW()-5),1)),1,0)</f>
        <v>1</v>
      </c>
      <c r="BP293" s="44" t="n">
        <f aca="true">IF(COUNTIF(OFFSET(V293,1-MIN(100,ROW()-4),0,MIN(100,ROW()-4),1),"&lt;0")&gt;=5,AVERAGEIF(OFFSET(V293,1-MIN(100,ROW()-4),0,MIN(100,ROW()-4),1),"&lt;0"),"")</f>
        <v>-1117735.90008435</v>
      </c>
      <c r="BQ293" s="42" t="n">
        <f aca="false">IF(ISNUMBER(BP293),IF(AND(V293&lt;5*BP293,V293&gt;V292,E293&lt;AJ293),1,0),0)</f>
        <v>0</v>
      </c>
      <c r="BR293" s="44" t="n">
        <f aca="true">AVERAGE(OFFSET(F293,1-MIN(5,ROW()-4),0,MIN(5,ROW()-4),1))</f>
        <v>3554480</v>
      </c>
      <c r="BS293" s="42" t="n">
        <f aca="false">IFERROR(IF(MATCH(G293,周线!$A$5:$A$84,0)&lt;=1,"",INDEX(周线!$R$5:$R$84,MATCH(G293,周线!$A$5:$A$84,0)-1)),"")</f>
        <v>1</v>
      </c>
      <c r="BT293" s="42" t="n">
        <f aca="false">IFERROR(IF(MATCH(G293,周线!$A$5:$A$84,0)&lt;=1,"",INDEX(周线!$S$5:$S$84,MATCH(G293,周线!$A$5:$A$84,0)-1)),"")</f>
        <v>1</v>
      </c>
      <c r="BU293" s="42" t="n">
        <f aca="false">IFERROR(IF(MATCH(G293,周线!$A$5:$A$84,0)&lt;=1,"",INDEX(周线!$U$5:$U$84,MATCH(G293,周线!$A$5:$A$84,0)-1)),"")</f>
        <v>1</v>
      </c>
      <c r="BV293" s="42" t="n">
        <f aca="false">IF(AND(BS293=1,S293&lt;&gt;-1,V293&lt;0,BO293=1,E293&lt;=H293,E293&gt;=AJ293),1,0)</f>
        <v>0</v>
      </c>
      <c r="BW293" s="42" t="n">
        <f aca="false">BL293</f>
        <v>0</v>
      </c>
      <c r="BX293" s="42" t="n">
        <f aca="false">BQ293</f>
        <v>0</v>
      </c>
      <c r="BY293" s="42" t="n">
        <f aca="false">IF(BS293=1,10,0)+IF(BU293=1,5,IF(BU293=-1,0,3))+IF(BT293=1,5,0)+IF(AND(AE293&gt;AF293,AH293&gt;AH292),5,0)</f>
        <v>25</v>
      </c>
      <c r="BZ293" s="42" t="n">
        <f aca="false">IF(AND(E293&lt;=H293,E293&gt;=I293),10,IF(AND(E293&gt;=AJ293,E293&lt;I293),6,0))+IF(AND(V293&lt;0,BO293=1),8,0)+IF(AT293&lt;30,7,IF(AT293&lt;50,3,0))</f>
        <v>0</v>
      </c>
      <c r="CA293" s="42" t="n">
        <f aca="false">IF(AND(BV293=1,BW293=1),25,IF(BW293=1,22,IF(BV293=1,15,IF(BX293=1,12,0))))</f>
        <v>0</v>
      </c>
      <c r="CB293" s="42" t="n">
        <f aca="false">IF(W293&gt;0,6,0)+IF(F293&lt;BR293,4,0)</f>
        <v>10</v>
      </c>
      <c r="CC293" s="42" t="n">
        <f aca="false">IF(BC293&gt;=3,15,IF(BC293&gt;=p_RRmin,10,IF(BC293&gt;=1.5,4,0)))</f>
        <v>15</v>
      </c>
      <c r="CD293" s="42" t="n">
        <f aca="false">BY293+BZ293+CA293+CB293+CC293</f>
        <v>50</v>
      </c>
      <c r="CE293" s="42" t="n">
        <f aca="false">IF(AND(BS293&lt;&gt;1,BW293+BX293=0),1,0)</f>
        <v>0</v>
      </c>
      <c r="CF293" s="42" t="n">
        <f aca="false">IF(BU293=-1,1,0)</f>
        <v>0</v>
      </c>
      <c r="CG293" s="42" t="n">
        <f aca="false">IF(S293=-1,1,0)</f>
        <v>0</v>
      </c>
      <c r="CH293" s="42" t="n">
        <f aca="false">IF(BV293+BW293+BX293=0,1,0)</f>
        <v>1</v>
      </c>
      <c r="CI293" s="42" t="n">
        <f aca="false">IF(BC293&lt;p_RRmin,1,0)</f>
        <v>0</v>
      </c>
      <c r="CJ293" s="46" t="str">
        <f aca="false">IF(SUM(CE293:CI293)=0,IF(CD293&gt;=p_GradeA,"A",IF(CD293&gt;=p_GradeB,"B","C")),IF(AND(CI293=1,SUM(CE293:CH293)=0,CD293&gt;=p_GradeB),"B","C"))</f>
        <v>C</v>
      </c>
    </row>
    <row r="294" customFormat="false" ht="15" hidden="false" customHeight="false" outlineLevel="0" collapsed="false">
      <c r="A294" s="36" t="n">
        <v>46064</v>
      </c>
      <c r="B294" s="37" t="n">
        <v>29.89</v>
      </c>
      <c r="C294" s="37" t="n">
        <v>31.29</v>
      </c>
      <c r="D294" s="37" t="n">
        <v>29.42</v>
      </c>
      <c r="E294" s="37" t="n">
        <v>31.13</v>
      </c>
      <c r="F294" s="38" t="n">
        <v>6507100</v>
      </c>
      <c r="G294" s="39" t="n">
        <f aca="false">A294-WEEKDAY(A294,3)</f>
        <v>46062</v>
      </c>
      <c r="H294" s="40" t="n">
        <f aca="false">2/(p_EmaF+1)*E294+(1-2/(p_EmaF+1))*H293</f>
        <v>29.0048881291781</v>
      </c>
      <c r="I294" s="40" t="n">
        <f aca="false">2/(p_EmaS+1)*E294+(1-2/(p_EmaS+1))*I293</f>
        <v>28.595427236753</v>
      </c>
      <c r="J294" s="41" t="n">
        <f aca="false">2/(p_MacdF+1)*E294+(1-2/(p_MacdF+1))*J293</f>
        <v>29.0842693969764</v>
      </c>
      <c r="K294" s="41" t="n">
        <f aca="false">2/(p_MacdS+1)*E294+(1-2/(p_MacdS+1))*K293</f>
        <v>28.595427236753</v>
      </c>
      <c r="L294" s="41" t="n">
        <f aca="false">J294-K294</f>
        <v>0.488842160223378</v>
      </c>
      <c r="M294" s="41" t="n">
        <f aca="false">2/(p_MacdSig+1)*L294+(1-2/(p_MacdSig+1))*M293</f>
        <v>0.0469625463657359</v>
      </c>
      <c r="N294" s="41" t="n">
        <f aca="false">L294-M294</f>
        <v>0.441879613857642</v>
      </c>
      <c r="O294" s="42" t="n">
        <f aca="false">IF(H294&gt;H293,1,0)</f>
        <v>1</v>
      </c>
      <c r="P294" s="42" t="n">
        <f aca="false">IF(H294&lt;H293,1,0)</f>
        <v>0</v>
      </c>
      <c r="Q294" s="42" t="n">
        <f aca="false">IF(N294&gt;N293,1,0)</f>
        <v>1</v>
      </c>
      <c r="R294" s="42" t="n">
        <f aca="false">IF(N294&lt;N293,1,0)</f>
        <v>0</v>
      </c>
      <c r="S294" s="42" t="n">
        <f aca="false">IF(AND(O294=1,Q294=1),1,IF(AND(P294=1,R294=1),-1,0))</f>
        <v>1</v>
      </c>
      <c r="T294" s="43" t="str">
        <f aca="false">IF(S294=1,"绿",IF(S294=-1,"红","蓝"))</f>
        <v>绿</v>
      </c>
      <c r="U294" s="44" t="n">
        <f aca="false">F294*(E294-E293)</f>
        <v>6572170.99999999</v>
      </c>
      <c r="V294" s="44" t="n">
        <f aca="false">2/(p_FiS+1)*U294+(1-2/(p_FiS+1))*V293</f>
        <v>4859032.93193765</v>
      </c>
      <c r="W294" s="44" t="n">
        <f aca="false">2/(p_FiL+1)*U294+(1-2/(p_FiL+1))*W293</f>
        <v>1772292.46663912</v>
      </c>
      <c r="X294" s="41" t="n">
        <f aca="false">MAX(C294-D294,ABS(C294-E293),ABS(D294-E293))</f>
        <v>1.87</v>
      </c>
      <c r="Y294" s="41" t="n">
        <f aca="true">AVERAGE(OFFSET(X294,1-MIN(p_AtrN,ROW()-4),0,MIN(p_AtrN,ROW()-4),1))</f>
        <v>0.683076923076923</v>
      </c>
      <c r="Z294" s="41" t="n">
        <f aca="false">IF(AND(C294-C293&gt;D293-D294,C294-C293&gt;0),C294-C293,0)</f>
        <v>0.969999999999999</v>
      </c>
      <c r="AA294" s="41" t="n">
        <f aca="false">IF(AND(D293-D294&gt;C294-C293,D293-D294&gt;0),D293-D294,0)</f>
        <v>0</v>
      </c>
      <c r="AB294" s="41" t="n">
        <f aca="false">2/(p_AdxN+1)*X294+(1-2/(p_AdxN+1))*AB293</f>
        <v>0.780220086292332</v>
      </c>
      <c r="AC294" s="41" t="n">
        <f aca="false">2/(p_AdxN+1)*Z294+(1-2/(p_AdxN+1))*AC293</f>
        <v>0.373949991391506</v>
      </c>
      <c r="AD294" s="41" t="n">
        <f aca="false">2/(p_AdxN+1)*AA294+(1-2/(p_AdxN+1))*AD293</f>
        <v>0.0298632246115268</v>
      </c>
      <c r="AE294" s="45" t="n">
        <f aca="false">100*AC294/AB294</f>
        <v>47.9287829115687</v>
      </c>
      <c r="AF294" s="45" t="n">
        <f aca="false">100*AD294/AB294</f>
        <v>3.82753855433782</v>
      </c>
      <c r="AG294" s="45" t="n">
        <f aca="false">IFERROR(100*ABS(AE294-AF294)/(AE294+AF294),0)</f>
        <v>85.2093871978165</v>
      </c>
      <c r="AH294" s="45" t="n">
        <f aca="false">2/(p_AdxN+1)*AG294+(1-2/(p_AdxN+1))*AH293</f>
        <v>54.9344182651393</v>
      </c>
      <c r="AI294" s="40" t="n">
        <f aca="false">I294*(1+p_ChPct)</f>
        <v>30.3111528709582</v>
      </c>
      <c r="AJ294" s="40" t="n">
        <f aca="false">I294*(1-p_ChPct)</f>
        <v>26.8797016025478</v>
      </c>
      <c r="AK294" s="40" t="n">
        <f aca="false">I294+1*Y294</f>
        <v>29.2785041598299</v>
      </c>
      <c r="AL294" s="40" t="n">
        <f aca="false">I294+2*Y294</f>
        <v>29.9615810829068</v>
      </c>
      <c r="AM294" s="40" t="n">
        <f aca="false">I294+3*Y294</f>
        <v>30.6446580059837</v>
      </c>
      <c r="AN294" s="40" t="n">
        <f aca="false">I294-1*Y294</f>
        <v>27.9123503136761</v>
      </c>
      <c r="AO294" s="40" t="n">
        <f aca="false">I294-2*Y294</f>
        <v>27.2292733905991</v>
      </c>
      <c r="AP294" s="40" t="n">
        <f aca="false">I294-3*Y294</f>
        <v>26.5461964675222</v>
      </c>
      <c r="AQ294" s="40" t="n">
        <f aca="true">MAX(OFFSET(C294,1-MIN(p_StochN,ROW()-4),0,MIN(p_StochN,ROW()-4),1))</f>
        <v>31.29</v>
      </c>
      <c r="AR294" s="40" t="n">
        <f aca="true">MIN(OFFSET(D294,1-MIN(p_StochN,ROW()-4),0,MIN(p_StochN,ROW()-4),1))</f>
        <v>28.84</v>
      </c>
      <c r="AS294" s="45" t="n">
        <f aca="false">IF(AQ294=AR294,50,100*(E294-AR294)/(AQ294-AR294))</f>
        <v>93.469387755102</v>
      </c>
      <c r="AT294" s="45" t="n">
        <f aca="true">AVERAGE(OFFSET(AS294,1-MIN(p_StochSm,ROW()-4),0,MIN(p_StochSm,ROW()-4),1))</f>
        <v>91.288931227419</v>
      </c>
      <c r="AU294" s="45" t="n">
        <f aca="true">AVERAGE(OFFSET(AT294,1-MIN(p_StochSm,ROW()-4),0,MIN(p_StochSm,ROW()-4),1))</f>
        <v>89.073995356432</v>
      </c>
      <c r="AV294" s="41" t="n">
        <f aca="false">MAX(0,H294-D294)</f>
        <v>0</v>
      </c>
      <c r="AW294" s="41" t="n">
        <f aca="true">IF(COUNTIF(OFFSET(AV294,1-MIN(p_PenLb,ROW()-4),0,MIN(p_PenLb,ROW()-4),1),"&gt;0")&gt;0,SUM(OFFSET(AV294,1-MIN(p_PenLb,ROW()-4),0,MIN(p_PenLb,ROW()-4),1))/COUNTIF(OFFSET(AV294,1-MIN(p_PenLb,ROW()-4),0,MIN(p_PenLb,ROW()-4),1),"&gt;0"),0.5*Y294)</f>
        <v>1.03533445653576</v>
      </c>
      <c r="AX294" s="41" t="n">
        <f aca="false">2*H294-H293</f>
        <v>29.3590734409817</v>
      </c>
      <c r="AY294" s="40" t="n">
        <f aca="false">ROUND(MAX(AX294-AW294,0.01),2)</f>
        <v>28.32</v>
      </c>
      <c r="AZ294" s="40" t="n">
        <f aca="true">IF(MIN(p_StopLb,ROW()-4)&lt;2,D294,SMALL(OFFSET(D294,1-MIN(p_StopLb,ROW()-4),0,MIN(p_StopLb,ROW()-4),1),2))</f>
        <v>27.61</v>
      </c>
      <c r="BA294" s="40" t="n">
        <f aca="false">IF(MOD(ROUND(ROUNDDOWN(MIN(AZ294-0.01,AY294-p_StopAtr*Y294),2)*100,0),50)=0,ROUNDDOWN(MIN(AZ294-0.01,AY294-p_StopAtr*Y294),2)-0.01,ROUNDDOWN(MIN(AZ294-0.01,AY294-p_StopAtr*Y294),2))</f>
        <v>27.6</v>
      </c>
      <c r="BB294" s="40" t="n">
        <f aca="false">ROUND(AI294,2)</f>
        <v>30.31</v>
      </c>
      <c r="BC294" s="40" t="n">
        <f aca="false">IF(AY294-BA294&gt;0,(BB294-AY294)/(AY294-BA294),0)</f>
        <v>2.76388888888889</v>
      </c>
      <c r="BD294" s="42" t="n">
        <f aca="false">IF(N294&lt;0,1,0)</f>
        <v>0</v>
      </c>
      <c r="BE294" s="41" t="n">
        <f aca="false">IF(AND(BD294=1,BD293=0),N294,IF(BD294=1,MIN(BE293,N294),BE293))</f>
        <v>-0.356654552541767</v>
      </c>
      <c r="BF294" s="40" t="n">
        <f aca="false">IF(AND(BD294=1,BD293=0),D294,IF(BD294=1,MIN(BF293,D294),BF293))</f>
        <v>25.91</v>
      </c>
      <c r="BG294" s="42" t="n">
        <f aca="false">IF(AND(BD294=1,BD293=0),ROW(),IF(BD294=1,IF(N294&lt;BE293,ROW(),BG293),BG293))</f>
        <v>261</v>
      </c>
      <c r="BH294" s="41" t="n">
        <f aca="false">IF(AND(BD294=1,BD293=0),BE293,BH293)</f>
        <v>-0.153190541609803</v>
      </c>
      <c r="BI294" s="40" t="n">
        <f aca="false">IF(AND(BD294=1,BD293=0),BF293,BI293)</f>
        <v>27.9</v>
      </c>
      <c r="BJ294" s="42" t="n">
        <f aca="false">IF(AND(BD294=1,BD293=0),BG293,BJ293)</f>
        <v>226</v>
      </c>
      <c r="BK294" s="42" t="n">
        <f aca="false">IF(AND(ISNUMBER(BG294),ISNUMBER(BJ294)),BG294-BJ294,"")</f>
        <v>35</v>
      </c>
      <c r="BL294" s="42" t="n">
        <f aca="false">IF(AND(BD294=1,N294&gt;N293,ISNUMBER(BH294),ISNUMBER(BK294)),IF(AND(BE294&gt;BH294,BF294&lt;BI294,BK294&gt;=p_GapMin,BK294&lt;=p_GapMax),1,0),0)</f>
        <v>0</v>
      </c>
      <c r="BM294" s="42" t="n">
        <f aca="false">IF(AND(BL294=1,E294&gt;BI294),1,0)</f>
        <v>0</v>
      </c>
      <c r="BN294" s="42" t="n">
        <f aca="false">IF(BL294=1,IF(BE294&gt;=BH294*0.5,1,0),0)</f>
        <v>0</v>
      </c>
      <c r="BO294" s="42" t="n">
        <f aca="true">IF(V294&gt;MIN(OFFSET(V294,-MIN(p_FiLb-1,ROW()-5),0,MIN(p_FiLb-1,ROW()-5),1)),1,0)</f>
        <v>1</v>
      </c>
      <c r="BP294" s="44" t="n">
        <f aca="true">IF(COUNTIF(OFFSET(V294,1-MIN(100,ROW()-4),0,MIN(100,ROW()-4),1),"&lt;0")&gt;=5,AVERAGEIF(OFFSET(V294,1-MIN(100,ROW()-4),0,MIN(100,ROW()-4),1),"&lt;0"),"")</f>
        <v>-1117735.90008435</v>
      </c>
      <c r="BQ294" s="42" t="n">
        <f aca="false">IF(ISNUMBER(BP294),IF(AND(V294&lt;5*BP294,V294&gt;V293,E294&lt;AJ294),1,0),0)</f>
        <v>0</v>
      </c>
      <c r="BR294" s="44" t="n">
        <f aca="true">AVERAGE(OFFSET(F294,1-MIN(5,ROW()-4),0,MIN(5,ROW()-4),1))</f>
        <v>4369680</v>
      </c>
      <c r="BS294" s="42" t="n">
        <f aca="false">IFERROR(IF(MATCH(G294,周线!$A$5:$A$84,0)&lt;=1,"",INDEX(周线!$R$5:$R$84,MATCH(G294,周线!$A$5:$A$84,0)-1)),"")</f>
        <v>1</v>
      </c>
      <c r="BT294" s="42" t="n">
        <f aca="false">IFERROR(IF(MATCH(G294,周线!$A$5:$A$84,0)&lt;=1,"",INDEX(周线!$S$5:$S$84,MATCH(G294,周线!$A$5:$A$84,0)-1)),"")</f>
        <v>1</v>
      </c>
      <c r="BU294" s="42" t="n">
        <f aca="false">IFERROR(IF(MATCH(G294,周线!$A$5:$A$84,0)&lt;=1,"",INDEX(周线!$U$5:$U$84,MATCH(G294,周线!$A$5:$A$84,0)-1)),"")</f>
        <v>1</v>
      </c>
      <c r="BV294" s="42" t="n">
        <f aca="false">IF(AND(BS294=1,S294&lt;&gt;-1,V294&lt;0,BO294=1,E294&lt;=H294,E294&gt;=AJ294),1,0)</f>
        <v>0</v>
      </c>
      <c r="BW294" s="42" t="n">
        <f aca="false">BL294</f>
        <v>0</v>
      </c>
      <c r="BX294" s="42" t="n">
        <f aca="false">BQ294</f>
        <v>0</v>
      </c>
      <c r="BY294" s="42" t="n">
        <f aca="false">IF(BS294=1,10,0)+IF(BU294=1,5,IF(BU294=-1,0,3))+IF(BT294=1,5,0)+IF(AND(AE294&gt;AF294,AH294&gt;AH293),5,0)</f>
        <v>25</v>
      </c>
      <c r="BZ294" s="42" t="n">
        <f aca="false">IF(AND(E294&lt;=H294,E294&gt;=I294),10,IF(AND(E294&gt;=AJ294,E294&lt;I294),6,0))+IF(AND(V294&lt;0,BO294=1),8,0)+IF(AT294&lt;30,7,IF(AT294&lt;50,3,0))</f>
        <v>0</v>
      </c>
      <c r="CA294" s="42" t="n">
        <f aca="false">IF(AND(BV294=1,BW294=1),25,IF(BW294=1,22,IF(BV294=1,15,IF(BX294=1,12,0))))</f>
        <v>0</v>
      </c>
      <c r="CB294" s="42" t="n">
        <f aca="false">IF(W294&gt;0,6,0)+IF(F294&lt;BR294,4,0)</f>
        <v>6</v>
      </c>
      <c r="CC294" s="42" t="n">
        <f aca="false">IF(BC294&gt;=3,15,IF(BC294&gt;=p_RRmin,10,IF(BC294&gt;=1.5,4,0)))</f>
        <v>10</v>
      </c>
      <c r="CD294" s="42" t="n">
        <f aca="false">BY294+BZ294+CA294+CB294+CC294</f>
        <v>41</v>
      </c>
      <c r="CE294" s="42" t="n">
        <f aca="false">IF(AND(BS294&lt;&gt;1,BW294+BX294=0),1,0)</f>
        <v>0</v>
      </c>
      <c r="CF294" s="42" t="n">
        <f aca="false">IF(BU294=-1,1,0)</f>
        <v>0</v>
      </c>
      <c r="CG294" s="42" t="n">
        <f aca="false">IF(S294=-1,1,0)</f>
        <v>0</v>
      </c>
      <c r="CH294" s="42" t="n">
        <f aca="false">IF(BV294+BW294+BX294=0,1,0)</f>
        <v>1</v>
      </c>
      <c r="CI294" s="42" t="n">
        <f aca="false">IF(BC294&lt;p_RRmin,1,0)</f>
        <v>0</v>
      </c>
      <c r="CJ294" s="46" t="str">
        <f aca="false">IF(SUM(CE294:CI294)=0,IF(CD294&gt;=p_GradeA,"A",IF(CD294&gt;=p_GradeB,"B","C")),IF(AND(CI294=1,SUM(CE294:CH294)=0,CD294&gt;=p_GradeB),"B","C"))</f>
        <v>C</v>
      </c>
    </row>
    <row r="295" customFormat="false" ht="15" hidden="false" customHeight="false" outlineLevel="0" collapsed="false">
      <c r="A295" s="36" t="n">
        <v>46065</v>
      </c>
      <c r="B295" s="37" t="n">
        <v>31.06</v>
      </c>
      <c r="C295" s="37" t="n">
        <v>31.54</v>
      </c>
      <c r="D295" s="37" t="n">
        <v>30.92</v>
      </c>
      <c r="E295" s="37" t="n">
        <v>31.41</v>
      </c>
      <c r="F295" s="38" t="n">
        <v>3378300</v>
      </c>
      <c r="G295" s="39" t="n">
        <f aca="false">A295-WEEKDAY(A295,3)</f>
        <v>46062</v>
      </c>
      <c r="H295" s="40" t="n">
        <f aca="false">2/(p_EmaF+1)*E295+(1-2/(p_EmaF+1))*H294</f>
        <v>29.3484755392955</v>
      </c>
      <c r="I295" s="40" t="n">
        <f aca="false">2/(p_EmaS+1)*E295+(1-2/(p_EmaS+1))*I294</f>
        <v>28.8039141081046</v>
      </c>
      <c r="J295" s="41" t="n">
        <f aca="false">2/(p_MacdF+1)*E295+(1-2/(p_MacdF+1))*J294</f>
        <v>29.4420741051338</v>
      </c>
      <c r="K295" s="41" t="n">
        <f aca="false">2/(p_MacdS+1)*E295+(1-2/(p_MacdS+1))*K294</f>
        <v>28.8039141081046</v>
      </c>
      <c r="L295" s="41" t="n">
        <f aca="false">J295-K295</f>
        <v>0.638159997029227</v>
      </c>
      <c r="M295" s="41" t="n">
        <f aca="false">2/(p_MacdSig+1)*L295+(1-2/(p_MacdSig+1))*M294</f>
        <v>0.165202036498434</v>
      </c>
      <c r="N295" s="41" t="n">
        <f aca="false">L295-M295</f>
        <v>0.472957960530793</v>
      </c>
      <c r="O295" s="42" t="n">
        <f aca="false">IF(H295&gt;H294,1,0)</f>
        <v>1</v>
      </c>
      <c r="P295" s="42" t="n">
        <f aca="false">IF(H295&lt;H294,1,0)</f>
        <v>0</v>
      </c>
      <c r="Q295" s="42" t="n">
        <f aca="false">IF(N295&gt;N294,1,0)</f>
        <v>1</v>
      </c>
      <c r="R295" s="42" t="n">
        <f aca="false">IF(N295&lt;N294,1,0)</f>
        <v>0</v>
      </c>
      <c r="S295" s="42" t="n">
        <f aca="false">IF(AND(O295=1,Q295=1),1,IF(AND(P295=1,R295=1),-1,0))</f>
        <v>1</v>
      </c>
      <c r="T295" s="43" t="str">
        <f aca="false">IF(S295=1,"绿",IF(S295=-1,"红","蓝"))</f>
        <v>绿</v>
      </c>
      <c r="U295" s="44" t="n">
        <f aca="false">F295*(E295-E294)</f>
        <v>945924.000000004</v>
      </c>
      <c r="V295" s="44" t="n">
        <f aca="false">2/(p_FiS+1)*U295+(1-2/(p_FiS+1))*V294</f>
        <v>2250293.64397922</v>
      </c>
      <c r="W295" s="44" t="n">
        <f aca="false">2/(p_FiL+1)*U295+(1-2/(p_FiL+1))*W294</f>
        <v>1654239.82854782</v>
      </c>
      <c r="X295" s="41" t="n">
        <f aca="false">MAX(C295-D295,ABS(C295-E294),ABS(D295-E294))</f>
        <v>0.619999999999997</v>
      </c>
      <c r="Y295" s="41" t="n">
        <f aca="true">AVERAGE(OFFSET(X295,1-MIN(p_AtrN,ROW()-4),0,MIN(p_AtrN,ROW()-4),1))</f>
        <v>0.646153846153846</v>
      </c>
      <c r="Z295" s="41" t="n">
        <f aca="false">IF(AND(C295-C294&gt;D294-D295,C295-C294&gt;0),C295-C294,0)</f>
        <v>0.25</v>
      </c>
      <c r="AA295" s="41" t="n">
        <f aca="false">IF(AND(D294-D295&gt;C295-C294,D294-D295&gt;0),D294-D295,0)</f>
        <v>0</v>
      </c>
      <c r="AB295" s="41" t="n">
        <f aca="false">2/(p_AdxN+1)*X295+(1-2/(p_AdxN+1))*AB294</f>
        <v>0.757331502536284</v>
      </c>
      <c r="AC295" s="41" t="n">
        <f aca="false">2/(p_AdxN+1)*Z295+(1-2/(p_AdxN+1))*AC294</f>
        <v>0.356242849764148</v>
      </c>
      <c r="AD295" s="41" t="n">
        <f aca="false">2/(p_AdxN+1)*AA295+(1-2/(p_AdxN+1))*AD294</f>
        <v>0.025597049667023</v>
      </c>
      <c r="AE295" s="45" t="n">
        <f aca="false">100*AC295/AB295</f>
        <v>47.0392223974705</v>
      </c>
      <c r="AF295" s="45" t="n">
        <f aca="false">100*AD295/AB295</f>
        <v>3.37990029218369</v>
      </c>
      <c r="AG295" s="45" t="n">
        <f aca="false">IFERROR(100*ABS(AE295-AF295)/(AE295+AF295),0)</f>
        <v>86.5927841982176</v>
      </c>
      <c r="AH295" s="45" t="n">
        <f aca="false">2/(p_AdxN+1)*AG295+(1-2/(p_AdxN+1))*AH294</f>
        <v>59.4570419698647</v>
      </c>
      <c r="AI295" s="40" t="n">
        <f aca="false">I295*(1+p_ChPct)</f>
        <v>30.5321489545909</v>
      </c>
      <c r="AJ295" s="40" t="n">
        <f aca="false">I295*(1-p_ChPct)</f>
        <v>27.0756792616183</v>
      </c>
      <c r="AK295" s="40" t="n">
        <f aca="false">I295+1*Y295</f>
        <v>29.4500679542585</v>
      </c>
      <c r="AL295" s="40" t="n">
        <f aca="false">I295+2*Y295</f>
        <v>30.0962218004123</v>
      </c>
      <c r="AM295" s="40" t="n">
        <f aca="false">I295+3*Y295</f>
        <v>30.7423756465661</v>
      </c>
      <c r="AN295" s="40" t="n">
        <f aca="false">I295-1*Y295</f>
        <v>28.1577602619508</v>
      </c>
      <c r="AO295" s="40" t="n">
        <f aca="false">I295-2*Y295</f>
        <v>27.5116064157969</v>
      </c>
      <c r="AP295" s="40" t="n">
        <f aca="false">I295-3*Y295</f>
        <v>26.8654525696431</v>
      </c>
      <c r="AQ295" s="40" t="n">
        <f aca="true">MAX(OFFSET(C295,1-MIN(p_StochN,ROW()-4),0,MIN(p_StochN,ROW()-4),1))</f>
        <v>31.54</v>
      </c>
      <c r="AR295" s="40" t="n">
        <f aca="true">MIN(OFFSET(D295,1-MIN(p_StochN,ROW()-4),0,MIN(p_StochN,ROW()-4),1))</f>
        <v>28.87</v>
      </c>
      <c r="AS295" s="45" t="n">
        <f aca="false">IF(AQ295=AR295,50,100*(E295-AR295)/(AQ295-AR295))</f>
        <v>95.1310861423221</v>
      </c>
      <c r="AT295" s="45" t="n">
        <f aca="true">AVERAGE(OFFSET(AS295,1-MIN(p_StochSm,ROW()-4),0,MIN(p_StochSm,ROW()-4),1))</f>
        <v>91.7258850351593</v>
      </c>
      <c r="AU295" s="45" t="n">
        <f aca="true">AVERAGE(OFFSET(AT295,1-MIN(p_StochSm,ROW()-4),0,MIN(p_StochSm,ROW()-4),1))</f>
        <v>90.0033433343342</v>
      </c>
      <c r="AV295" s="41" t="n">
        <f aca="false">MAX(0,H295-D295)</f>
        <v>0</v>
      </c>
      <c r="AW295" s="41" t="n">
        <f aca="true">IF(COUNTIF(OFFSET(AV295,1-MIN(p_PenLb,ROW()-4),0,MIN(p_PenLb,ROW()-4),1),"&gt;0")&gt;0,SUM(OFFSET(AV295,1-MIN(p_PenLb,ROW()-4),0,MIN(p_PenLb,ROW()-4),1))/COUNTIF(OFFSET(AV295,1-MIN(p_PenLb,ROW()-4),0,MIN(p_PenLb,ROW()-4),1),"&gt;0"),0.5*Y295)</f>
        <v>1.04935332595311</v>
      </c>
      <c r="AX295" s="41" t="n">
        <f aca="false">2*H295-H294</f>
        <v>29.6920629494129</v>
      </c>
      <c r="AY295" s="40" t="n">
        <f aca="false">ROUND(MAX(AX295-AW295,0.01),2)</f>
        <v>28.64</v>
      </c>
      <c r="AZ295" s="40" t="n">
        <f aca="true">IF(MIN(p_StopLb,ROW()-4)&lt;2,D295,SMALL(OFFSET(D295,1-MIN(p_StopLb,ROW()-4),0,MIN(p_StopLb,ROW()-4),1),2))</f>
        <v>27.8</v>
      </c>
      <c r="BA295" s="40" t="n">
        <f aca="false">IF(MOD(ROUND(ROUNDDOWN(MIN(AZ295-0.01,AY295-p_StopAtr*Y295),2)*100,0),50)=0,ROUNDDOWN(MIN(AZ295-0.01,AY295-p_StopAtr*Y295),2)-0.01,ROUNDDOWN(MIN(AZ295-0.01,AY295-p_StopAtr*Y295),2))</f>
        <v>27.79</v>
      </c>
      <c r="BB295" s="40" t="n">
        <f aca="false">ROUND(AI295,2)</f>
        <v>30.53</v>
      </c>
      <c r="BC295" s="40" t="n">
        <f aca="false">IF(AY295-BA295&gt;0,(BB295-AY295)/(AY295-BA295),0)</f>
        <v>2.2235294117647</v>
      </c>
      <c r="BD295" s="42" t="n">
        <f aca="false">IF(N295&lt;0,1,0)</f>
        <v>0</v>
      </c>
      <c r="BE295" s="41" t="n">
        <f aca="false">IF(AND(BD295=1,BD294=0),N295,IF(BD295=1,MIN(BE294,N295),BE294))</f>
        <v>-0.356654552541767</v>
      </c>
      <c r="BF295" s="40" t="n">
        <f aca="false">IF(AND(BD295=1,BD294=0),D295,IF(BD295=1,MIN(BF294,D295),BF294))</f>
        <v>25.91</v>
      </c>
      <c r="BG295" s="42" t="n">
        <f aca="false">IF(AND(BD295=1,BD294=0),ROW(),IF(BD295=1,IF(N295&lt;BE294,ROW(),BG294),BG294))</f>
        <v>261</v>
      </c>
      <c r="BH295" s="41" t="n">
        <f aca="false">IF(AND(BD295=1,BD294=0),BE294,BH294)</f>
        <v>-0.153190541609803</v>
      </c>
      <c r="BI295" s="40" t="n">
        <f aca="false">IF(AND(BD295=1,BD294=0),BF294,BI294)</f>
        <v>27.9</v>
      </c>
      <c r="BJ295" s="42" t="n">
        <f aca="false">IF(AND(BD295=1,BD294=0),BG294,BJ294)</f>
        <v>226</v>
      </c>
      <c r="BK295" s="42" t="n">
        <f aca="false">IF(AND(ISNUMBER(BG295),ISNUMBER(BJ295)),BG295-BJ295,"")</f>
        <v>35</v>
      </c>
      <c r="BL295" s="42" t="n">
        <f aca="false">IF(AND(BD295=1,N295&gt;N294,ISNUMBER(BH295),ISNUMBER(BK295)),IF(AND(BE295&gt;BH295,BF295&lt;BI295,BK295&gt;=p_GapMin,BK295&lt;=p_GapMax),1,0),0)</f>
        <v>0</v>
      </c>
      <c r="BM295" s="42" t="n">
        <f aca="false">IF(AND(BL295=1,E295&gt;BI295),1,0)</f>
        <v>0</v>
      </c>
      <c r="BN295" s="42" t="n">
        <f aca="false">IF(BL295=1,IF(BE295&gt;=BH295*0.5,1,0),0)</f>
        <v>0</v>
      </c>
      <c r="BO295" s="42" t="n">
        <f aca="true">IF(V295&gt;MIN(OFFSET(V295,-MIN(p_FiLb-1,ROW()-5),0,MIN(p_FiLb-1,ROW()-5),1)),1,0)</f>
        <v>1</v>
      </c>
      <c r="BP295" s="44" t="n">
        <f aca="true">IF(COUNTIF(OFFSET(V295,1-MIN(100,ROW()-4),0,MIN(100,ROW()-4),1),"&lt;0")&gt;=5,AVERAGEIF(OFFSET(V295,1-MIN(100,ROW()-4),0,MIN(100,ROW()-4),1),"&lt;0"),"")</f>
        <v>-1117735.90008435</v>
      </c>
      <c r="BQ295" s="42" t="n">
        <f aca="false">IF(ISNUMBER(BP295),IF(AND(V295&lt;5*BP295,V295&gt;V294,E295&lt;AJ295),1,0),0)</f>
        <v>0</v>
      </c>
      <c r="BR295" s="44" t="n">
        <f aca="true">AVERAGE(OFFSET(F295,1-MIN(5,ROW()-4),0,MIN(5,ROW()-4),1))</f>
        <v>4152080</v>
      </c>
      <c r="BS295" s="42" t="n">
        <f aca="false">IFERROR(IF(MATCH(G295,周线!$A$5:$A$84,0)&lt;=1,"",INDEX(周线!$R$5:$R$84,MATCH(G295,周线!$A$5:$A$84,0)-1)),"")</f>
        <v>1</v>
      </c>
      <c r="BT295" s="42" t="n">
        <f aca="false">IFERROR(IF(MATCH(G295,周线!$A$5:$A$84,0)&lt;=1,"",INDEX(周线!$S$5:$S$84,MATCH(G295,周线!$A$5:$A$84,0)-1)),"")</f>
        <v>1</v>
      </c>
      <c r="BU295" s="42" t="n">
        <f aca="false">IFERROR(IF(MATCH(G295,周线!$A$5:$A$84,0)&lt;=1,"",INDEX(周线!$U$5:$U$84,MATCH(G295,周线!$A$5:$A$84,0)-1)),"")</f>
        <v>1</v>
      </c>
      <c r="BV295" s="42" t="n">
        <f aca="false">IF(AND(BS295=1,S295&lt;&gt;-1,V295&lt;0,BO295=1,E295&lt;=H295,E295&gt;=AJ295),1,0)</f>
        <v>0</v>
      </c>
      <c r="BW295" s="42" t="n">
        <f aca="false">BL295</f>
        <v>0</v>
      </c>
      <c r="BX295" s="42" t="n">
        <f aca="false">BQ295</f>
        <v>0</v>
      </c>
      <c r="BY295" s="42" t="n">
        <f aca="false">IF(BS295=1,10,0)+IF(BU295=1,5,IF(BU295=-1,0,3))+IF(BT295=1,5,0)+IF(AND(AE295&gt;AF295,AH295&gt;AH294),5,0)</f>
        <v>25</v>
      </c>
      <c r="BZ295" s="42" t="n">
        <f aca="false">IF(AND(E295&lt;=H295,E295&gt;=I295),10,IF(AND(E295&gt;=AJ295,E295&lt;I295),6,0))+IF(AND(V295&lt;0,BO295=1),8,0)+IF(AT295&lt;30,7,IF(AT295&lt;50,3,0))</f>
        <v>0</v>
      </c>
      <c r="CA295" s="42" t="n">
        <f aca="false">IF(AND(BV295=1,BW295=1),25,IF(BW295=1,22,IF(BV295=1,15,IF(BX295=1,12,0))))</f>
        <v>0</v>
      </c>
      <c r="CB295" s="42" t="n">
        <f aca="false">IF(W295&gt;0,6,0)+IF(F295&lt;BR295,4,0)</f>
        <v>10</v>
      </c>
      <c r="CC295" s="42" t="n">
        <f aca="false">IF(BC295&gt;=3,15,IF(BC295&gt;=p_RRmin,10,IF(BC295&gt;=1.5,4,0)))</f>
        <v>10</v>
      </c>
      <c r="CD295" s="42" t="n">
        <f aca="false">BY295+BZ295+CA295+CB295+CC295</f>
        <v>45</v>
      </c>
      <c r="CE295" s="42" t="n">
        <f aca="false">IF(AND(BS295&lt;&gt;1,BW295+BX295=0),1,0)</f>
        <v>0</v>
      </c>
      <c r="CF295" s="42" t="n">
        <f aca="false">IF(BU295=-1,1,0)</f>
        <v>0</v>
      </c>
      <c r="CG295" s="42" t="n">
        <f aca="false">IF(S295=-1,1,0)</f>
        <v>0</v>
      </c>
      <c r="CH295" s="42" t="n">
        <f aca="false">IF(BV295+BW295+BX295=0,1,0)</f>
        <v>1</v>
      </c>
      <c r="CI295" s="42" t="n">
        <f aca="false">IF(BC295&lt;p_RRmin,1,0)</f>
        <v>0</v>
      </c>
      <c r="CJ295" s="46" t="str">
        <f aca="false">IF(SUM(CE295:CI295)=0,IF(CD295&gt;=p_GradeA,"A",IF(CD295&gt;=p_GradeB,"B","C")),IF(AND(CI295=1,SUM(CE295:CH295)=0,CD295&gt;=p_GradeB),"B","C"))</f>
        <v>C</v>
      </c>
    </row>
    <row r="296" customFormat="false" ht="15" hidden="false" customHeight="false" outlineLevel="0" collapsed="false">
      <c r="A296" s="36" t="n">
        <v>46066</v>
      </c>
      <c r="B296" s="37" t="n">
        <v>31.39</v>
      </c>
      <c r="C296" s="37" t="n">
        <v>31.53</v>
      </c>
      <c r="D296" s="37" t="n">
        <v>30.77</v>
      </c>
      <c r="E296" s="37" t="n">
        <v>31.21</v>
      </c>
      <c r="F296" s="38" t="n">
        <v>2707200</v>
      </c>
      <c r="G296" s="39" t="n">
        <f aca="false">A296-WEEKDAY(A296,3)</f>
        <v>46062</v>
      </c>
      <c r="H296" s="40" t="n">
        <f aca="false">2/(p_EmaF+1)*E296+(1-2/(p_EmaF+1))*H295</f>
        <v>29.6144076051104</v>
      </c>
      <c r="I296" s="40" t="n">
        <f aca="false">2/(p_EmaS+1)*E296+(1-2/(p_EmaS+1))*I295</f>
        <v>28.9821426926895</v>
      </c>
      <c r="J296" s="41" t="n">
        <f aca="false">2/(p_MacdF+1)*E296+(1-2/(p_MacdF+1))*J295</f>
        <v>29.714062704344</v>
      </c>
      <c r="K296" s="41" t="n">
        <f aca="false">2/(p_MacdS+1)*E296+(1-2/(p_MacdS+1))*K295</f>
        <v>28.9821426926895</v>
      </c>
      <c r="L296" s="41" t="n">
        <f aca="false">J296-K296</f>
        <v>0.731920011654566</v>
      </c>
      <c r="M296" s="41" t="n">
        <f aca="false">2/(p_MacdSig+1)*L296+(1-2/(p_MacdSig+1))*M295</f>
        <v>0.278545631529661</v>
      </c>
      <c r="N296" s="41" t="n">
        <f aca="false">L296-M296</f>
        <v>0.453374380124905</v>
      </c>
      <c r="O296" s="42" t="n">
        <f aca="false">IF(H296&gt;H295,1,0)</f>
        <v>1</v>
      </c>
      <c r="P296" s="42" t="n">
        <f aca="false">IF(H296&lt;H295,1,0)</f>
        <v>0</v>
      </c>
      <c r="Q296" s="42" t="n">
        <f aca="false">IF(N296&gt;N295,1,0)</f>
        <v>0</v>
      </c>
      <c r="R296" s="42" t="n">
        <f aca="false">IF(N296&lt;N295,1,0)</f>
        <v>1</v>
      </c>
      <c r="S296" s="42" t="n">
        <f aca="false">IF(AND(O296=1,Q296=1),1,IF(AND(P296=1,R296=1),-1,0))</f>
        <v>0</v>
      </c>
      <c r="T296" s="43" t="str">
        <f aca="false">IF(S296=1,"绿",IF(S296=-1,"红","蓝"))</f>
        <v>蓝</v>
      </c>
      <c r="U296" s="44" t="n">
        <f aca="false">F296*(E296-E295)</f>
        <v>-541439.999999998</v>
      </c>
      <c r="V296" s="44" t="n">
        <f aca="false">2/(p_FiS+1)*U296+(1-2/(p_FiS+1))*V295</f>
        <v>389137.881326408</v>
      </c>
      <c r="W296" s="44" t="n">
        <f aca="false">2/(p_FiL+1)*U296+(1-2/(p_FiL+1))*W295</f>
        <v>1340571.28161242</v>
      </c>
      <c r="X296" s="41" t="n">
        <f aca="false">MAX(C296-D296,ABS(C296-E295),ABS(D296-E295))</f>
        <v>0.760000000000002</v>
      </c>
      <c r="Y296" s="41" t="n">
        <f aca="true">AVERAGE(OFFSET(X296,1-MIN(p_AtrN,ROW()-4),0,MIN(p_AtrN,ROW()-4),1))</f>
        <v>0.653846153846154</v>
      </c>
      <c r="Z296" s="41" t="n">
        <f aca="false">IF(AND(C296-C295&gt;D295-D296,C296-C295&gt;0),C296-C295,0)</f>
        <v>0</v>
      </c>
      <c r="AA296" s="41" t="n">
        <f aca="false">IF(AND(D295-D296&gt;C296-C295,D295-D296&gt;0),D295-D296,0)</f>
        <v>0.150000000000002</v>
      </c>
      <c r="AB296" s="41" t="n">
        <f aca="false">2/(p_AdxN+1)*X296+(1-2/(p_AdxN+1))*AB295</f>
        <v>0.757712716459672</v>
      </c>
      <c r="AC296" s="41" t="n">
        <f aca="false">2/(p_AdxN+1)*Z296+(1-2/(p_AdxN+1))*AC295</f>
        <v>0.305351014083555</v>
      </c>
      <c r="AD296" s="41" t="n">
        <f aca="false">2/(p_AdxN+1)*AA296+(1-2/(p_AdxN+1))*AD295</f>
        <v>0.0433688997145915</v>
      </c>
      <c r="AE296" s="45" t="n">
        <f aca="false">100*AC296/AB296</f>
        <v>40.2990483662824</v>
      </c>
      <c r="AF296" s="45" t="n">
        <f aca="false">100*AD296/AB296</f>
        <v>5.72366000629207</v>
      </c>
      <c r="AG296" s="45" t="n">
        <f aca="false">IFERROR(100*ABS(AE296-AF296)/(AE296+AF296),0)</f>
        <v>75.1268006221778</v>
      </c>
      <c r="AH296" s="45" t="n">
        <f aca="false">2/(p_AdxN+1)*AG296+(1-2/(p_AdxN+1))*AH295</f>
        <v>61.6955789201952</v>
      </c>
      <c r="AI296" s="40" t="n">
        <f aca="false">I296*(1+p_ChPct)</f>
        <v>30.7210712542508</v>
      </c>
      <c r="AJ296" s="40" t="n">
        <f aca="false">I296*(1-p_ChPct)</f>
        <v>27.2432141311281</v>
      </c>
      <c r="AK296" s="40" t="n">
        <f aca="false">I296+1*Y296</f>
        <v>29.6359888465356</v>
      </c>
      <c r="AL296" s="40" t="n">
        <f aca="false">I296+2*Y296</f>
        <v>30.2898350003818</v>
      </c>
      <c r="AM296" s="40" t="n">
        <f aca="false">I296+3*Y296</f>
        <v>30.9436811542279</v>
      </c>
      <c r="AN296" s="40" t="n">
        <f aca="false">I296-1*Y296</f>
        <v>28.3282965388433</v>
      </c>
      <c r="AO296" s="40" t="n">
        <f aca="false">I296-2*Y296</f>
        <v>27.6744503849971</v>
      </c>
      <c r="AP296" s="40" t="n">
        <f aca="false">I296-3*Y296</f>
        <v>27.020604231151</v>
      </c>
      <c r="AQ296" s="40" t="n">
        <f aca="true">MAX(OFFSET(C296,1-MIN(p_StochN,ROW()-4),0,MIN(p_StochN,ROW()-4),1))</f>
        <v>31.54</v>
      </c>
      <c r="AR296" s="40" t="n">
        <f aca="true">MIN(OFFSET(D296,1-MIN(p_StochN,ROW()-4),0,MIN(p_StochN,ROW()-4),1))</f>
        <v>29.04</v>
      </c>
      <c r="AS296" s="45" t="n">
        <f aca="false">IF(AQ296=AR296,50,100*(E296-AR296)/(AQ296-AR296))</f>
        <v>86.8000000000001</v>
      </c>
      <c r="AT296" s="45" t="n">
        <f aca="true">AVERAGE(OFFSET(AS296,1-MIN(p_StochSm,ROW()-4),0,MIN(p_StochSm,ROW()-4),1))</f>
        <v>91.8001579658081</v>
      </c>
      <c r="AU296" s="45" t="n">
        <f aca="true">AVERAGE(OFFSET(AT296,1-MIN(p_StochSm,ROW()-4),0,MIN(p_StochSm,ROW()-4),1))</f>
        <v>91.6049914094621</v>
      </c>
      <c r="AV296" s="41" t="n">
        <f aca="false">MAX(0,H296-D296)</f>
        <v>0</v>
      </c>
      <c r="AW296" s="41" t="n">
        <f aca="true">IF(COUNTIF(OFFSET(AV296,1-MIN(p_PenLb,ROW()-4),0,MIN(p_PenLb,ROW()-4),1),"&gt;0")&gt;0,SUM(OFFSET(AV296,1-MIN(p_PenLb,ROW()-4),0,MIN(p_PenLb,ROW()-4),1))/COUNTIF(OFFSET(AV296,1-MIN(p_PenLb,ROW()-4),0,MIN(p_PenLb,ROW()-4),1),"&gt;0"),0.5*Y296)</f>
        <v>1.04468362481054</v>
      </c>
      <c r="AX296" s="41" t="n">
        <f aca="false">2*H296-H295</f>
        <v>29.8803396709254</v>
      </c>
      <c r="AY296" s="40" t="n">
        <f aca="false">ROUND(MAX(AX296-AW296,0.01),2)</f>
        <v>28.84</v>
      </c>
      <c r="AZ296" s="40" t="n">
        <f aca="true">IF(MIN(p_StopLb,ROW()-4)&lt;2,D296,SMALL(OFFSET(D296,1-MIN(p_StopLb,ROW()-4),0,MIN(p_StopLb,ROW()-4),1),2))</f>
        <v>28</v>
      </c>
      <c r="BA296" s="40" t="n">
        <f aca="false">IF(MOD(ROUND(ROUNDDOWN(MIN(AZ296-0.01,AY296-p_StopAtr*Y296),2)*100,0),50)=0,ROUNDDOWN(MIN(AZ296-0.01,AY296-p_StopAtr*Y296),2)-0.01,ROUNDDOWN(MIN(AZ296-0.01,AY296-p_StopAtr*Y296),2))</f>
        <v>27.99</v>
      </c>
      <c r="BB296" s="40" t="n">
        <f aca="false">ROUND(AI296,2)</f>
        <v>30.72</v>
      </c>
      <c r="BC296" s="40" t="n">
        <f aca="false">IF(AY296-BA296&gt;0,(BB296-AY296)/(AY296-BA296),0)</f>
        <v>2.21176470588235</v>
      </c>
      <c r="BD296" s="42" t="n">
        <f aca="false">IF(N296&lt;0,1,0)</f>
        <v>0</v>
      </c>
      <c r="BE296" s="41" t="n">
        <f aca="false">IF(AND(BD296=1,BD295=0),N296,IF(BD296=1,MIN(BE295,N296),BE295))</f>
        <v>-0.356654552541767</v>
      </c>
      <c r="BF296" s="40" t="n">
        <f aca="false">IF(AND(BD296=1,BD295=0),D296,IF(BD296=1,MIN(BF295,D296),BF295))</f>
        <v>25.91</v>
      </c>
      <c r="BG296" s="42" t="n">
        <f aca="false">IF(AND(BD296=1,BD295=0),ROW(),IF(BD296=1,IF(N296&lt;BE295,ROW(),BG295),BG295))</f>
        <v>261</v>
      </c>
      <c r="BH296" s="41" t="n">
        <f aca="false">IF(AND(BD296=1,BD295=0),BE295,BH295)</f>
        <v>-0.153190541609803</v>
      </c>
      <c r="BI296" s="40" t="n">
        <f aca="false">IF(AND(BD296=1,BD295=0),BF295,BI295)</f>
        <v>27.9</v>
      </c>
      <c r="BJ296" s="42" t="n">
        <f aca="false">IF(AND(BD296=1,BD295=0),BG295,BJ295)</f>
        <v>226</v>
      </c>
      <c r="BK296" s="42" t="n">
        <f aca="false">IF(AND(ISNUMBER(BG296),ISNUMBER(BJ296)),BG296-BJ296,"")</f>
        <v>35</v>
      </c>
      <c r="BL296" s="42" t="n">
        <f aca="false">IF(AND(BD296=1,N296&gt;N295,ISNUMBER(BH296),ISNUMBER(BK296)),IF(AND(BE296&gt;BH296,BF296&lt;BI296,BK296&gt;=p_GapMin,BK296&lt;=p_GapMax),1,0),0)</f>
        <v>0</v>
      </c>
      <c r="BM296" s="42" t="n">
        <f aca="false">IF(AND(BL296=1,E296&gt;BI296),1,0)</f>
        <v>0</v>
      </c>
      <c r="BN296" s="42" t="n">
        <f aca="false">IF(BL296=1,IF(BE296&gt;=BH296*0.5,1,0),0)</f>
        <v>0</v>
      </c>
      <c r="BO296" s="42" t="n">
        <f aca="true">IF(V296&gt;MIN(OFFSET(V296,-MIN(p_FiLb-1,ROW()-5),0,MIN(p_FiLb-1,ROW()-5),1)),1,0)</f>
        <v>1</v>
      </c>
      <c r="BP296" s="44" t="n">
        <f aca="true">IF(COUNTIF(OFFSET(V296,1-MIN(100,ROW()-4),0,MIN(100,ROW()-4),1),"&lt;0")&gt;=5,AVERAGEIF(OFFSET(V296,1-MIN(100,ROW()-4),0,MIN(100,ROW()-4),1),"&lt;0"),"")</f>
        <v>-1117735.90008435</v>
      </c>
      <c r="BQ296" s="42" t="n">
        <f aca="false">IF(ISNUMBER(BP296),IF(AND(V296&lt;5*BP296,V296&gt;V295,E296&lt;AJ296),1,0),0)</f>
        <v>0</v>
      </c>
      <c r="BR296" s="44" t="n">
        <f aca="true">AVERAGE(OFFSET(F296,1-MIN(5,ROW()-4),0,MIN(5,ROW()-4),1))</f>
        <v>3943900</v>
      </c>
      <c r="BS296" s="42" t="n">
        <f aca="false">IFERROR(IF(MATCH(G296,周线!$A$5:$A$84,0)&lt;=1,"",INDEX(周线!$R$5:$R$84,MATCH(G296,周线!$A$5:$A$84,0)-1)),"")</f>
        <v>1</v>
      </c>
      <c r="BT296" s="42" t="n">
        <f aca="false">IFERROR(IF(MATCH(G296,周线!$A$5:$A$84,0)&lt;=1,"",INDEX(周线!$S$5:$S$84,MATCH(G296,周线!$A$5:$A$84,0)-1)),"")</f>
        <v>1</v>
      </c>
      <c r="BU296" s="42" t="n">
        <f aca="false">IFERROR(IF(MATCH(G296,周线!$A$5:$A$84,0)&lt;=1,"",INDEX(周线!$U$5:$U$84,MATCH(G296,周线!$A$5:$A$84,0)-1)),"")</f>
        <v>1</v>
      </c>
      <c r="BV296" s="42" t="n">
        <f aca="false">IF(AND(BS296=1,S296&lt;&gt;-1,V296&lt;0,BO296=1,E296&lt;=H296,E296&gt;=AJ296),1,0)</f>
        <v>0</v>
      </c>
      <c r="BW296" s="42" t="n">
        <f aca="false">BL296</f>
        <v>0</v>
      </c>
      <c r="BX296" s="42" t="n">
        <f aca="false">BQ296</f>
        <v>0</v>
      </c>
      <c r="BY296" s="42" t="n">
        <f aca="false">IF(BS296=1,10,0)+IF(BU296=1,5,IF(BU296=-1,0,3))+IF(BT296=1,5,0)+IF(AND(AE296&gt;AF296,AH296&gt;AH295),5,0)</f>
        <v>25</v>
      </c>
      <c r="BZ296" s="42" t="n">
        <f aca="false">IF(AND(E296&lt;=H296,E296&gt;=I296),10,IF(AND(E296&gt;=AJ296,E296&lt;I296),6,0))+IF(AND(V296&lt;0,BO296=1),8,0)+IF(AT296&lt;30,7,IF(AT296&lt;50,3,0))</f>
        <v>0</v>
      </c>
      <c r="CA296" s="42" t="n">
        <f aca="false">IF(AND(BV296=1,BW296=1),25,IF(BW296=1,22,IF(BV296=1,15,IF(BX296=1,12,0))))</f>
        <v>0</v>
      </c>
      <c r="CB296" s="42" t="n">
        <f aca="false">IF(W296&gt;0,6,0)+IF(F296&lt;BR296,4,0)</f>
        <v>10</v>
      </c>
      <c r="CC296" s="42" t="n">
        <f aca="false">IF(BC296&gt;=3,15,IF(BC296&gt;=p_RRmin,10,IF(BC296&gt;=1.5,4,0)))</f>
        <v>10</v>
      </c>
      <c r="CD296" s="42" t="n">
        <f aca="false">BY296+BZ296+CA296+CB296+CC296</f>
        <v>45</v>
      </c>
      <c r="CE296" s="42" t="n">
        <f aca="false">IF(AND(BS296&lt;&gt;1,BW296+BX296=0),1,0)</f>
        <v>0</v>
      </c>
      <c r="CF296" s="42" t="n">
        <f aca="false">IF(BU296=-1,1,0)</f>
        <v>0</v>
      </c>
      <c r="CG296" s="42" t="n">
        <f aca="false">IF(S296=-1,1,0)</f>
        <v>0</v>
      </c>
      <c r="CH296" s="42" t="n">
        <f aca="false">IF(BV296+BW296+BX296=0,1,0)</f>
        <v>1</v>
      </c>
      <c r="CI296" s="42" t="n">
        <f aca="false">IF(BC296&lt;p_RRmin,1,0)</f>
        <v>0</v>
      </c>
      <c r="CJ296" s="46" t="str">
        <f aca="false">IF(SUM(CE296:CI296)=0,IF(CD296&gt;=p_GradeA,"A",IF(CD296&gt;=p_GradeB,"B","C")),IF(AND(CI296=1,SUM(CE296:CH296)=0,CD296&gt;=p_GradeB),"B","C"))</f>
        <v>C</v>
      </c>
    </row>
    <row r="297" customFormat="false" ht="15" hidden="false" customHeight="false" outlineLevel="0" collapsed="false">
      <c r="A297" s="36" t="n">
        <v>46069</v>
      </c>
      <c r="B297" s="37" t="n">
        <v>31.1</v>
      </c>
      <c r="C297" s="37" t="n">
        <v>31.27</v>
      </c>
      <c r="D297" s="37" t="n">
        <v>30.69</v>
      </c>
      <c r="E297" s="37" t="n">
        <v>30.87</v>
      </c>
      <c r="F297" s="38" t="n">
        <v>3566300</v>
      </c>
      <c r="G297" s="39" t="n">
        <f aca="false">A297-WEEKDAY(A297,3)</f>
        <v>46069</v>
      </c>
      <c r="H297" s="40" t="n">
        <f aca="false">2/(p_EmaF+1)*E297+(1-2/(p_EmaF+1))*H296</f>
        <v>29.7937779472375</v>
      </c>
      <c r="I297" s="40" t="n">
        <f aca="false">2/(p_EmaS+1)*E297+(1-2/(p_EmaS+1))*I296</f>
        <v>29.1219839747125</v>
      </c>
      <c r="J297" s="41" t="n">
        <f aca="false">2/(p_MacdF+1)*E297+(1-2/(p_MacdF+1))*J296</f>
        <v>29.891899211368</v>
      </c>
      <c r="K297" s="41" t="n">
        <f aca="false">2/(p_MacdS+1)*E297+(1-2/(p_MacdS+1))*K296</f>
        <v>29.1219839747125</v>
      </c>
      <c r="L297" s="41" t="n">
        <f aca="false">J297-K297</f>
        <v>0.76991523665556</v>
      </c>
      <c r="M297" s="41" t="n">
        <f aca="false">2/(p_MacdSig+1)*L297+(1-2/(p_MacdSig+1))*M296</f>
        <v>0.37681955255484</v>
      </c>
      <c r="N297" s="41" t="n">
        <f aca="false">L297-M297</f>
        <v>0.39309568410072</v>
      </c>
      <c r="O297" s="42" t="n">
        <f aca="false">IF(H297&gt;H296,1,0)</f>
        <v>1</v>
      </c>
      <c r="P297" s="42" t="n">
        <f aca="false">IF(H297&lt;H296,1,0)</f>
        <v>0</v>
      </c>
      <c r="Q297" s="42" t="n">
        <f aca="false">IF(N297&gt;N296,1,0)</f>
        <v>0</v>
      </c>
      <c r="R297" s="42" t="n">
        <f aca="false">IF(N297&lt;N296,1,0)</f>
        <v>1</v>
      </c>
      <c r="S297" s="42" t="n">
        <f aca="false">IF(AND(O297=1,Q297=1),1,IF(AND(P297=1,R297=1),-1,0))</f>
        <v>0</v>
      </c>
      <c r="T297" s="43" t="str">
        <f aca="false">IF(S297=1,"绿",IF(S297=-1,"红","蓝"))</f>
        <v>蓝</v>
      </c>
      <c r="U297" s="44" t="n">
        <f aca="false">F297*(E297-E296)</f>
        <v>-1212542</v>
      </c>
      <c r="V297" s="44" t="n">
        <f aca="false">2/(p_FiS+1)*U297+(1-2/(p_FiS+1))*V296</f>
        <v>-678648.706224531</v>
      </c>
      <c r="W297" s="44" t="n">
        <f aca="false">2/(p_FiL+1)*U297+(1-2/(p_FiL+1))*W296</f>
        <v>975840.812810645</v>
      </c>
      <c r="X297" s="41" t="n">
        <f aca="false">MAX(C297-D297,ABS(C297-E296),ABS(D297-E296))</f>
        <v>0.579999999999998</v>
      </c>
      <c r="Y297" s="41" t="n">
        <f aca="true">AVERAGE(OFFSET(X297,1-MIN(p_AtrN,ROW()-4),0,MIN(p_AtrN,ROW()-4),1))</f>
        <v>0.68</v>
      </c>
      <c r="Z297" s="41" t="n">
        <f aca="false">IF(AND(C297-C296&gt;D296-D297,C297-C296&gt;0),C297-C296,0)</f>
        <v>0</v>
      </c>
      <c r="AA297" s="41" t="n">
        <f aca="false">IF(AND(D296-D297&gt;C297-C296,D296-D297&gt;0),D296-D297,0)</f>
        <v>0.0799999999999983</v>
      </c>
      <c r="AB297" s="41" t="n">
        <f aca="false">2/(p_AdxN+1)*X297+(1-2/(p_AdxN+1))*AB296</f>
        <v>0.732325185536862</v>
      </c>
      <c r="AC297" s="41" t="n">
        <f aca="false">2/(p_AdxN+1)*Z297+(1-2/(p_AdxN+1))*AC296</f>
        <v>0.261729440643048</v>
      </c>
      <c r="AD297" s="41" t="n">
        <f aca="false">2/(p_AdxN+1)*AA297+(1-2/(p_AdxN+1))*AD296</f>
        <v>0.0486019140410781</v>
      </c>
      <c r="AE297" s="45" t="n">
        <f aca="false">100*AC297/AB297</f>
        <v>35.7395110549388</v>
      </c>
      <c r="AF297" s="45" t="n">
        <f aca="false">100*AD297/AB297</f>
        <v>6.63665745777246</v>
      </c>
      <c r="AG297" s="45" t="n">
        <f aca="false">IFERROR(100*ABS(AE297-AF297)/(AE297+AF297),0)</f>
        <v>68.677406709001</v>
      </c>
      <c r="AH297" s="45" t="n">
        <f aca="false">2/(p_AdxN+1)*AG297+(1-2/(p_AdxN+1))*AH296</f>
        <v>62.6929828900246</v>
      </c>
      <c r="AI297" s="40" t="n">
        <f aca="false">I297*(1+p_ChPct)</f>
        <v>30.8693030131952</v>
      </c>
      <c r="AJ297" s="40" t="n">
        <f aca="false">I297*(1-p_ChPct)</f>
        <v>27.3746649362297</v>
      </c>
      <c r="AK297" s="40" t="n">
        <f aca="false">I297+1*Y297</f>
        <v>29.8019839747125</v>
      </c>
      <c r="AL297" s="40" t="n">
        <f aca="false">I297+2*Y297</f>
        <v>30.4819839747125</v>
      </c>
      <c r="AM297" s="40" t="n">
        <f aca="false">I297+3*Y297</f>
        <v>31.1619839747125</v>
      </c>
      <c r="AN297" s="40" t="n">
        <f aca="false">I297-1*Y297</f>
        <v>28.4419839747125</v>
      </c>
      <c r="AO297" s="40" t="n">
        <f aca="false">I297-2*Y297</f>
        <v>27.7619839747125</v>
      </c>
      <c r="AP297" s="40" t="n">
        <f aca="false">I297-3*Y297</f>
        <v>27.0819839747125</v>
      </c>
      <c r="AQ297" s="40" t="n">
        <f aca="true">MAX(OFFSET(C297,1-MIN(p_StochN,ROW()-4),0,MIN(p_StochN,ROW()-4),1))</f>
        <v>31.54</v>
      </c>
      <c r="AR297" s="40" t="n">
        <f aca="true">MIN(OFFSET(D297,1-MIN(p_StochN,ROW()-4),0,MIN(p_StochN,ROW()-4),1))</f>
        <v>29.42</v>
      </c>
      <c r="AS297" s="45" t="n">
        <f aca="false">IF(AQ297=AR297,50,100*(E297-AR297)/(AQ297-AR297))</f>
        <v>68.3962264150944</v>
      </c>
      <c r="AT297" s="45" t="n">
        <f aca="true">AVERAGE(OFFSET(AS297,1-MIN(p_StochSm,ROW()-4),0,MIN(p_StochSm,ROW()-4),1))</f>
        <v>83.4424375191389</v>
      </c>
      <c r="AU297" s="45" t="n">
        <f aca="true">AVERAGE(OFFSET(AT297,1-MIN(p_StochSm,ROW()-4),0,MIN(p_StochSm,ROW()-4),1))</f>
        <v>88.9894935067021</v>
      </c>
      <c r="AV297" s="41" t="n">
        <f aca="false">MAX(0,H297-D297)</f>
        <v>0</v>
      </c>
      <c r="AW297" s="41" t="n">
        <f aca="true">IF(COUNTIF(OFFSET(AV297,1-MIN(p_PenLb,ROW()-4),0,MIN(p_PenLb,ROW()-4),1),"&gt;0")&gt;0,SUM(OFFSET(AV297,1-MIN(p_PenLb,ROW()-4),0,MIN(p_PenLb,ROW()-4),1))/COUNTIF(OFFSET(AV297,1-MIN(p_PenLb,ROW()-4),0,MIN(p_PenLb,ROW()-4),1),"&gt;0"),0.5*Y297)</f>
        <v>1.03991335333623</v>
      </c>
      <c r="AX297" s="41" t="n">
        <f aca="false">2*H297-H296</f>
        <v>29.9731482893646</v>
      </c>
      <c r="AY297" s="40" t="n">
        <f aca="false">ROUND(MAX(AX297-AW297,0.01),2)</f>
        <v>28.93</v>
      </c>
      <c r="AZ297" s="40" t="n">
        <f aca="true">IF(MIN(p_StopLb,ROW()-4)&lt;2,D297,SMALL(OFFSET(D297,1-MIN(p_StopLb,ROW()-4),0,MIN(p_StopLb,ROW()-4),1),2))</f>
        <v>28.83</v>
      </c>
      <c r="BA297" s="40" t="n">
        <f aca="false">IF(MOD(ROUND(ROUNDDOWN(MIN(AZ297-0.01,AY297-p_StopAtr*Y297),2)*100,0),50)=0,ROUNDDOWN(MIN(AZ297-0.01,AY297-p_StopAtr*Y297),2)-0.01,ROUNDDOWN(MIN(AZ297-0.01,AY297-p_StopAtr*Y297),2))</f>
        <v>28.25</v>
      </c>
      <c r="BB297" s="40" t="n">
        <f aca="false">ROUND(AI297,2)</f>
        <v>30.87</v>
      </c>
      <c r="BC297" s="40" t="n">
        <f aca="false">IF(AY297-BA297&gt;0,(BB297-AY297)/(AY297-BA297),0)</f>
        <v>2.85294117647059</v>
      </c>
      <c r="BD297" s="42" t="n">
        <f aca="false">IF(N297&lt;0,1,0)</f>
        <v>0</v>
      </c>
      <c r="BE297" s="41" t="n">
        <f aca="false">IF(AND(BD297=1,BD296=0),N297,IF(BD297=1,MIN(BE296,N297),BE296))</f>
        <v>-0.356654552541767</v>
      </c>
      <c r="BF297" s="40" t="n">
        <f aca="false">IF(AND(BD297=1,BD296=0),D297,IF(BD297=1,MIN(BF296,D297),BF296))</f>
        <v>25.91</v>
      </c>
      <c r="BG297" s="42" t="n">
        <f aca="false">IF(AND(BD297=1,BD296=0),ROW(),IF(BD297=1,IF(N297&lt;BE296,ROW(),BG296),BG296))</f>
        <v>261</v>
      </c>
      <c r="BH297" s="41" t="n">
        <f aca="false">IF(AND(BD297=1,BD296=0),BE296,BH296)</f>
        <v>-0.153190541609803</v>
      </c>
      <c r="BI297" s="40" t="n">
        <f aca="false">IF(AND(BD297=1,BD296=0),BF296,BI296)</f>
        <v>27.9</v>
      </c>
      <c r="BJ297" s="42" t="n">
        <f aca="false">IF(AND(BD297=1,BD296=0),BG296,BJ296)</f>
        <v>226</v>
      </c>
      <c r="BK297" s="42" t="n">
        <f aca="false">IF(AND(ISNUMBER(BG297),ISNUMBER(BJ297)),BG297-BJ297,"")</f>
        <v>35</v>
      </c>
      <c r="BL297" s="42" t="n">
        <f aca="false">IF(AND(BD297=1,N297&gt;N296,ISNUMBER(BH297),ISNUMBER(BK297)),IF(AND(BE297&gt;BH297,BF297&lt;BI297,BK297&gt;=p_GapMin,BK297&lt;=p_GapMax),1,0),0)</f>
        <v>0</v>
      </c>
      <c r="BM297" s="42" t="n">
        <f aca="false">IF(AND(BL297=1,E297&gt;BI297),1,0)</f>
        <v>0</v>
      </c>
      <c r="BN297" s="42" t="n">
        <f aca="false">IF(BL297=1,IF(BE297&gt;=BH297*0.5,1,0),0)</f>
        <v>0</v>
      </c>
      <c r="BO297" s="42" t="n">
        <f aca="true">IF(V297&gt;MIN(OFFSET(V297,-MIN(p_FiLb-1,ROW()-5),0,MIN(p_FiLb-1,ROW()-5),1)),1,0)</f>
        <v>1</v>
      </c>
      <c r="BP297" s="44" t="n">
        <f aca="true">IF(COUNTIF(OFFSET(V297,1-MIN(100,ROW()-4),0,MIN(100,ROW()-4),1),"&lt;0")&gt;=5,AVERAGEIF(OFFSET(V297,1-MIN(100,ROW()-4),0,MIN(100,ROW()-4),1),"&lt;0"),"")</f>
        <v>-1107524.56999459</v>
      </c>
      <c r="BQ297" s="42" t="n">
        <f aca="false">IF(ISNUMBER(BP297),IF(AND(V297&lt;5*BP297,V297&gt;V296,E297&lt;AJ297),1,0),0)</f>
        <v>0</v>
      </c>
      <c r="BR297" s="44" t="n">
        <f aca="true">AVERAGE(OFFSET(F297,1-MIN(5,ROW()-4),0,MIN(5,ROW()-4),1))</f>
        <v>3847340</v>
      </c>
      <c r="BS297" s="42" t="n">
        <f aca="false">IFERROR(IF(MATCH(G297,周线!$A$5:$A$84,0)&lt;=1,"",INDEX(周线!$R$5:$R$84,MATCH(G297,周线!$A$5:$A$84,0)-1)),"")</f>
        <v>1</v>
      </c>
      <c r="BT297" s="42" t="n">
        <f aca="false">IFERROR(IF(MATCH(G297,周线!$A$5:$A$84,0)&lt;=1,"",INDEX(周线!$S$5:$S$84,MATCH(G297,周线!$A$5:$A$84,0)-1)),"")</f>
        <v>1</v>
      </c>
      <c r="BU297" s="42" t="n">
        <f aca="false">IFERROR(IF(MATCH(G297,周线!$A$5:$A$84,0)&lt;=1,"",INDEX(周线!$U$5:$U$84,MATCH(G297,周线!$A$5:$A$84,0)-1)),"")</f>
        <v>1</v>
      </c>
      <c r="BV297" s="42" t="n">
        <f aca="false">IF(AND(BS297=1,S297&lt;&gt;-1,V297&lt;0,BO297=1,E297&lt;=H297,E297&gt;=AJ297),1,0)</f>
        <v>0</v>
      </c>
      <c r="BW297" s="42" t="n">
        <f aca="false">BL297</f>
        <v>0</v>
      </c>
      <c r="BX297" s="42" t="n">
        <f aca="false">BQ297</f>
        <v>0</v>
      </c>
      <c r="BY297" s="42" t="n">
        <f aca="false">IF(BS297=1,10,0)+IF(BU297=1,5,IF(BU297=-1,0,3))+IF(BT297=1,5,0)+IF(AND(AE297&gt;AF297,AH297&gt;AH296),5,0)</f>
        <v>25</v>
      </c>
      <c r="BZ297" s="42" t="n">
        <f aca="false">IF(AND(E297&lt;=H297,E297&gt;=I297),10,IF(AND(E297&gt;=AJ297,E297&lt;I297),6,0))+IF(AND(V297&lt;0,BO297=1),8,0)+IF(AT297&lt;30,7,IF(AT297&lt;50,3,0))</f>
        <v>8</v>
      </c>
      <c r="CA297" s="42" t="n">
        <f aca="false">IF(AND(BV297=1,BW297=1),25,IF(BW297=1,22,IF(BV297=1,15,IF(BX297=1,12,0))))</f>
        <v>0</v>
      </c>
      <c r="CB297" s="42" t="n">
        <f aca="false">IF(W297&gt;0,6,0)+IF(F297&lt;BR297,4,0)</f>
        <v>10</v>
      </c>
      <c r="CC297" s="42" t="n">
        <f aca="false">IF(BC297&gt;=3,15,IF(BC297&gt;=p_RRmin,10,IF(BC297&gt;=1.5,4,0)))</f>
        <v>10</v>
      </c>
      <c r="CD297" s="42" t="n">
        <f aca="false">BY297+BZ297+CA297+CB297+CC297</f>
        <v>53</v>
      </c>
      <c r="CE297" s="42" t="n">
        <f aca="false">IF(AND(BS297&lt;&gt;1,BW297+BX297=0),1,0)</f>
        <v>0</v>
      </c>
      <c r="CF297" s="42" t="n">
        <f aca="false">IF(BU297=-1,1,0)</f>
        <v>0</v>
      </c>
      <c r="CG297" s="42" t="n">
        <f aca="false">IF(S297=-1,1,0)</f>
        <v>0</v>
      </c>
      <c r="CH297" s="42" t="n">
        <f aca="false">IF(BV297+BW297+BX297=0,1,0)</f>
        <v>1</v>
      </c>
      <c r="CI297" s="42" t="n">
        <f aca="false">IF(BC297&lt;p_RRmin,1,0)</f>
        <v>0</v>
      </c>
      <c r="CJ297" s="46" t="str">
        <f aca="false">IF(SUM(CE297:CI297)=0,IF(CD297&gt;=p_GradeA,"A",IF(CD297&gt;=p_GradeB,"B","C")),IF(AND(CI297=1,SUM(CE297:CH297)=0,CD297&gt;=p_GradeB),"B","C"))</f>
        <v>C</v>
      </c>
    </row>
    <row r="298" customFormat="false" ht="15" hidden="false" customHeight="false" outlineLevel="0" collapsed="false">
      <c r="A298" s="36" t="n">
        <v>46070</v>
      </c>
      <c r="B298" s="37" t="n">
        <v>31.01</v>
      </c>
      <c r="C298" s="37" t="n">
        <v>31.24</v>
      </c>
      <c r="D298" s="37" t="n">
        <v>30.49</v>
      </c>
      <c r="E298" s="37" t="n">
        <v>30.71</v>
      </c>
      <c r="F298" s="38" t="n">
        <v>3963400</v>
      </c>
      <c r="G298" s="39" t="n">
        <f aca="false">A298-WEEKDAY(A298,3)</f>
        <v>46069</v>
      </c>
      <c r="H298" s="40" t="n">
        <f aca="false">2/(p_EmaF+1)*E298+(1-2/(p_EmaF+1))*H297</f>
        <v>29.9246668119179</v>
      </c>
      <c r="I298" s="40" t="n">
        <f aca="false">2/(p_EmaS+1)*E298+(1-2/(p_EmaS+1))*I297</f>
        <v>29.2396147914004</v>
      </c>
      <c r="J298" s="41" t="n">
        <f aca="false">2/(p_MacdF+1)*E298+(1-2/(p_MacdF+1))*J297</f>
        <v>30.0177608711576</v>
      </c>
      <c r="K298" s="41" t="n">
        <f aca="false">2/(p_MacdS+1)*E298+(1-2/(p_MacdS+1))*K297</f>
        <v>29.2396147914004</v>
      </c>
      <c r="L298" s="41" t="n">
        <f aca="false">J298-K298</f>
        <v>0.778146079757129</v>
      </c>
      <c r="M298" s="41" t="n">
        <f aca="false">2/(p_MacdSig+1)*L298+(1-2/(p_MacdSig+1))*M297</f>
        <v>0.457084857995298</v>
      </c>
      <c r="N298" s="41" t="n">
        <f aca="false">L298-M298</f>
        <v>0.32106122176183</v>
      </c>
      <c r="O298" s="42" t="n">
        <f aca="false">IF(H298&gt;H297,1,0)</f>
        <v>1</v>
      </c>
      <c r="P298" s="42" t="n">
        <f aca="false">IF(H298&lt;H297,1,0)</f>
        <v>0</v>
      </c>
      <c r="Q298" s="42" t="n">
        <f aca="false">IF(N298&gt;N297,1,0)</f>
        <v>0</v>
      </c>
      <c r="R298" s="42" t="n">
        <f aca="false">IF(N298&lt;N297,1,0)</f>
        <v>1</v>
      </c>
      <c r="S298" s="42" t="n">
        <f aca="false">IF(AND(O298=1,Q298=1),1,IF(AND(P298=1,R298=1),-1,0))</f>
        <v>0</v>
      </c>
      <c r="T298" s="43" t="str">
        <f aca="false">IF(S298=1,"绿",IF(S298=-1,"红","蓝"))</f>
        <v>蓝</v>
      </c>
      <c r="U298" s="44" t="n">
        <f aca="false">F298*(E298-E297)</f>
        <v>-634144.000000001</v>
      </c>
      <c r="V298" s="44" t="n">
        <f aca="false">2/(p_FiS+1)*U298+(1-2/(p_FiS+1))*V297</f>
        <v>-648978.902074844</v>
      </c>
      <c r="W298" s="44" t="n">
        <f aca="false">2/(p_FiL+1)*U298+(1-2/(p_FiL+1))*W297</f>
        <v>745842.982409124</v>
      </c>
      <c r="X298" s="41" t="n">
        <f aca="false">MAX(C298-D298,ABS(C298-E297),ABS(D298-E297))</f>
        <v>0.75</v>
      </c>
      <c r="Y298" s="41" t="n">
        <f aca="true">AVERAGE(OFFSET(X298,1-MIN(p_AtrN,ROW()-4),0,MIN(p_AtrN,ROW()-4),1))</f>
        <v>0.701538461538461</v>
      </c>
      <c r="Z298" s="41" t="n">
        <f aca="false">IF(AND(C298-C297&gt;D297-D298,C298-C297&gt;0),C298-C297,0)</f>
        <v>0</v>
      </c>
      <c r="AA298" s="41" t="n">
        <f aca="false">IF(AND(D297-D298&gt;C298-C297,D297-D298&gt;0),D297-D298,0)</f>
        <v>0.200000000000003</v>
      </c>
      <c r="AB298" s="41" t="n">
        <f aca="false">2/(p_AdxN+1)*X298+(1-2/(p_AdxN+1))*AB297</f>
        <v>0.734850159031596</v>
      </c>
      <c r="AC298" s="41" t="n">
        <f aca="false">2/(p_AdxN+1)*Z298+(1-2/(p_AdxN+1))*AC297</f>
        <v>0.224339520551184</v>
      </c>
      <c r="AD298" s="41" t="n">
        <f aca="false">2/(p_AdxN+1)*AA298+(1-2/(p_AdxN+1))*AD297</f>
        <v>0.0702302120352102</v>
      </c>
      <c r="AE298" s="45" t="n">
        <f aca="false">100*AC298/AB298</f>
        <v>30.5286074710556</v>
      </c>
      <c r="AF298" s="45" t="n">
        <f aca="false">100*AD298/AB298</f>
        <v>9.55707924561946</v>
      </c>
      <c r="AG298" s="45" t="n">
        <f aca="false">IFERROR(100*ABS(AE298-AF298)/(AE298+AF298),0)</f>
        <v>52.3167493017209</v>
      </c>
      <c r="AH298" s="45" t="n">
        <f aca="false">2/(p_AdxN+1)*AG298+(1-2/(p_AdxN+1))*AH297</f>
        <v>61.2106638059812</v>
      </c>
      <c r="AI298" s="40" t="n">
        <f aca="false">I298*(1+p_ChPct)</f>
        <v>30.9939916788845</v>
      </c>
      <c r="AJ298" s="40" t="n">
        <f aca="false">I298*(1-p_ChPct)</f>
        <v>27.4852379039164</v>
      </c>
      <c r="AK298" s="40" t="n">
        <f aca="false">I298+1*Y298</f>
        <v>29.9411532529389</v>
      </c>
      <c r="AL298" s="40" t="n">
        <f aca="false">I298+2*Y298</f>
        <v>30.6426917144773</v>
      </c>
      <c r="AM298" s="40" t="n">
        <f aca="false">I298+3*Y298</f>
        <v>31.3442301760158</v>
      </c>
      <c r="AN298" s="40" t="n">
        <f aca="false">I298-1*Y298</f>
        <v>28.538076329862</v>
      </c>
      <c r="AO298" s="40" t="n">
        <f aca="false">I298-2*Y298</f>
        <v>27.8365378683235</v>
      </c>
      <c r="AP298" s="40" t="n">
        <f aca="false">I298-3*Y298</f>
        <v>27.134999406785</v>
      </c>
      <c r="AQ298" s="40" t="n">
        <f aca="true">MAX(OFFSET(C298,1-MIN(p_StochN,ROW()-4),0,MIN(p_StochN,ROW()-4),1))</f>
        <v>31.54</v>
      </c>
      <c r="AR298" s="40" t="n">
        <f aca="true">MIN(OFFSET(D298,1-MIN(p_StochN,ROW()-4),0,MIN(p_StochN,ROW()-4),1))</f>
        <v>29.42</v>
      </c>
      <c r="AS298" s="45" t="n">
        <f aca="false">IF(AQ298=AR298,50,100*(E298-AR298)/(AQ298-AR298))</f>
        <v>60.8490566037736</v>
      </c>
      <c r="AT298" s="45" t="n">
        <f aca="true">AVERAGE(OFFSET(AS298,1-MIN(p_StochSm,ROW()-4),0,MIN(p_StochSm,ROW()-4),1))</f>
        <v>72.0150943396227</v>
      </c>
      <c r="AU298" s="45" t="n">
        <f aca="true">AVERAGE(OFFSET(AT298,1-MIN(p_StochSm,ROW()-4),0,MIN(p_StochSm,ROW()-4),1))</f>
        <v>82.4192299415232</v>
      </c>
      <c r="AV298" s="41" t="n">
        <f aca="false">MAX(0,H298-D298)</f>
        <v>0</v>
      </c>
      <c r="AW298" s="41" t="n">
        <f aca="true">IF(COUNTIF(OFFSET(AV298,1-MIN(p_PenLb,ROW()-4),0,MIN(p_PenLb,ROW()-4),1),"&gt;0")&gt;0,SUM(OFFSET(AV298,1-MIN(p_PenLb,ROW()-4),0,MIN(p_PenLb,ROW()-4),1))/COUNTIF(OFFSET(AV298,1-MIN(p_PenLb,ROW()-4),0,MIN(p_PenLb,ROW()-4),1),"&gt;0"),0.5*Y298)</f>
        <v>1.03852696078365</v>
      </c>
      <c r="AX298" s="41" t="n">
        <f aca="false">2*H298-H297</f>
        <v>30.0555556765982</v>
      </c>
      <c r="AY298" s="40" t="n">
        <f aca="false">ROUND(MAX(AX298-AW298,0.01),2)</f>
        <v>29.02</v>
      </c>
      <c r="AZ298" s="40" t="n">
        <f aca="true">IF(MIN(p_StopLb,ROW()-4)&lt;2,D298,SMALL(OFFSET(D298,1-MIN(p_StopLb,ROW()-4),0,MIN(p_StopLb,ROW()-4),1),2))</f>
        <v>28.84</v>
      </c>
      <c r="BA298" s="40" t="n">
        <f aca="false">IF(MOD(ROUND(ROUNDDOWN(MIN(AZ298-0.01,AY298-p_StopAtr*Y298),2)*100,0),50)=0,ROUNDDOWN(MIN(AZ298-0.01,AY298-p_StopAtr*Y298),2)-0.01,ROUNDDOWN(MIN(AZ298-0.01,AY298-p_StopAtr*Y298),2))</f>
        <v>28.31</v>
      </c>
      <c r="BB298" s="40" t="n">
        <f aca="false">ROUND(AI298,2)</f>
        <v>30.99</v>
      </c>
      <c r="BC298" s="40" t="n">
        <f aca="false">IF(AY298-BA298&gt;0,(BB298-AY298)/(AY298-BA298),0)</f>
        <v>2.77464788732394</v>
      </c>
      <c r="BD298" s="42" t="n">
        <f aca="false">IF(N298&lt;0,1,0)</f>
        <v>0</v>
      </c>
      <c r="BE298" s="41" t="n">
        <f aca="false">IF(AND(BD298=1,BD297=0),N298,IF(BD298=1,MIN(BE297,N298),BE297))</f>
        <v>-0.356654552541767</v>
      </c>
      <c r="BF298" s="40" t="n">
        <f aca="false">IF(AND(BD298=1,BD297=0),D298,IF(BD298=1,MIN(BF297,D298),BF297))</f>
        <v>25.91</v>
      </c>
      <c r="BG298" s="42" t="n">
        <f aca="false">IF(AND(BD298=1,BD297=0),ROW(),IF(BD298=1,IF(N298&lt;BE297,ROW(),BG297),BG297))</f>
        <v>261</v>
      </c>
      <c r="BH298" s="41" t="n">
        <f aca="false">IF(AND(BD298=1,BD297=0),BE297,BH297)</f>
        <v>-0.153190541609803</v>
      </c>
      <c r="BI298" s="40" t="n">
        <f aca="false">IF(AND(BD298=1,BD297=0),BF297,BI297)</f>
        <v>27.9</v>
      </c>
      <c r="BJ298" s="42" t="n">
        <f aca="false">IF(AND(BD298=1,BD297=0),BG297,BJ297)</f>
        <v>226</v>
      </c>
      <c r="BK298" s="42" t="n">
        <f aca="false">IF(AND(ISNUMBER(BG298),ISNUMBER(BJ298)),BG298-BJ298,"")</f>
        <v>35</v>
      </c>
      <c r="BL298" s="42" t="n">
        <f aca="false">IF(AND(BD298=1,N298&gt;N297,ISNUMBER(BH298),ISNUMBER(BK298)),IF(AND(BE298&gt;BH298,BF298&lt;BI298,BK298&gt;=p_GapMin,BK298&lt;=p_GapMax),1,0),0)</f>
        <v>0</v>
      </c>
      <c r="BM298" s="42" t="n">
        <f aca="false">IF(AND(BL298=1,E298&gt;BI298),1,0)</f>
        <v>0</v>
      </c>
      <c r="BN298" s="42" t="n">
        <f aca="false">IF(BL298=1,IF(BE298&gt;=BH298*0.5,1,0),0)</f>
        <v>0</v>
      </c>
      <c r="BO298" s="42" t="n">
        <f aca="true">IF(V298&gt;MIN(OFFSET(V298,-MIN(p_FiLb-1,ROW()-5),0,MIN(p_FiLb-1,ROW()-5),1)),1,0)</f>
        <v>1</v>
      </c>
      <c r="BP298" s="44" t="n">
        <f aca="true">IF(COUNTIF(OFFSET(V298,1-MIN(100,ROW()-4),0,MIN(100,ROW()-4),1),"&lt;0")&gt;=5,AVERAGEIF(OFFSET(V298,1-MIN(100,ROW()-4),0,MIN(100,ROW()-4),1),"&lt;0"),"")</f>
        <v>-1097103.07754186</v>
      </c>
      <c r="BQ298" s="42" t="n">
        <f aca="false">IF(ISNUMBER(BP298),IF(AND(V298&lt;5*BP298,V298&gt;V297,E298&lt;AJ298),1,0),0)</f>
        <v>0</v>
      </c>
      <c r="BR298" s="44" t="n">
        <f aca="true">AVERAGE(OFFSET(F298,1-MIN(5,ROW()-4),0,MIN(5,ROW()-4),1))</f>
        <v>4024460</v>
      </c>
      <c r="BS298" s="42" t="n">
        <f aca="false">IFERROR(IF(MATCH(G298,周线!$A$5:$A$84,0)&lt;=1,"",INDEX(周线!$R$5:$R$84,MATCH(G298,周线!$A$5:$A$84,0)-1)),"")</f>
        <v>1</v>
      </c>
      <c r="BT298" s="42" t="n">
        <f aca="false">IFERROR(IF(MATCH(G298,周线!$A$5:$A$84,0)&lt;=1,"",INDEX(周线!$S$5:$S$84,MATCH(G298,周线!$A$5:$A$84,0)-1)),"")</f>
        <v>1</v>
      </c>
      <c r="BU298" s="42" t="n">
        <f aca="false">IFERROR(IF(MATCH(G298,周线!$A$5:$A$84,0)&lt;=1,"",INDEX(周线!$U$5:$U$84,MATCH(G298,周线!$A$5:$A$84,0)-1)),"")</f>
        <v>1</v>
      </c>
      <c r="BV298" s="42" t="n">
        <f aca="false">IF(AND(BS298=1,S298&lt;&gt;-1,V298&lt;0,BO298=1,E298&lt;=H298,E298&gt;=AJ298),1,0)</f>
        <v>0</v>
      </c>
      <c r="BW298" s="42" t="n">
        <f aca="false">BL298</f>
        <v>0</v>
      </c>
      <c r="BX298" s="42" t="n">
        <f aca="false">BQ298</f>
        <v>0</v>
      </c>
      <c r="BY298" s="42" t="n">
        <f aca="false">IF(BS298=1,10,0)+IF(BU298=1,5,IF(BU298=-1,0,3))+IF(BT298=1,5,0)+IF(AND(AE298&gt;AF298,AH298&gt;AH297),5,0)</f>
        <v>20</v>
      </c>
      <c r="BZ298" s="42" t="n">
        <f aca="false">IF(AND(E298&lt;=H298,E298&gt;=I298),10,IF(AND(E298&gt;=AJ298,E298&lt;I298),6,0))+IF(AND(V298&lt;0,BO298=1),8,0)+IF(AT298&lt;30,7,IF(AT298&lt;50,3,0))</f>
        <v>8</v>
      </c>
      <c r="CA298" s="42" t="n">
        <f aca="false">IF(AND(BV298=1,BW298=1),25,IF(BW298=1,22,IF(BV298=1,15,IF(BX298=1,12,0))))</f>
        <v>0</v>
      </c>
      <c r="CB298" s="42" t="n">
        <f aca="false">IF(W298&gt;0,6,0)+IF(F298&lt;BR298,4,0)</f>
        <v>10</v>
      </c>
      <c r="CC298" s="42" t="n">
        <f aca="false">IF(BC298&gt;=3,15,IF(BC298&gt;=p_RRmin,10,IF(BC298&gt;=1.5,4,0)))</f>
        <v>10</v>
      </c>
      <c r="CD298" s="42" t="n">
        <f aca="false">BY298+BZ298+CA298+CB298+CC298</f>
        <v>48</v>
      </c>
      <c r="CE298" s="42" t="n">
        <f aca="false">IF(AND(BS298&lt;&gt;1,BW298+BX298=0),1,0)</f>
        <v>0</v>
      </c>
      <c r="CF298" s="42" t="n">
        <f aca="false">IF(BU298=-1,1,0)</f>
        <v>0</v>
      </c>
      <c r="CG298" s="42" t="n">
        <f aca="false">IF(S298=-1,1,0)</f>
        <v>0</v>
      </c>
      <c r="CH298" s="42" t="n">
        <f aca="false">IF(BV298+BW298+BX298=0,1,0)</f>
        <v>1</v>
      </c>
      <c r="CI298" s="42" t="n">
        <f aca="false">IF(BC298&lt;p_RRmin,1,0)</f>
        <v>0</v>
      </c>
      <c r="CJ298" s="46" t="str">
        <f aca="false">IF(SUM(CE298:CI298)=0,IF(CD298&gt;=p_GradeA,"A",IF(CD298&gt;=p_GradeB,"B","C")),IF(AND(CI298=1,SUM(CE298:CH298)=0,CD298&gt;=p_GradeB),"B","C"))</f>
        <v>C</v>
      </c>
    </row>
    <row r="299" customFormat="false" ht="15" hidden="false" customHeight="false" outlineLevel="0" collapsed="false">
      <c r="A299" s="36" t="n">
        <v>46071</v>
      </c>
      <c r="B299" s="37" t="n">
        <v>30.74</v>
      </c>
      <c r="C299" s="37" t="n">
        <v>30.89</v>
      </c>
      <c r="D299" s="37" t="n">
        <v>30.25</v>
      </c>
      <c r="E299" s="37" t="n">
        <v>30.46</v>
      </c>
      <c r="F299" s="38" t="n">
        <v>2931000</v>
      </c>
      <c r="G299" s="39" t="n">
        <f aca="false">A299-WEEKDAY(A299,3)</f>
        <v>46069</v>
      </c>
      <c r="H299" s="40" t="n">
        <f aca="false">2/(p_EmaF+1)*E299+(1-2/(p_EmaF+1))*H298</f>
        <v>30.0011429816439</v>
      </c>
      <c r="I299" s="40" t="n">
        <f aca="false">2/(p_EmaS+1)*E299+(1-2/(p_EmaS+1))*I298</f>
        <v>29.3300136957411</v>
      </c>
      <c r="J299" s="41" t="n">
        <f aca="false">2/(p_MacdF+1)*E299+(1-2/(p_MacdF+1))*J298</f>
        <v>30.0857976602102</v>
      </c>
      <c r="K299" s="41" t="n">
        <f aca="false">2/(p_MacdS+1)*E299+(1-2/(p_MacdS+1))*K298</f>
        <v>29.3300136957411</v>
      </c>
      <c r="L299" s="41" t="n">
        <f aca="false">J299-K299</f>
        <v>0.755783964469103</v>
      </c>
      <c r="M299" s="41" t="n">
        <f aca="false">2/(p_MacdSig+1)*L299+(1-2/(p_MacdSig+1))*M298</f>
        <v>0.516824679290059</v>
      </c>
      <c r="N299" s="41" t="n">
        <f aca="false">L299-M299</f>
        <v>0.238959285179044</v>
      </c>
      <c r="O299" s="42" t="n">
        <f aca="false">IF(H299&gt;H298,1,0)</f>
        <v>1</v>
      </c>
      <c r="P299" s="42" t="n">
        <f aca="false">IF(H299&lt;H298,1,0)</f>
        <v>0</v>
      </c>
      <c r="Q299" s="42" t="n">
        <f aca="false">IF(N299&gt;N298,1,0)</f>
        <v>0</v>
      </c>
      <c r="R299" s="42" t="n">
        <f aca="false">IF(N299&lt;N298,1,0)</f>
        <v>1</v>
      </c>
      <c r="S299" s="42" t="n">
        <f aca="false">IF(AND(O299=1,Q299=1),1,IF(AND(P299=1,R299=1),-1,0))</f>
        <v>0</v>
      </c>
      <c r="T299" s="43" t="str">
        <f aca="false">IF(S299=1,"绿",IF(S299=-1,"红","蓝"))</f>
        <v>蓝</v>
      </c>
      <c r="U299" s="44" t="n">
        <f aca="false">F299*(E299-E298)</f>
        <v>-732750</v>
      </c>
      <c r="V299" s="44" t="n">
        <f aca="false">2/(p_FiS+1)*U299+(1-2/(p_FiS+1))*V298</f>
        <v>-704826.300691615</v>
      </c>
      <c r="W299" s="44" t="n">
        <f aca="false">2/(p_FiL+1)*U299+(1-2/(p_FiL+1))*W298</f>
        <v>534615.413493535</v>
      </c>
      <c r="X299" s="41" t="n">
        <f aca="false">MAX(C299-D299,ABS(C299-E298),ABS(D299-E298))</f>
        <v>0.640000000000001</v>
      </c>
      <c r="Y299" s="41" t="n">
        <f aca="true">AVERAGE(OFFSET(X299,1-MIN(p_AtrN,ROW()-4),0,MIN(p_AtrN,ROW()-4),1))</f>
        <v>0.723076923076923</v>
      </c>
      <c r="Z299" s="41" t="n">
        <f aca="false">IF(AND(C299-C298&gt;D298-D299,C299-C298&gt;0),C299-C298,0)</f>
        <v>0</v>
      </c>
      <c r="AA299" s="41" t="n">
        <f aca="false">IF(AND(D298-D299&gt;C299-C298,D298-D299&gt;0),D298-D299,0)</f>
        <v>0.239999999999998</v>
      </c>
      <c r="AB299" s="41" t="n">
        <f aca="false">2/(p_AdxN+1)*X299+(1-2/(p_AdxN+1))*AB298</f>
        <v>0.721300136312796</v>
      </c>
      <c r="AC299" s="41" t="n">
        <f aca="false">2/(p_AdxN+1)*Z299+(1-2/(p_AdxN+1))*AC298</f>
        <v>0.1922910176153</v>
      </c>
      <c r="AD299" s="41" t="n">
        <f aca="false">2/(p_AdxN+1)*AA299+(1-2/(p_AdxN+1))*AD298</f>
        <v>0.0944830388873229</v>
      </c>
      <c r="AE299" s="45" t="n">
        <f aca="false">100*AC299/AB299</f>
        <v>26.6589465237411</v>
      </c>
      <c r="AF299" s="45" t="n">
        <f aca="false">100*AD299/AB299</f>
        <v>13.0989908542523</v>
      </c>
      <c r="AG299" s="45" t="n">
        <f aca="false">IFERROR(100*ABS(AE299-AF299)/(AE299+AF299),0)</f>
        <v>34.1062855966829</v>
      </c>
      <c r="AH299" s="45" t="n">
        <f aca="false">2/(p_AdxN+1)*AG299+(1-2/(p_AdxN+1))*AH298</f>
        <v>57.3386097760815</v>
      </c>
      <c r="AI299" s="40" t="n">
        <f aca="false">I299*(1+p_ChPct)</f>
        <v>31.0898145174856</v>
      </c>
      <c r="AJ299" s="40" t="n">
        <f aca="false">I299*(1-p_ChPct)</f>
        <v>27.5702128739967</v>
      </c>
      <c r="AK299" s="40" t="n">
        <f aca="false">I299+1*Y299</f>
        <v>30.0530906188181</v>
      </c>
      <c r="AL299" s="40" t="n">
        <f aca="false">I299+2*Y299</f>
        <v>30.776167541895</v>
      </c>
      <c r="AM299" s="40" t="n">
        <f aca="false">I299+3*Y299</f>
        <v>31.4992444649719</v>
      </c>
      <c r="AN299" s="40" t="n">
        <f aca="false">I299-1*Y299</f>
        <v>28.6069367726642</v>
      </c>
      <c r="AO299" s="40" t="n">
        <f aca="false">I299-2*Y299</f>
        <v>27.8838598495873</v>
      </c>
      <c r="AP299" s="40" t="n">
        <f aca="false">I299-3*Y299</f>
        <v>27.1607829265104</v>
      </c>
      <c r="AQ299" s="40" t="n">
        <f aca="true">MAX(OFFSET(C299,1-MIN(p_StochN,ROW()-4),0,MIN(p_StochN,ROW()-4),1))</f>
        <v>31.54</v>
      </c>
      <c r="AR299" s="40" t="n">
        <f aca="true">MIN(OFFSET(D299,1-MIN(p_StochN,ROW()-4),0,MIN(p_StochN,ROW()-4),1))</f>
        <v>30.25</v>
      </c>
      <c r="AS299" s="45" t="n">
        <f aca="false">IF(AQ299=AR299,50,100*(E299-AR299)/(AQ299-AR299))</f>
        <v>16.2790697674419</v>
      </c>
      <c r="AT299" s="45" t="n">
        <f aca="true">AVERAGE(OFFSET(AS299,1-MIN(p_StochSm,ROW()-4),0,MIN(p_StochSm,ROW()-4),1))</f>
        <v>48.5081175954367</v>
      </c>
      <c r="AU299" s="45" t="n">
        <f aca="true">AVERAGE(OFFSET(AT299,1-MIN(p_StochSm,ROW()-4),0,MIN(p_StochSm,ROW()-4),1))</f>
        <v>67.9885498180661</v>
      </c>
      <c r="AV299" s="41" t="n">
        <f aca="false">MAX(0,H299-D299)</f>
        <v>0</v>
      </c>
      <c r="AW299" s="41" t="n">
        <f aca="true">IF(COUNTIF(OFFSET(AV299,1-MIN(p_PenLb,ROW()-4),0,MIN(p_PenLb,ROW()-4),1),"&gt;0")&gt;0,SUM(OFFSET(AV299,1-MIN(p_PenLb,ROW()-4),0,MIN(p_PenLb,ROW()-4),1))/COUNTIF(OFFSET(AV299,1-MIN(p_PenLb,ROW()-4),0,MIN(p_PenLb,ROW()-4),1),"&gt;0"),0.5*Y299)</f>
        <v>1.04297567431146</v>
      </c>
      <c r="AX299" s="41" t="n">
        <f aca="false">2*H299-H298</f>
        <v>30.0776191513699</v>
      </c>
      <c r="AY299" s="40" t="n">
        <f aca="false">ROUND(MAX(AX299-AW299,0.01),2)</f>
        <v>29.03</v>
      </c>
      <c r="AZ299" s="40" t="n">
        <f aca="true">IF(MIN(p_StopLb,ROW()-4)&lt;2,D299,SMALL(OFFSET(D299,1-MIN(p_StopLb,ROW()-4),0,MIN(p_StopLb,ROW()-4),1),2))</f>
        <v>28.87</v>
      </c>
      <c r="BA299" s="40" t="n">
        <f aca="false">IF(MOD(ROUND(ROUNDDOWN(MIN(AZ299-0.01,AY299-p_StopAtr*Y299),2)*100,0),50)=0,ROUNDDOWN(MIN(AZ299-0.01,AY299-p_StopAtr*Y299),2)-0.01,ROUNDDOWN(MIN(AZ299-0.01,AY299-p_StopAtr*Y299),2))</f>
        <v>28.3</v>
      </c>
      <c r="BB299" s="40" t="n">
        <f aca="false">ROUND(AI299,2)</f>
        <v>31.09</v>
      </c>
      <c r="BC299" s="40" t="n">
        <f aca="false">IF(AY299-BA299&gt;0,(BB299-AY299)/(AY299-BA299),0)</f>
        <v>2.82191780821917</v>
      </c>
      <c r="BD299" s="42" t="n">
        <f aca="false">IF(N299&lt;0,1,0)</f>
        <v>0</v>
      </c>
      <c r="BE299" s="41" t="n">
        <f aca="false">IF(AND(BD299=1,BD298=0),N299,IF(BD299=1,MIN(BE298,N299),BE298))</f>
        <v>-0.356654552541767</v>
      </c>
      <c r="BF299" s="40" t="n">
        <f aca="false">IF(AND(BD299=1,BD298=0),D299,IF(BD299=1,MIN(BF298,D299),BF298))</f>
        <v>25.91</v>
      </c>
      <c r="BG299" s="42" t="n">
        <f aca="false">IF(AND(BD299=1,BD298=0),ROW(),IF(BD299=1,IF(N299&lt;BE298,ROW(),BG298),BG298))</f>
        <v>261</v>
      </c>
      <c r="BH299" s="41" t="n">
        <f aca="false">IF(AND(BD299=1,BD298=0),BE298,BH298)</f>
        <v>-0.153190541609803</v>
      </c>
      <c r="BI299" s="40" t="n">
        <f aca="false">IF(AND(BD299=1,BD298=0),BF298,BI298)</f>
        <v>27.9</v>
      </c>
      <c r="BJ299" s="42" t="n">
        <f aca="false">IF(AND(BD299=1,BD298=0),BG298,BJ298)</f>
        <v>226</v>
      </c>
      <c r="BK299" s="42" t="n">
        <f aca="false">IF(AND(ISNUMBER(BG299),ISNUMBER(BJ299)),BG299-BJ299,"")</f>
        <v>35</v>
      </c>
      <c r="BL299" s="42" t="n">
        <f aca="false">IF(AND(BD299=1,N299&gt;N298,ISNUMBER(BH299),ISNUMBER(BK299)),IF(AND(BE299&gt;BH299,BF299&lt;BI299,BK299&gt;=p_GapMin,BK299&lt;=p_GapMax),1,0),0)</f>
        <v>0</v>
      </c>
      <c r="BM299" s="42" t="n">
        <f aca="false">IF(AND(BL299=1,E299&gt;BI299),1,0)</f>
        <v>0</v>
      </c>
      <c r="BN299" s="42" t="n">
        <f aca="false">IF(BL299=1,IF(BE299&gt;=BH299*0.5,1,0),0)</f>
        <v>0</v>
      </c>
      <c r="BO299" s="42" t="n">
        <f aca="true">IF(V299&gt;MIN(OFFSET(V299,-MIN(p_FiLb-1,ROW()-5),0,MIN(p_FiLb-1,ROW()-5),1)),1,0)</f>
        <v>1</v>
      </c>
      <c r="BP299" s="44" t="n">
        <f aca="true">IF(COUNTIF(OFFSET(V299,1-MIN(100,ROW()-4),0,MIN(100,ROW()-4),1),"&lt;0")&gt;=5,AVERAGEIF(OFFSET(V299,1-MIN(100,ROW()-4),0,MIN(100,ROW()-4),1),"&lt;0"),"")</f>
        <v>-1076084.01539074</v>
      </c>
      <c r="BQ299" s="42" t="n">
        <f aca="false">IF(ISNUMBER(BP299),IF(AND(V299&lt;5*BP299,V299&gt;V298,E299&lt;AJ299),1,0),0)</f>
        <v>0</v>
      </c>
      <c r="BR299" s="44" t="n">
        <f aca="true">AVERAGE(OFFSET(F299,1-MIN(5,ROW()-4),0,MIN(5,ROW()-4),1))</f>
        <v>3309240</v>
      </c>
      <c r="BS299" s="42" t="n">
        <f aca="false">IFERROR(IF(MATCH(G299,周线!$A$5:$A$84,0)&lt;=1,"",INDEX(周线!$R$5:$R$84,MATCH(G299,周线!$A$5:$A$84,0)-1)),"")</f>
        <v>1</v>
      </c>
      <c r="BT299" s="42" t="n">
        <f aca="false">IFERROR(IF(MATCH(G299,周线!$A$5:$A$84,0)&lt;=1,"",INDEX(周线!$S$5:$S$84,MATCH(G299,周线!$A$5:$A$84,0)-1)),"")</f>
        <v>1</v>
      </c>
      <c r="BU299" s="42" t="n">
        <f aca="false">IFERROR(IF(MATCH(G299,周线!$A$5:$A$84,0)&lt;=1,"",INDEX(周线!$U$5:$U$84,MATCH(G299,周线!$A$5:$A$84,0)-1)),"")</f>
        <v>1</v>
      </c>
      <c r="BV299" s="42" t="n">
        <f aca="false">IF(AND(BS299=1,S299&lt;&gt;-1,V299&lt;0,BO299=1,E299&lt;=H299,E299&gt;=AJ299),1,0)</f>
        <v>0</v>
      </c>
      <c r="BW299" s="42" t="n">
        <f aca="false">BL299</f>
        <v>0</v>
      </c>
      <c r="BX299" s="42" t="n">
        <f aca="false">BQ299</f>
        <v>0</v>
      </c>
      <c r="BY299" s="42" t="n">
        <f aca="false">IF(BS299=1,10,0)+IF(BU299=1,5,IF(BU299=-1,0,3))+IF(BT299=1,5,0)+IF(AND(AE299&gt;AF299,AH299&gt;AH298),5,0)</f>
        <v>20</v>
      </c>
      <c r="BZ299" s="42" t="n">
        <f aca="false">IF(AND(E299&lt;=H299,E299&gt;=I299),10,IF(AND(E299&gt;=AJ299,E299&lt;I299),6,0))+IF(AND(V299&lt;0,BO299=1),8,0)+IF(AT299&lt;30,7,IF(AT299&lt;50,3,0))</f>
        <v>11</v>
      </c>
      <c r="CA299" s="42" t="n">
        <f aca="false">IF(AND(BV299=1,BW299=1),25,IF(BW299=1,22,IF(BV299=1,15,IF(BX299=1,12,0))))</f>
        <v>0</v>
      </c>
      <c r="CB299" s="42" t="n">
        <f aca="false">IF(W299&gt;0,6,0)+IF(F299&lt;BR299,4,0)</f>
        <v>10</v>
      </c>
      <c r="CC299" s="42" t="n">
        <f aca="false">IF(BC299&gt;=3,15,IF(BC299&gt;=p_RRmin,10,IF(BC299&gt;=1.5,4,0)))</f>
        <v>10</v>
      </c>
      <c r="CD299" s="42" t="n">
        <f aca="false">BY299+BZ299+CA299+CB299+CC299</f>
        <v>51</v>
      </c>
      <c r="CE299" s="42" t="n">
        <f aca="false">IF(AND(BS299&lt;&gt;1,BW299+BX299=0),1,0)</f>
        <v>0</v>
      </c>
      <c r="CF299" s="42" t="n">
        <f aca="false">IF(BU299=-1,1,0)</f>
        <v>0</v>
      </c>
      <c r="CG299" s="42" t="n">
        <f aca="false">IF(S299=-1,1,0)</f>
        <v>0</v>
      </c>
      <c r="CH299" s="42" t="n">
        <f aca="false">IF(BV299+BW299+BX299=0,1,0)</f>
        <v>1</v>
      </c>
      <c r="CI299" s="42" t="n">
        <f aca="false">IF(BC299&lt;p_RRmin,1,0)</f>
        <v>0</v>
      </c>
      <c r="CJ299" s="46" t="str">
        <f aca="false">IF(SUM(CE299:CI299)=0,IF(CD299&gt;=p_GradeA,"A",IF(CD299&gt;=p_GradeB,"B","C")),IF(AND(CI299=1,SUM(CE299:CH299)=0,CD299&gt;=p_GradeB),"B","C"))</f>
        <v>C</v>
      </c>
    </row>
    <row r="300" customFormat="false" ht="15" hidden="false" customHeight="false" outlineLevel="0" collapsed="false">
      <c r="A300" s="36" t="n">
        <v>46072</v>
      </c>
      <c r="B300" s="37" t="n">
        <v>30.53</v>
      </c>
      <c r="C300" s="37" t="n">
        <v>30.6</v>
      </c>
      <c r="D300" s="37" t="n">
        <v>30.45</v>
      </c>
      <c r="E300" s="37" t="n">
        <v>30.48</v>
      </c>
      <c r="F300" s="38" t="n">
        <v>3138900</v>
      </c>
      <c r="G300" s="39" t="n">
        <f aca="false">A300-WEEKDAY(A300,3)</f>
        <v>46069</v>
      </c>
      <c r="H300" s="40" t="n">
        <f aca="false">2/(p_EmaF+1)*E300+(1-2/(p_EmaF+1))*H299</f>
        <v>30.0695511271233</v>
      </c>
      <c r="I300" s="40" t="n">
        <f aca="false">2/(p_EmaS+1)*E300+(1-2/(p_EmaS+1))*I299</f>
        <v>29.415197866427</v>
      </c>
      <c r="J300" s="41" t="n">
        <f aca="false">2/(p_MacdF+1)*E300+(1-2/(p_MacdF+1))*J299</f>
        <v>30.146444174024</v>
      </c>
      <c r="K300" s="41" t="n">
        <f aca="false">2/(p_MacdS+1)*E300+(1-2/(p_MacdS+1))*K299</f>
        <v>29.415197866427</v>
      </c>
      <c r="L300" s="41" t="n">
        <f aca="false">J300-K300</f>
        <v>0.731246307597068</v>
      </c>
      <c r="M300" s="41" t="n">
        <f aca="false">2/(p_MacdSig+1)*L300+(1-2/(p_MacdSig+1))*M299</f>
        <v>0.559709004951461</v>
      </c>
      <c r="N300" s="41" t="n">
        <f aca="false">L300-M300</f>
        <v>0.171537302645607</v>
      </c>
      <c r="O300" s="42" t="n">
        <f aca="false">IF(H300&gt;H299,1,0)</f>
        <v>1</v>
      </c>
      <c r="P300" s="42" t="n">
        <f aca="false">IF(H300&lt;H299,1,0)</f>
        <v>0</v>
      </c>
      <c r="Q300" s="42" t="n">
        <f aca="false">IF(N300&gt;N299,1,0)</f>
        <v>0</v>
      </c>
      <c r="R300" s="42" t="n">
        <f aca="false">IF(N300&lt;N299,1,0)</f>
        <v>1</v>
      </c>
      <c r="S300" s="42" t="n">
        <f aca="false">IF(AND(O300=1,Q300=1),1,IF(AND(P300=1,R300=1),-1,0))</f>
        <v>0</v>
      </c>
      <c r="T300" s="43" t="str">
        <f aca="false">IF(S300=1,"绿",IF(S300=-1,"红","蓝"))</f>
        <v>蓝</v>
      </c>
      <c r="U300" s="44" t="n">
        <f aca="false">F300*(E300-E299)</f>
        <v>62777.9999999987</v>
      </c>
      <c r="V300" s="44" t="n">
        <f aca="false">2/(p_FiS+1)*U300+(1-2/(p_FiS+1))*V299</f>
        <v>-193090.100230539</v>
      </c>
      <c r="W300" s="44" t="n">
        <f aca="false">2/(p_FiL+1)*U300+(1-2/(p_FiL+1))*W299</f>
        <v>467210.068708744</v>
      </c>
      <c r="X300" s="41" t="n">
        <f aca="false">MAX(C300-D300,ABS(C300-E299),ABS(D300-E299))</f>
        <v>0.150000000000002</v>
      </c>
      <c r="Y300" s="41" t="n">
        <f aca="true">AVERAGE(OFFSET(X300,1-MIN(p_AtrN,ROW()-4),0,MIN(p_AtrN,ROW()-4),1))</f>
        <v>0.698461538461539</v>
      </c>
      <c r="Z300" s="41" t="n">
        <f aca="false">IF(AND(C300-C299&gt;D299-D300,C300-C299&gt;0),C300-C299,0)</f>
        <v>0</v>
      </c>
      <c r="AA300" s="41" t="n">
        <f aca="false">IF(AND(D299-D300&gt;C300-C299,D299-D300&gt;0),D299-D300,0)</f>
        <v>0</v>
      </c>
      <c r="AB300" s="41" t="n">
        <f aca="false">2/(p_AdxN+1)*X300+(1-2/(p_AdxN+1))*AB299</f>
        <v>0.639685831125254</v>
      </c>
      <c r="AC300" s="41" t="n">
        <f aca="false">2/(p_AdxN+1)*Z300+(1-2/(p_AdxN+1))*AC299</f>
        <v>0.164820872241686</v>
      </c>
      <c r="AD300" s="41" t="n">
        <f aca="false">2/(p_AdxN+1)*AA300+(1-2/(p_AdxN+1))*AD299</f>
        <v>0.0809854619034196</v>
      </c>
      <c r="AE300" s="45" t="n">
        <f aca="false">100*AC300/AB300</f>
        <v>25.7659094858728</v>
      </c>
      <c r="AF300" s="45" t="n">
        <f aca="false">100*AD300/AB300</f>
        <v>12.660193170288</v>
      </c>
      <c r="AG300" s="45" t="n">
        <f aca="false">IFERROR(100*ABS(AE300-AF300)/(AE300+AF300),0)</f>
        <v>34.1062855966829</v>
      </c>
      <c r="AH300" s="45" t="n">
        <f aca="false">2/(p_AdxN+1)*AG300+(1-2/(p_AdxN+1))*AH299</f>
        <v>54.0197063218817</v>
      </c>
      <c r="AI300" s="40" t="n">
        <f aca="false">I300*(1+p_ChPct)</f>
        <v>31.1801097384126</v>
      </c>
      <c r="AJ300" s="40" t="n">
        <f aca="false">I300*(1-p_ChPct)</f>
        <v>27.6502859944414</v>
      </c>
      <c r="AK300" s="40" t="n">
        <f aca="false">I300+1*Y300</f>
        <v>30.1136594048885</v>
      </c>
      <c r="AL300" s="40" t="n">
        <f aca="false">I300+2*Y300</f>
        <v>30.8121209433501</v>
      </c>
      <c r="AM300" s="40" t="n">
        <f aca="false">I300+3*Y300</f>
        <v>31.5105824818116</v>
      </c>
      <c r="AN300" s="40" t="n">
        <f aca="false">I300-1*Y300</f>
        <v>28.7167363279654</v>
      </c>
      <c r="AO300" s="40" t="n">
        <f aca="false">I300-2*Y300</f>
        <v>28.0182747895039</v>
      </c>
      <c r="AP300" s="40" t="n">
        <f aca="false">I300-3*Y300</f>
        <v>27.3198132510424</v>
      </c>
      <c r="AQ300" s="40" t="n">
        <f aca="true">MAX(OFFSET(C300,1-MIN(p_StochN,ROW()-4),0,MIN(p_StochN,ROW()-4),1))</f>
        <v>31.53</v>
      </c>
      <c r="AR300" s="40" t="n">
        <f aca="true">MIN(OFFSET(D300,1-MIN(p_StochN,ROW()-4),0,MIN(p_StochN,ROW()-4),1))</f>
        <v>30.25</v>
      </c>
      <c r="AS300" s="45" t="n">
        <f aca="false">IF(AQ300=AR300,50,100*(E300-AR300)/(AQ300-AR300))</f>
        <v>17.96875</v>
      </c>
      <c r="AT300" s="45" t="n">
        <f aca="true">AVERAGE(OFFSET(AS300,1-MIN(p_StochSm,ROW()-4),0,MIN(p_StochSm,ROW()-4),1))</f>
        <v>31.6989587904052</v>
      </c>
      <c r="AU300" s="45" t="n">
        <f aca="true">AVERAGE(OFFSET(AT300,1-MIN(p_StochSm,ROW()-4),0,MIN(p_StochSm,ROW()-4),1))</f>
        <v>50.7407235751548</v>
      </c>
      <c r="AV300" s="41" t="n">
        <f aca="false">MAX(0,H300-D300)</f>
        <v>0</v>
      </c>
      <c r="AW300" s="41" t="n">
        <f aca="true">IF(COUNTIF(OFFSET(AV300,1-MIN(p_PenLb,ROW()-4),0,MIN(p_PenLb,ROW()-4),1),"&gt;0")&gt;0,SUM(OFFSET(AV300,1-MIN(p_PenLb,ROW()-4),0,MIN(p_PenLb,ROW()-4),1))/COUNTIF(OFFSET(AV300,1-MIN(p_PenLb,ROW()-4),0,MIN(p_PenLb,ROW()-4),1),"&gt;0"),0.5*Y300)</f>
        <v>1.01818028832147</v>
      </c>
      <c r="AX300" s="41" t="n">
        <f aca="false">2*H300-H299</f>
        <v>30.1379592726028</v>
      </c>
      <c r="AY300" s="40" t="n">
        <f aca="false">ROUND(MAX(AX300-AW300,0.01),2)</f>
        <v>29.12</v>
      </c>
      <c r="AZ300" s="40" t="n">
        <f aca="true">IF(MIN(p_StopLb,ROW()-4)&lt;2,D300,SMALL(OFFSET(D300,1-MIN(p_StopLb,ROW()-4),0,MIN(p_StopLb,ROW()-4),1),2))</f>
        <v>29.04</v>
      </c>
      <c r="BA300" s="40" t="n">
        <f aca="false">IF(MOD(ROUND(ROUNDDOWN(MIN(AZ300-0.01,AY300-p_StopAtr*Y300),2)*100,0),50)=0,ROUNDDOWN(MIN(AZ300-0.01,AY300-p_StopAtr*Y300),2)-0.01,ROUNDDOWN(MIN(AZ300-0.01,AY300-p_StopAtr*Y300),2))</f>
        <v>28.42</v>
      </c>
      <c r="BB300" s="40" t="n">
        <f aca="false">ROUND(AI300,2)</f>
        <v>31.18</v>
      </c>
      <c r="BC300" s="40" t="n">
        <f aca="false">IF(AY300-BA300&gt;0,(BB300-AY300)/(AY300-BA300),0)</f>
        <v>2.94285714285714</v>
      </c>
      <c r="BD300" s="42" t="n">
        <f aca="false">IF(N300&lt;0,1,0)</f>
        <v>0</v>
      </c>
      <c r="BE300" s="41" t="n">
        <f aca="false">IF(AND(BD300=1,BD299=0),N300,IF(BD300=1,MIN(BE299,N300),BE299))</f>
        <v>-0.356654552541767</v>
      </c>
      <c r="BF300" s="40" t="n">
        <f aca="false">IF(AND(BD300=1,BD299=0),D300,IF(BD300=1,MIN(BF299,D300),BF299))</f>
        <v>25.91</v>
      </c>
      <c r="BG300" s="42" t="n">
        <f aca="false">IF(AND(BD300=1,BD299=0),ROW(),IF(BD300=1,IF(N300&lt;BE299,ROW(),BG299),BG299))</f>
        <v>261</v>
      </c>
      <c r="BH300" s="41" t="n">
        <f aca="false">IF(AND(BD300=1,BD299=0),BE299,BH299)</f>
        <v>-0.153190541609803</v>
      </c>
      <c r="BI300" s="40" t="n">
        <f aca="false">IF(AND(BD300=1,BD299=0),BF299,BI299)</f>
        <v>27.9</v>
      </c>
      <c r="BJ300" s="42" t="n">
        <f aca="false">IF(AND(BD300=1,BD299=0),BG299,BJ299)</f>
        <v>226</v>
      </c>
      <c r="BK300" s="42" t="n">
        <f aca="false">IF(AND(ISNUMBER(BG300),ISNUMBER(BJ300)),BG300-BJ300,"")</f>
        <v>35</v>
      </c>
      <c r="BL300" s="42" t="n">
        <f aca="false">IF(AND(BD300=1,N300&gt;N299,ISNUMBER(BH300),ISNUMBER(BK300)),IF(AND(BE300&gt;BH300,BF300&lt;BI300,BK300&gt;=p_GapMin,BK300&lt;=p_GapMax),1,0),0)</f>
        <v>0</v>
      </c>
      <c r="BM300" s="42" t="n">
        <f aca="false">IF(AND(BL300=1,E300&gt;BI300),1,0)</f>
        <v>0</v>
      </c>
      <c r="BN300" s="42" t="n">
        <f aca="false">IF(BL300=1,IF(BE300&gt;=BH300*0.5,1,0),0)</f>
        <v>0</v>
      </c>
      <c r="BO300" s="42" t="n">
        <f aca="true">IF(V300&gt;MIN(OFFSET(V300,-MIN(p_FiLb-1,ROW()-5),0,MIN(p_FiLb-1,ROW()-5),1)),1,0)</f>
        <v>1</v>
      </c>
      <c r="BP300" s="44" t="n">
        <f aca="true">IF(COUNTIF(OFFSET(V300,1-MIN(100,ROW()-4),0,MIN(100,ROW()-4),1),"&lt;0")&gt;=5,AVERAGEIF(OFFSET(V300,1-MIN(100,ROW()-4),0,MIN(100,ROW()-4),1),"&lt;0"),"")</f>
        <v>-1056461.92838718</v>
      </c>
      <c r="BQ300" s="42" t="n">
        <f aca="false">IF(ISNUMBER(BP300),IF(AND(V300&lt;5*BP300,V300&gt;V299,E300&lt;AJ300),1,0),0)</f>
        <v>0</v>
      </c>
      <c r="BR300" s="44" t="n">
        <f aca="true">AVERAGE(OFFSET(F300,1-MIN(5,ROW()-4),0,MIN(5,ROW()-4),1))</f>
        <v>3261360</v>
      </c>
      <c r="BS300" s="42" t="n">
        <f aca="false">IFERROR(IF(MATCH(G300,周线!$A$5:$A$84,0)&lt;=1,"",INDEX(周线!$R$5:$R$84,MATCH(G300,周线!$A$5:$A$84,0)-1)),"")</f>
        <v>1</v>
      </c>
      <c r="BT300" s="42" t="n">
        <f aca="false">IFERROR(IF(MATCH(G300,周线!$A$5:$A$84,0)&lt;=1,"",INDEX(周线!$S$5:$S$84,MATCH(G300,周线!$A$5:$A$84,0)-1)),"")</f>
        <v>1</v>
      </c>
      <c r="BU300" s="42" t="n">
        <f aca="false">IFERROR(IF(MATCH(G300,周线!$A$5:$A$84,0)&lt;=1,"",INDEX(周线!$U$5:$U$84,MATCH(G300,周线!$A$5:$A$84,0)-1)),"")</f>
        <v>1</v>
      </c>
      <c r="BV300" s="42" t="n">
        <f aca="false">IF(AND(BS300=1,S300&lt;&gt;-1,V300&lt;0,BO300=1,E300&lt;=H300,E300&gt;=AJ300),1,0)</f>
        <v>0</v>
      </c>
      <c r="BW300" s="42" t="n">
        <f aca="false">BL300</f>
        <v>0</v>
      </c>
      <c r="BX300" s="42" t="n">
        <f aca="false">BQ300</f>
        <v>0</v>
      </c>
      <c r="BY300" s="42" t="n">
        <f aca="false">IF(BS300=1,10,0)+IF(BU300=1,5,IF(BU300=-1,0,3))+IF(BT300=1,5,0)+IF(AND(AE300&gt;AF300,AH300&gt;AH299),5,0)</f>
        <v>20</v>
      </c>
      <c r="BZ300" s="42" t="n">
        <f aca="false">IF(AND(E300&lt;=H300,E300&gt;=I300),10,IF(AND(E300&gt;=AJ300,E300&lt;I300),6,0))+IF(AND(V300&lt;0,BO300=1),8,0)+IF(AT300&lt;30,7,IF(AT300&lt;50,3,0))</f>
        <v>11</v>
      </c>
      <c r="CA300" s="42" t="n">
        <f aca="false">IF(AND(BV300=1,BW300=1),25,IF(BW300=1,22,IF(BV300=1,15,IF(BX300=1,12,0))))</f>
        <v>0</v>
      </c>
      <c r="CB300" s="42" t="n">
        <f aca="false">IF(W300&gt;0,6,0)+IF(F300&lt;BR300,4,0)</f>
        <v>10</v>
      </c>
      <c r="CC300" s="42" t="n">
        <f aca="false">IF(BC300&gt;=3,15,IF(BC300&gt;=p_RRmin,10,IF(BC300&gt;=1.5,4,0)))</f>
        <v>10</v>
      </c>
      <c r="CD300" s="42" t="n">
        <f aca="false">BY300+BZ300+CA300+CB300+CC300</f>
        <v>51</v>
      </c>
      <c r="CE300" s="42" t="n">
        <f aca="false">IF(AND(BS300&lt;&gt;1,BW300+BX300=0),1,0)</f>
        <v>0</v>
      </c>
      <c r="CF300" s="42" t="n">
        <f aca="false">IF(BU300=-1,1,0)</f>
        <v>0</v>
      </c>
      <c r="CG300" s="42" t="n">
        <f aca="false">IF(S300=-1,1,0)</f>
        <v>0</v>
      </c>
      <c r="CH300" s="42" t="n">
        <f aca="false">IF(BV300+BW300+BX300=0,1,0)</f>
        <v>1</v>
      </c>
      <c r="CI300" s="42" t="n">
        <f aca="false">IF(BC300&lt;p_RRmin,1,0)</f>
        <v>0</v>
      </c>
      <c r="CJ300" s="46" t="str">
        <f aca="false">IF(SUM(CE300:CI300)=0,IF(CD300&gt;=p_GradeA,"A",IF(CD300&gt;=p_GradeB,"B","C")),IF(AND(CI300=1,SUM(CE300:CH300)=0,CD300&gt;=p_GradeB),"B","C"))</f>
        <v>C</v>
      </c>
    </row>
    <row r="301" customFormat="false" ht="15" hidden="false" customHeight="false" outlineLevel="0" collapsed="false">
      <c r="A301" s="36" t="n">
        <v>46073</v>
      </c>
      <c r="B301" s="37" t="n">
        <v>30.54</v>
      </c>
      <c r="C301" s="37" t="n">
        <v>30.85</v>
      </c>
      <c r="D301" s="37" t="n">
        <v>30.25</v>
      </c>
      <c r="E301" s="37" t="n">
        <v>30.49</v>
      </c>
      <c r="F301" s="38" t="n">
        <v>2312500</v>
      </c>
      <c r="G301" s="39" t="n">
        <f aca="false">A301-WEEKDAY(A301,3)</f>
        <v>46069</v>
      </c>
      <c r="H301" s="40" t="n">
        <f aca="false">2/(p_EmaF+1)*E301+(1-2/(p_EmaF+1))*H300</f>
        <v>30.12961525182</v>
      </c>
      <c r="I301" s="40" t="n">
        <f aca="false">2/(p_EmaS+1)*E301+(1-2/(p_EmaS+1))*I300</f>
        <v>29.4948128392842</v>
      </c>
      <c r="J301" s="41" t="n">
        <f aca="false">2/(p_MacdF+1)*E301+(1-2/(p_MacdF+1))*J300</f>
        <v>30.1992989164819</v>
      </c>
      <c r="K301" s="41" t="n">
        <f aca="false">2/(p_MacdS+1)*E301+(1-2/(p_MacdS+1))*K300</f>
        <v>29.4948128392842</v>
      </c>
      <c r="L301" s="41" t="n">
        <f aca="false">J301-K301</f>
        <v>0.704486077197647</v>
      </c>
      <c r="M301" s="41" t="n">
        <f aca="false">2/(p_MacdSig+1)*L301+(1-2/(p_MacdSig+1))*M300</f>
        <v>0.588664419400698</v>
      </c>
      <c r="N301" s="41" t="n">
        <f aca="false">L301-M301</f>
        <v>0.115821657796949</v>
      </c>
      <c r="O301" s="42" t="n">
        <f aca="false">IF(H301&gt;H300,1,0)</f>
        <v>1</v>
      </c>
      <c r="P301" s="42" t="n">
        <f aca="false">IF(H301&lt;H300,1,0)</f>
        <v>0</v>
      </c>
      <c r="Q301" s="42" t="n">
        <f aca="false">IF(N301&gt;N300,1,0)</f>
        <v>0</v>
      </c>
      <c r="R301" s="42" t="n">
        <f aca="false">IF(N301&lt;N300,1,0)</f>
        <v>1</v>
      </c>
      <c r="S301" s="42" t="n">
        <f aca="false">IF(AND(O301=1,Q301=1),1,IF(AND(P301=1,R301=1),-1,0))</f>
        <v>0</v>
      </c>
      <c r="T301" s="43" t="str">
        <f aca="false">IF(S301=1,"绿",IF(S301=-1,"红","蓝"))</f>
        <v>蓝</v>
      </c>
      <c r="U301" s="44" t="n">
        <f aca="false">F301*(E301-E300)</f>
        <v>23124.9999999954</v>
      </c>
      <c r="V301" s="44" t="n">
        <f aca="false">2/(p_FiS+1)*U301+(1-2/(p_FiS+1))*V300</f>
        <v>-48946.7000768495</v>
      </c>
      <c r="W301" s="44" t="n">
        <f aca="false">2/(p_FiL+1)*U301+(1-2/(p_FiL+1))*W300</f>
        <v>403769.344607494</v>
      </c>
      <c r="X301" s="41" t="n">
        <f aca="false">MAX(C301-D301,ABS(C301-E300),ABS(D301-E300))</f>
        <v>0.600000000000001</v>
      </c>
      <c r="Y301" s="41" t="n">
        <f aca="true">AVERAGE(OFFSET(X301,1-MIN(p_AtrN,ROW()-4),0,MIN(p_AtrN,ROW()-4),1))</f>
        <v>0.670769230769231</v>
      </c>
      <c r="Z301" s="41" t="n">
        <f aca="false">IF(AND(C301-C300&gt;D300-D301,C301-C300&gt;0),C301-C300,0)</f>
        <v>0.25</v>
      </c>
      <c r="AA301" s="41" t="n">
        <f aca="false">IF(AND(D300-D301&gt;C301-C300,D300-D301&gt;0),D300-D301,0)</f>
        <v>0</v>
      </c>
      <c r="AB301" s="41" t="n">
        <f aca="false">2/(p_AdxN+1)*X301+(1-2/(p_AdxN+1))*AB300</f>
        <v>0.63401642667879</v>
      </c>
      <c r="AC301" s="41" t="n">
        <f aca="false">2/(p_AdxN+1)*Z301+(1-2/(p_AdxN+1))*AC300</f>
        <v>0.176989319064302</v>
      </c>
      <c r="AD301" s="41" t="n">
        <f aca="false">2/(p_AdxN+1)*AA301+(1-2/(p_AdxN+1))*AD300</f>
        <v>0.0694161102029311</v>
      </c>
      <c r="AE301" s="45" t="n">
        <f aca="false">100*AC301/AB301</f>
        <v>27.9155731013843</v>
      </c>
      <c r="AF301" s="45" t="n">
        <f aca="false">100*AD301/AB301</f>
        <v>10.9486296067372</v>
      </c>
      <c r="AG301" s="45" t="n">
        <f aca="false">IFERROR(100*ABS(AE301-AF301)/(AE301+AF301),0)</f>
        <v>43.6569961876551</v>
      </c>
      <c r="AH301" s="45" t="n">
        <f aca="false">2/(p_AdxN+1)*AG301+(1-2/(p_AdxN+1))*AH300</f>
        <v>52.5393191598493</v>
      </c>
      <c r="AI301" s="40" t="n">
        <f aca="false">I301*(1+p_ChPct)</f>
        <v>31.2645016096413</v>
      </c>
      <c r="AJ301" s="40" t="n">
        <f aca="false">I301*(1-p_ChPct)</f>
        <v>27.7251240689272</v>
      </c>
      <c r="AK301" s="40" t="n">
        <f aca="false">I301+1*Y301</f>
        <v>30.1655820700535</v>
      </c>
      <c r="AL301" s="40" t="n">
        <f aca="false">I301+2*Y301</f>
        <v>30.8363513008227</v>
      </c>
      <c r="AM301" s="40" t="n">
        <f aca="false">I301+3*Y301</f>
        <v>31.5071205315919</v>
      </c>
      <c r="AN301" s="40" t="n">
        <f aca="false">I301-1*Y301</f>
        <v>28.824043608515</v>
      </c>
      <c r="AO301" s="40" t="n">
        <f aca="false">I301-2*Y301</f>
        <v>28.1532743777458</v>
      </c>
      <c r="AP301" s="40" t="n">
        <f aca="false">I301-3*Y301</f>
        <v>27.4825051469765</v>
      </c>
      <c r="AQ301" s="40" t="n">
        <f aca="true">MAX(OFFSET(C301,1-MIN(p_StochN,ROW()-4),0,MIN(p_StochN,ROW()-4),1))</f>
        <v>31.27</v>
      </c>
      <c r="AR301" s="40" t="n">
        <f aca="true">MIN(OFFSET(D301,1-MIN(p_StochN,ROW()-4),0,MIN(p_StochN,ROW()-4),1))</f>
        <v>30.25</v>
      </c>
      <c r="AS301" s="45" t="n">
        <f aca="false">IF(AQ301=AR301,50,100*(E301-AR301)/(AQ301-AR301))</f>
        <v>23.5294117647057</v>
      </c>
      <c r="AT301" s="45" t="n">
        <f aca="true">AVERAGE(OFFSET(AS301,1-MIN(p_StochSm,ROW()-4),0,MIN(p_StochSm,ROW()-4),1))</f>
        <v>19.2590771773826</v>
      </c>
      <c r="AU301" s="45" t="n">
        <f aca="true">AVERAGE(OFFSET(AT301,1-MIN(p_StochSm,ROW()-4),0,MIN(p_StochSm,ROW()-4),1))</f>
        <v>33.1553845210748</v>
      </c>
      <c r="AV301" s="41" t="n">
        <f aca="false">MAX(0,H301-D301)</f>
        <v>0</v>
      </c>
      <c r="AW301" s="41" t="n">
        <f aca="true">IF(COUNTIF(OFFSET(AV301,1-MIN(p_PenLb,ROW()-4),0,MIN(p_PenLb,ROW()-4),1),"&gt;0")&gt;0,SUM(OFFSET(AV301,1-MIN(p_PenLb,ROW()-4),0,MIN(p_PenLb,ROW()-4),1))/COUNTIF(OFFSET(AV301,1-MIN(p_PenLb,ROW()-4),0,MIN(p_PenLb,ROW()-4),1),"&gt;0"),0.5*Y301)</f>
        <v>0.932318700950293</v>
      </c>
      <c r="AX301" s="41" t="n">
        <f aca="false">2*H301-H300</f>
        <v>30.1896793765167</v>
      </c>
      <c r="AY301" s="40" t="n">
        <f aca="false">ROUND(MAX(AX301-AW301,0.01),2)</f>
        <v>29.26</v>
      </c>
      <c r="AZ301" s="40" t="n">
        <f aca="true">IF(MIN(p_StopLb,ROW()-4)&lt;2,D301,SMALL(OFFSET(D301,1-MIN(p_StopLb,ROW()-4),0,MIN(p_StopLb,ROW()-4),1),2))</f>
        <v>29.42</v>
      </c>
      <c r="BA301" s="40" t="n">
        <f aca="false">IF(MOD(ROUND(ROUNDDOWN(MIN(AZ301-0.01,AY301-p_StopAtr*Y301),2)*100,0),50)=0,ROUNDDOWN(MIN(AZ301-0.01,AY301-p_StopAtr*Y301),2)-0.01,ROUNDDOWN(MIN(AZ301-0.01,AY301-p_StopAtr*Y301),2))</f>
        <v>28.58</v>
      </c>
      <c r="BB301" s="40" t="n">
        <f aca="false">ROUND(AI301,2)</f>
        <v>31.26</v>
      </c>
      <c r="BC301" s="40" t="n">
        <f aca="false">IF(AY301-BA301&gt;0,(BB301-AY301)/(AY301-BA301),0)</f>
        <v>2.94117647058822</v>
      </c>
      <c r="BD301" s="42" t="n">
        <f aca="false">IF(N301&lt;0,1,0)</f>
        <v>0</v>
      </c>
      <c r="BE301" s="41" t="n">
        <f aca="false">IF(AND(BD301=1,BD300=0),N301,IF(BD301=1,MIN(BE300,N301),BE300))</f>
        <v>-0.356654552541767</v>
      </c>
      <c r="BF301" s="40" t="n">
        <f aca="false">IF(AND(BD301=1,BD300=0),D301,IF(BD301=1,MIN(BF300,D301),BF300))</f>
        <v>25.91</v>
      </c>
      <c r="BG301" s="42" t="n">
        <f aca="false">IF(AND(BD301=1,BD300=0),ROW(),IF(BD301=1,IF(N301&lt;BE300,ROW(),BG300),BG300))</f>
        <v>261</v>
      </c>
      <c r="BH301" s="41" t="n">
        <f aca="false">IF(AND(BD301=1,BD300=0),BE300,BH300)</f>
        <v>-0.153190541609803</v>
      </c>
      <c r="BI301" s="40" t="n">
        <f aca="false">IF(AND(BD301=1,BD300=0),BF300,BI300)</f>
        <v>27.9</v>
      </c>
      <c r="BJ301" s="42" t="n">
        <f aca="false">IF(AND(BD301=1,BD300=0),BG300,BJ300)</f>
        <v>226</v>
      </c>
      <c r="BK301" s="42" t="n">
        <f aca="false">IF(AND(ISNUMBER(BG301),ISNUMBER(BJ301)),BG301-BJ301,"")</f>
        <v>35</v>
      </c>
      <c r="BL301" s="42" t="n">
        <f aca="false">IF(AND(BD301=1,N301&gt;N300,ISNUMBER(BH301),ISNUMBER(BK301)),IF(AND(BE301&gt;BH301,BF301&lt;BI301,BK301&gt;=p_GapMin,BK301&lt;=p_GapMax),1,0),0)</f>
        <v>0</v>
      </c>
      <c r="BM301" s="42" t="n">
        <f aca="false">IF(AND(BL301=1,E301&gt;BI301),1,0)</f>
        <v>0</v>
      </c>
      <c r="BN301" s="42" t="n">
        <f aca="false">IF(BL301=1,IF(BE301&gt;=BH301*0.5,1,0),0)</f>
        <v>0</v>
      </c>
      <c r="BO301" s="42" t="n">
        <f aca="true">IF(V301&gt;MIN(OFFSET(V301,-MIN(p_FiLb-1,ROW()-5),0,MIN(p_FiLb-1,ROW()-5),1)),1,0)</f>
        <v>1</v>
      </c>
      <c r="BP301" s="44" t="n">
        <f aca="true">IF(COUNTIF(OFFSET(V301,1-MIN(100,ROW()-4),0,MIN(100,ROW()-4),1),"&lt;0")&gt;=5,AVERAGEIF(OFFSET(V301,1-MIN(100,ROW()-4),0,MIN(100,ROW()-4),1),"&lt;0"),"")</f>
        <v>-1034559.42342391</v>
      </c>
      <c r="BQ301" s="42" t="n">
        <f aca="false">IF(ISNUMBER(BP301),IF(AND(V301&lt;5*BP301,V301&gt;V300,E301&lt;AJ301),1,0),0)</f>
        <v>0</v>
      </c>
      <c r="BR301" s="44" t="n">
        <f aca="true">AVERAGE(OFFSET(F301,1-MIN(5,ROW()-4),0,MIN(5,ROW()-4),1))</f>
        <v>3182420</v>
      </c>
      <c r="BS301" s="42" t="n">
        <f aca="false">IFERROR(IF(MATCH(G301,周线!$A$5:$A$84,0)&lt;=1,"",INDEX(周线!$R$5:$R$84,MATCH(G301,周线!$A$5:$A$84,0)-1)),"")</f>
        <v>1</v>
      </c>
      <c r="BT301" s="42" t="n">
        <f aca="false">IFERROR(IF(MATCH(G301,周线!$A$5:$A$84,0)&lt;=1,"",INDEX(周线!$S$5:$S$84,MATCH(G301,周线!$A$5:$A$84,0)-1)),"")</f>
        <v>1</v>
      </c>
      <c r="BU301" s="42" t="n">
        <f aca="false">IFERROR(IF(MATCH(G301,周线!$A$5:$A$84,0)&lt;=1,"",INDEX(周线!$U$5:$U$84,MATCH(G301,周线!$A$5:$A$84,0)-1)),"")</f>
        <v>1</v>
      </c>
      <c r="BV301" s="42" t="n">
        <f aca="false">IF(AND(BS301=1,S301&lt;&gt;-1,V301&lt;0,BO301=1,E301&lt;=H301,E301&gt;=AJ301),1,0)</f>
        <v>0</v>
      </c>
      <c r="BW301" s="42" t="n">
        <f aca="false">BL301</f>
        <v>0</v>
      </c>
      <c r="BX301" s="42" t="n">
        <f aca="false">BQ301</f>
        <v>0</v>
      </c>
      <c r="BY301" s="42" t="n">
        <f aca="false">IF(BS301=1,10,0)+IF(BU301=1,5,IF(BU301=-1,0,3))+IF(BT301=1,5,0)+IF(AND(AE301&gt;AF301,AH301&gt;AH300),5,0)</f>
        <v>20</v>
      </c>
      <c r="BZ301" s="42" t="n">
        <f aca="false">IF(AND(E301&lt;=H301,E301&gt;=I301),10,IF(AND(E301&gt;=AJ301,E301&lt;I301),6,0))+IF(AND(V301&lt;0,BO301=1),8,0)+IF(AT301&lt;30,7,IF(AT301&lt;50,3,0))</f>
        <v>15</v>
      </c>
      <c r="CA301" s="42" t="n">
        <f aca="false">IF(AND(BV301=1,BW301=1),25,IF(BW301=1,22,IF(BV301=1,15,IF(BX301=1,12,0))))</f>
        <v>0</v>
      </c>
      <c r="CB301" s="42" t="n">
        <f aca="false">IF(W301&gt;0,6,0)+IF(F301&lt;BR301,4,0)</f>
        <v>10</v>
      </c>
      <c r="CC301" s="42" t="n">
        <f aca="false">IF(BC301&gt;=3,15,IF(BC301&gt;=p_RRmin,10,IF(BC301&gt;=1.5,4,0)))</f>
        <v>10</v>
      </c>
      <c r="CD301" s="42" t="n">
        <f aca="false">BY301+BZ301+CA301+CB301+CC301</f>
        <v>55</v>
      </c>
      <c r="CE301" s="42" t="n">
        <f aca="false">IF(AND(BS301&lt;&gt;1,BW301+BX301=0),1,0)</f>
        <v>0</v>
      </c>
      <c r="CF301" s="42" t="n">
        <f aca="false">IF(BU301=-1,1,0)</f>
        <v>0</v>
      </c>
      <c r="CG301" s="42" t="n">
        <f aca="false">IF(S301=-1,1,0)</f>
        <v>0</v>
      </c>
      <c r="CH301" s="42" t="n">
        <f aca="false">IF(BV301+BW301+BX301=0,1,0)</f>
        <v>1</v>
      </c>
      <c r="CI301" s="42" t="n">
        <f aca="false">IF(BC301&lt;p_RRmin,1,0)</f>
        <v>0</v>
      </c>
      <c r="CJ301" s="46" t="str">
        <f aca="false">IF(SUM(CE301:CI301)=0,IF(CD301&gt;=p_GradeA,"A",IF(CD301&gt;=p_GradeB,"B","C")),IF(AND(CI301=1,SUM(CE301:CH301)=0,CD301&gt;=p_GradeB),"B","C"))</f>
        <v>C</v>
      </c>
    </row>
    <row r="302" customFormat="false" ht="15" hidden="false" customHeight="false" outlineLevel="0" collapsed="false">
      <c r="A302" s="36" t="n">
        <v>46076</v>
      </c>
      <c r="B302" s="37" t="n">
        <v>30.58</v>
      </c>
      <c r="C302" s="37" t="n">
        <v>30.65</v>
      </c>
      <c r="D302" s="37" t="n">
        <v>30.09</v>
      </c>
      <c r="E302" s="37" t="n">
        <v>30.13</v>
      </c>
      <c r="F302" s="38" t="n">
        <v>3352500</v>
      </c>
      <c r="G302" s="39" t="n">
        <f aca="false">A302-WEEKDAY(A302,3)</f>
        <v>46076</v>
      </c>
      <c r="H302" s="40" t="n">
        <f aca="false">2/(p_EmaF+1)*E302+(1-2/(p_EmaF+1))*H301</f>
        <v>30.1296702158457</v>
      </c>
      <c r="I302" s="40" t="n">
        <f aca="false">2/(p_EmaS+1)*E302+(1-2/(p_EmaS+1))*I301</f>
        <v>29.541863740078</v>
      </c>
      <c r="J302" s="41" t="n">
        <f aca="false">2/(p_MacdF+1)*E302+(1-2/(p_MacdF+1))*J301</f>
        <v>30.1886375447154</v>
      </c>
      <c r="K302" s="41" t="n">
        <f aca="false">2/(p_MacdS+1)*E302+(1-2/(p_MacdS+1))*K301</f>
        <v>29.541863740078</v>
      </c>
      <c r="L302" s="41" t="n">
        <f aca="false">J302-K302</f>
        <v>0.646773804637444</v>
      </c>
      <c r="M302" s="41" t="n">
        <f aca="false">2/(p_MacdSig+1)*L302+(1-2/(p_MacdSig+1))*M301</f>
        <v>0.600286296448047</v>
      </c>
      <c r="N302" s="41" t="n">
        <f aca="false">L302-M302</f>
        <v>0.0464875081893968</v>
      </c>
      <c r="O302" s="42" t="n">
        <f aca="false">IF(H302&gt;H301,1,0)</f>
        <v>1</v>
      </c>
      <c r="P302" s="42" t="n">
        <f aca="false">IF(H302&lt;H301,1,0)</f>
        <v>0</v>
      </c>
      <c r="Q302" s="42" t="n">
        <f aca="false">IF(N302&gt;N301,1,0)</f>
        <v>0</v>
      </c>
      <c r="R302" s="42" t="n">
        <f aca="false">IF(N302&lt;N301,1,0)</f>
        <v>1</v>
      </c>
      <c r="S302" s="42" t="n">
        <f aca="false">IF(AND(O302=1,Q302=1),1,IF(AND(P302=1,R302=1),-1,0))</f>
        <v>0</v>
      </c>
      <c r="T302" s="43" t="str">
        <f aca="false">IF(S302=1,"绿",IF(S302=-1,"红","蓝"))</f>
        <v>蓝</v>
      </c>
      <c r="U302" s="44" t="n">
        <f aca="false">F302*(E302-E301)</f>
        <v>-1206900</v>
      </c>
      <c r="V302" s="44" t="n">
        <f aca="false">2/(p_FiS+1)*U302+(1-2/(p_FiS+1))*V301</f>
        <v>-820915.566692282</v>
      </c>
      <c r="W302" s="44" t="n">
        <f aca="false">2/(p_FiL+1)*U302+(1-2/(p_FiL+1))*W301</f>
        <v>173673.723949281</v>
      </c>
      <c r="X302" s="41" t="n">
        <f aca="false">MAX(C302-D302,ABS(C302-E301),ABS(D302-E301))</f>
        <v>0.559999999999999</v>
      </c>
      <c r="Y302" s="41" t="n">
        <f aca="true">AVERAGE(OFFSET(X302,1-MIN(p_AtrN,ROW()-4),0,MIN(p_AtrN,ROW()-4),1))</f>
        <v>0.7</v>
      </c>
      <c r="Z302" s="41" t="n">
        <f aca="false">IF(AND(C302-C301&gt;D301-D302,C302-C301&gt;0),C302-C301,0)</f>
        <v>0</v>
      </c>
      <c r="AA302" s="41" t="n">
        <f aca="false">IF(AND(D301-D302&gt;C302-C301,D301-D302&gt;0),D301-D302,0)</f>
        <v>0.16</v>
      </c>
      <c r="AB302" s="41" t="n">
        <f aca="false">2/(p_AdxN+1)*X302+(1-2/(p_AdxN+1))*AB301</f>
        <v>0.623442651438963</v>
      </c>
      <c r="AC302" s="41" t="n">
        <f aca="false">2/(p_AdxN+1)*Z302+(1-2/(p_AdxN+1))*AC301</f>
        <v>0.151705130626545</v>
      </c>
      <c r="AD302" s="41" t="n">
        <f aca="false">2/(p_AdxN+1)*AA302+(1-2/(p_AdxN+1))*AD301</f>
        <v>0.0823566658882267</v>
      </c>
      <c r="AE302" s="45" t="n">
        <f aca="false">100*AC302/AB302</f>
        <v>24.3334539714913</v>
      </c>
      <c r="AF302" s="45" t="n">
        <f aca="false">100*AD302/AB302</f>
        <v>13.2099826179906</v>
      </c>
      <c r="AG302" s="45" t="n">
        <f aca="false">IFERROR(100*ABS(AE302-AF302)/(AE302+AF302),0)</f>
        <v>29.6282715808095</v>
      </c>
      <c r="AH302" s="45" t="n">
        <f aca="false">2/(p_AdxN+1)*AG302+(1-2/(p_AdxN+1))*AH301</f>
        <v>49.2663123628436</v>
      </c>
      <c r="AI302" s="40" t="n">
        <f aca="false">I302*(1+p_ChPct)</f>
        <v>31.3143755644827</v>
      </c>
      <c r="AJ302" s="40" t="n">
        <f aca="false">I302*(1-p_ChPct)</f>
        <v>27.7693519156733</v>
      </c>
      <c r="AK302" s="40" t="n">
        <f aca="false">I302+1*Y302</f>
        <v>30.241863740078</v>
      </c>
      <c r="AL302" s="40" t="n">
        <f aca="false">I302+2*Y302</f>
        <v>30.941863740078</v>
      </c>
      <c r="AM302" s="40" t="n">
        <f aca="false">I302+3*Y302</f>
        <v>31.641863740078</v>
      </c>
      <c r="AN302" s="40" t="n">
        <f aca="false">I302-1*Y302</f>
        <v>28.841863740078</v>
      </c>
      <c r="AO302" s="40" t="n">
        <f aca="false">I302-2*Y302</f>
        <v>28.141863740078</v>
      </c>
      <c r="AP302" s="40" t="n">
        <f aca="false">I302-3*Y302</f>
        <v>27.441863740078</v>
      </c>
      <c r="AQ302" s="40" t="n">
        <f aca="true">MAX(OFFSET(C302,1-MIN(p_StochN,ROW()-4),0,MIN(p_StochN,ROW()-4),1))</f>
        <v>31.24</v>
      </c>
      <c r="AR302" s="40" t="n">
        <f aca="true">MIN(OFFSET(D302,1-MIN(p_StochN,ROW()-4),0,MIN(p_StochN,ROW()-4),1))</f>
        <v>30.09</v>
      </c>
      <c r="AS302" s="45" t="n">
        <f aca="false">IF(AQ302=AR302,50,100*(E302-AR302)/(AQ302-AR302))</f>
        <v>3.47826086956515</v>
      </c>
      <c r="AT302" s="45" t="n">
        <f aca="true">AVERAGE(OFFSET(AS302,1-MIN(p_StochSm,ROW()-4),0,MIN(p_StochSm,ROW()-4),1))</f>
        <v>14.9921408780903</v>
      </c>
      <c r="AU302" s="45" t="n">
        <f aca="true">AVERAGE(OFFSET(AT302,1-MIN(p_StochSm,ROW()-4),0,MIN(p_StochSm,ROW()-4),1))</f>
        <v>21.9833922819594</v>
      </c>
      <c r="AV302" s="41" t="n">
        <f aca="false">MAX(0,H302-D302)</f>
        <v>0.0396702158457209</v>
      </c>
      <c r="AW302" s="41" t="n">
        <f aca="true">IF(COUNTIF(OFFSET(AV302,1-MIN(p_PenLb,ROW()-4),0,MIN(p_PenLb,ROW()-4),1),"&gt;0")&gt;0,SUM(OFFSET(AV302,1-MIN(p_PenLb,ROW()-4),0,MIN(p_PenLb,ROW()-4),1))/COUNTIF(OFFSET(AV302,1-MIN(p_PenLb,ROW()-4),0,MIN(p_PenLb,ROW()-4),1),"&gt;0"),0.5*Y302)</f>
        <v>0.786070414862812</v>
      </c>
      <c r="AX302" s="41" t="n">
        <f aca="false">2*H302-H301</f>
        <v>30.1297251798714</v>
      </c>
      <c r="AY302" s="40" t="n">
        <f aca="false">ROUND(MAX(AX302-AW302,0.01),2)</f>
        <v>29.34</v>
      </c>
      <c r="AZ302" s="40" t="n">
        <f aca="true">IF(MIN(p_StopLb,ROW()-4)&lt;2,D302,SMALL(OFFSET(D302,1-MIN(p_StopLb,ROW()-4),0,MIN(p_StopLb,ROW()-4),1),2))</f>
        <v>29.47</v>
      </c>
      <c r="BA302" s="40" t="n">
        <f aca="false">IF(MOD(ROUND(ROUNDDOWN(MIN(AZ302-0.01,AY302-p_StopAtr*Y302),2)*100,0),50)=0,ROUNDDOWN(MIN(AZ302-0.01,AY302-p_StopAtr*Y302),2)-0.01,ROUNDDOWN(MIN(AZ302-0.01,AY302-p_StopAtr*Y302),2))</f>
        <v>28.64</v>
      </c>
      <c r="BB302" s="40" t="n">
        <f aca="false">ROUND(AI302,2)</f>
        <v>31.31</v>
      </c>
      <c r="BC302" s="40" t="n">
        <f aca="false">IF(AY302-BA302&gt;0,(BB302-AY302)/(AY302-BA302),0)</f>
        <v>2.81428571428572</v>
      </c>
      <c r="BD302" s="42" t="n">
        <f aca="false">IF(N302&lt;0,1,0)</f>
        <v>0</v>
      </c>
      <c r="BE302" s="41" t="n">
        <f aca="false">IF(AND(BD302=1,BD301=0),N302,IF(BD302=1,MIN(BE301,N302),BE301))</f>
        <v>-0.356654552541767</v>
      </c>
      <c r="BF302" s="40" t="n">
        <f aca="false">IF(AND(BD302=1,BD301=0),D302,IF(BD302=1,MIN(BF301,D302),BF301))</f>
        <v>25.91</v>
      </c>
      <c r="BG302" s="42" t="n">
        <f aca="false">IF(AND(BD302=1,BD301=0),ROW(),IF(BD302=1,IF(N302&lt;BE301,ROW(),BG301),BG301))</f>
        <v>261</v>
      </c>
      <c r="BH302" s="41" t="n">
        <f aca="false">IF(AND(BD302=1,BD301=0),BE301,BH301)</f>
        <v>-0.153190541609803</v>
      </c>
      <c r="BI302" s="40" t="n">
        <f aca="false">IF(AND(BD302=1,BD301=0),BF301,BI301)</f>
        <v>27.9</v>
      </c>
      <c r="BJ302" s="42" t="n">
        <f aca="false">IF(AND(BD302=1,BD301=0),BG301,BJ301)</f>
        <v>226</v>
      </c>
      <c r="BK302" s="42" t="n">
        <f aca="false">IF(AND(ISNUMBER(BG302),ISNUMBER(BJ302)),BG302-BJ302,"")</f>
        <v>35</v>
      </c>
      <c r="BL302" s="42" t="n">
        <f aca="false">IF(AND(BD302=1,N302&gt;N301,ISNUMBER(BH302),ISNUMBER(BK302)),IF(AND(BE302&gt;BH302,BF302&lt;BI302,BK302&gt;=p_GapMin,BK302&lt;=p_GapMax),1,0),0)</f>
        <v>0</v>
      </c>
      <c r="BM302" s="42" t="n">
        <f aca="false">IF(AND(BL302=1,E302&gt;BI302),1,0)</f>
        <v>0</v>
      </c>
      <c r="BN302" s="42" t="n">
        <f aca="false">IF(BL302=1,IF(BE302&gt;=BH302*0.5,1,0),0)</f>
        <v>0</v>
      </c>
      <c r="BO302" s="42" t="n">
        <f aca="true">IF(V302&gt;MIN(OFFSET(V302,-MIN(p_FiLb-1,ROW()-5),0,MIN(p_FiLb-1,ROW()-5),1)),1,0)</f>
        <v>0</v>
      </c>
      <c r="BP302" s="44" t="n">
        <f aca="true">IF(COUNTIF(OFFSET(V302,1-MIN(100,ROW()-4),0,MIN(100,ROW()-4),1),"&lt;0")&gt;=5,AVERAGEIF(OFFSET(V302,1-MIN(100,ROW()-4),0,MIN(100,ROW()-4),1),"&lt;0"),"")</f>
        <v>-1030013.8094509</v>
      </c>
      <c r="BQ302" s="42" t="n">
        <f aca="false">IF(ISNUMBER(BP302),IF(AND(V302&lt;5*BP302,V302&gt;V301,E302&lt;AJ302),1,0),0)</f>
        <v>0</v>
      </c>
      <c r="BR302" s="44" t="n">
        <f aca="true">AVERAGE(OFFSET(F302,1-MIN(5,ROW()-4),0,MIN(5,ROW()-4),1))</f>
        <v>3139660</v>
      </c>
      <c r="BS302" s="42" t="n">
        <f aca="false">IFERROR(IF(MATCH(G302,周线!$A$5:$A$84,0)&lt;=1,"",INDEX(周线!$R$5:$R$84,MATCH(G302,周线!$A$5:$A$84,0)-1)),"")</f>
        <v>1</v>
      </c>
      <c r="BT302" s="42" t="n">
        <f aca="false">IFERROR(IF(MATCH(G302,周线!$A$5:$A$84,0)&lt;=1,"",INDEX(周线!$S$5:$S$84,MATCH(G302,周线!$A$5:$A$84,0)-1)),"")</f>
        <v>1</v>
      </c>
      <c r="BU302" s="42" t="n">
        <f aca="false">IFERROR(IF(MATCH(G302,周线!$A$5:$A$84,0)&lt;=1,"",INDEX(周线!$U$5:$U$84,MATCH(G302,周线!$A$5:$A$84,0)-1)),"")</f>
        <v>1</v>
      </c>
      <c r="BV302" s="42" t="n">
        <f aca="false">IF(AND(BS302=1,S302&lt;&gt;-1,V302&lt;0,BO302=1,E302&lt;=H302,E302&gt;=AJ302),1,0)</f>
        <v>0</v>
      </c>
      <c r="BW302" s="42" t="n">
        <f aca="false">BL302</f>
        <v>0</v>
      </c>
      <c r="BX302" s="42" t="n">
        <f aca="false">BQ302</f>
        <v>0</v>
      </c>
      <c r="BY302" s="42" t="n">
        <f aca="false">IF(BS302=1,10,0)+IF(BU302=1,5,IF(BU302=-1,0,3))+IF(BT302=1,5,0)+IF(AND(AE302&gt;AF302,AH302&gt;AH301),5,0)</f>
        <v>20</v>
      </c>
      <c r="BZ302" s="42" t="n">
        <f aca="false">IF(AND(E302&lt;=H302,E302&gt;=I302),10,IF(AND(E302&gt;=AJ302,E302&lt;I302),6,0))+IF(AND(V302&lt;0,BO302=1),8,0)+IF(AT302&lt;30,7,IF(AT302&lt;50,3,0))</f>
        <v>7</v>
      </c>
      <c r="CA302" s="42" t="n">
        <f aca="false">IF(AND(BV302=1,BW302=1),25,IF(BW302=1,22,IF(BV302=1,15,IF(BX302=1,12,0))))</f>
        <v>0</v>
      </c>
      <c r="CB302" s="42" t="n">
        <f aca="false">IF(W302&gt;0,6,0)+IF(F302&lt;BR302,4,0)</f>
        <v>6</v>
      </c>
      <c r="CC302" s="42" t="n">
        <f aca="false">IF(BC302&gt;=3,15,IF(BC302&gt;=p_RRmin,10,IF(BC302&gt;=1.5,4,0)))</f>
        <v>10</v>
      </c>
      <c r="CD302" s="42" t="n">
        <f aca="false">BY302+BZ302+CA302+CB302+CC302</f>
        <v>43</v>
      </c>
      <c r="CE302" s="42" t="n">
        <f aca="false">IF(AND(BS302&lt;&gt;1,BW302+BX302=0),1,0)</f>
        <v>0</v>
      </c>
      <c r="CF302" s="42" t="n">
        <f aca="false">IF(BU302=-1,1,0)</f>
        <v>0</v>
      </c>
      <c r="CG302" s="42" t="n">
        <f aca="false">IF(S302=-1,1,0)</f>
        <v>0</v>
      </c>
      <c r="CH302" s="42" t="n">
        <f aca="false">IF(BV302+BW302+BX302=0,1,0)</f>
        <v>1</v>
      </c>
      <c r="CI302" s="42" t="n">
        <f aca="false">IF(BC302&lt;p_RRmin,1,0)</f>
        <v>0</v>
      </c>
      <c r="CJ302" s="46" t="str">
        <f aca="false">IF(SUM(CE302:CI302)=0,IF(CD302&gt;=p_GradeA,"A",IF(CD302&gt;=p_GradeB,"B","C")),IF(AND(CI302=1,SUM(CE302:CH302)=0,CD302&gt;=p_GradeB),"B","C"))</f>
        <v>C</v>
      </c>
    </row>
    <row r="303" customFormat="false" ht="15" hidden="false" customHeight="false" outlineLevel="0" collapsed="false">
      <c r="A303" s="36" t="n">
        <v>46077</v>
      </c>
      <c r="B303" s="37" t="n">
        <v>30.01</v>
      </c>
      <c r="C303" s="37" t="n">
        <v>30.2</v>
      </c>
      <c r="D303" s="37" t="n">
        <v>29.63</v>
      </c>
      <c r="E303" s="37" t="n">
        <v>29.79</v>
      </c>
      <c r="F303" s="38" t="n">
        <v>4536700</v>
      </c>
      <c r="G303" s="39" t="n">
        <f aca="false">A303-WEEKDAY(A303,3)</f>
        <v>46076</v>
      </c>
      <c r="H303" s="40" t="n">
        <f aca="false">2/(p_EmaF+1)*E303+(1-2/(p_EmaF+1))*H302</f>
        <v>30.0811458992963</v>
      </c>
      <c r="I303" s="40" t="n">
        <f aca="false">2/(p_EmaS+1)*E303+(1-2/(p_EmaS+1))*I302</f>
        <v>29.5602442037759</v>
      </c>
      <c r="J303" s="41" t="n">
        <f aca="false">2/(p_MacdF+1)*E303+(1-2/(p_MacdF+1))*J302</f>
        <v>30.1273086916823</v>
      </c>
      <c r="K303" s="41" t="n">
        <f aca="false">2/(p_MacdS+1)*E303+(1-2/(p_MacdS+1))*K302</f>
        <v>29.5602442037759</v>
      </c>
      <c r="L303" s="41" t="n">
        <f aca="false">J303-K303</f>
        <v>0.567064487906375</v>
      </c>
      <c r="M303" s="41" t="n">
        <f aca="false">2/(p_MacdSig+1)*L303+(1-2/(p_MacdSig+1))*M302</f>
        <v>0.593641934739713</v>
      </c>
      <c r="N303" s="41" t="n">
        <f aca="false">L303-M303</f>
        <v>-0.0265774468333378</v>
      </c>
      <c r="O303" s="42" t="n">
        <f aca="false">IF(H303&gt;H302,1,0)</f>
        <v>0</v>
      </c>
      <c r="P303" s="42" t="n">
        <f aca="false">IF(H303&lt;H302,1,0)</f>
        <v>1</v>
      </c>
      <c r="Q303" s="42" t="n">
        <f aca="false">IF(N303&gt;N302,1,0)</f>
        <v>0</v>
      </c>
      <c r="R303" s="42" t="n">
        <f aca="false">IF(N303&lt;N302,1,0)</f>
        <v>1</v>
      </c>
      <c r="S303" s="42" t="n">
        <f aca="false">IF(AND(O303=1,Q303=1),1,IF(AND(P303=1,R303=1),-1,0))</f>
        <v>-1</v>
      </c>
      <c r="T303" s="43" t="str">
        <f aca="false">IF(S303=1,"绿",IF(S303=-1,"红","蓝"))</f>
        <v>红</v>
      </c>
      <c r="U303" s="44" t="n">
        <f aca="false">F303*(E303-E302)</f>
        <v>-1542478</v>
      </c>
      <c r="V303" s="44" t="n">
        <f aca="false">2/(p_FiS+1)*U303+(1-2/(p_FiS+1))*V302</f>
        <v>-1301957.18889743</v>
      </c>
      <c r="W303" s="44" t="n">
        <f aca="false">2/(p_FiL+1)*U303+(1-2/(p_FiL+1))*W302</f>
        <v>-71490.8080434732</v>
      </c>
      <c r="X303" s="41" t="n">
        <f aca="false">MAX(C303-D303,ABS(C303-E302),ABS(D303-E302))</f>
        <v>0.57</v>
      </c>
      <c r="Y303" s="41" t="n">
        <f aca="true">AVERAGE(OFFSET(X303,1-MIN(p_AtrN,ROW()-4),0,MIN(p_AtrN,ROW()-4),1))</f>
        <v>0.716923076923077</v>
      </c>
      <c r="Z303" s="41" t="n">
        <f aca="false">IF(AND(C303-C302&gt;D302-D303,C303-C302&gt;0),C303-C302,0)</f>
        <v>0</v>
      </c>
      <c r="AA303" s="41" t="n">
        <f aca="false">IF(AND(D302-D303&gt;C303-C302,D302-D303&gt;0),D302-D303,0)</f>
        <v>0.460000000000001</v>
      </c>
      <c r="AB303" s="41" t="n">
        <f aca="false">2/(p_AdxN+1)*X303+(1-2/(p_AdxN+1))*AB302</f>
        <v>0.615807986947682</v>
      </c>
      <c r="AC303" s="41" t="n">
        <f aca="false">2/(p_AdxN+1)*Z303+(1-2/(p_AdxN+1))*AC302</f>
        <v>0.130032969108467</v>
      </c>
      <c r="AD303" s="41" t="n">
        <f aca="false">2/(p_AdxN+1)*AA303+(1-2/(p_AdxN+1))*AD302</f>
        <v>0.13630571361848</v>
      </c>
      <c r="AE303" s="45" t="n">
        <f aca="false">100*AC303/AB303</f>
        <v>21.1158302367901</v>
      </c>
      <c r="AF303" s="45" t="n">
        <f aca="false">100*AD303/AB303</f>
        <v>22.1344504305788</v>
      </c>
      <c r="AG303" s="45" t="n">
        <f aca="false">IFERROR(100*ABS(AE303-AF303)/(AE303+AF303),0)</f>
        <v>2.35517591578842</v>
      </c>
      <c r="AH303" s="45" t="n">
        <f aca="false">2/(p_AdxN+1)*AG303+(1-2/(p_AdxN+1))*AH302</f>
        <v>42.5647214418357</v>
      </c>
      <c r="AI303" s="40" t="n">
        <f aca="false">I303*(1+p_ChPct)</f>
        <v>31.3338588560025</v>
      </c>
      <c r="AJ303" s="40" t="n">
        <f aca="false">I303*(1-p_ChPct)</f>
        <v>27.7866295515494</v>
      </c>
      <c r="AK303" s="40" t="n">
        <f aca="false">I303+1*Y303</f>
        <v>30.277167280699</v>
      </c>
      <c r="AL303" s="40" t="n">
        <f aca="false">I303+2*Y303</f>
        <v>30.9940903576221</v>
      </c>
      <c r="AM303" s="40" t="n">
        <f aca="false">I303+3*Y303</f>
        <v>31.7110134345452</v>
      </c>
      <c r="AN303" s="40" t="n">
        <f aca="false">I303-1*Y303</f>
        <v>28.8433211268528</v>
      </c>
      <c r="AO303" s="40" t="n">
        <f aca="false">I303-2*Y303</f>
        <v>28.1263980499298</v>
      </c>
      <c r="AP303" s="40" t="n">
        <f aca="false">I303-3*Y303</f>
        <v>27.4094749730067</v>
      </c>
      <c r="AQ303" s="40" t="n">
        <f aca="true">MAX(OFFSET(C303,1-MIN(p_StochN,ROW()-4),0,MIN(p_StochN,ROW()-4),1))</f>
        <v>30.89</v>
      </c>
      <c r="AR303" s="40" t="n">
        <f aca="true">MIN(OFFSET(D303,1-MIN(p_StochN,ROW()-4),0,MIN(p_StochN,ROW()-4),1))</f>
        <v>29.63</v>
      </c>
      <c r="AS303" s="45" t="n">
        <f aca="false">IF(AQ303=AR303,50,100*(E303-AR303)/(AQ303-AR303))</f>
        <v>12.6984126984127</v>
      </c>
      <c r="AT303" s="45" t="n">
        <f aca="true">AVERAGE(OFFSET(AS303,1-MIN(p_StochSm,ROW()-4),0,MIN(p_StochSm,ROW()-4),1))</f>
        <v>13.2353617775612</v>
      </c>
      <c r="AU303" s="45" t="n">
        <f aca="true">AVERAGE(OFFSET(AT303,1-MIN(p_StochSm,ROW()-4),0,MIN(p_StochSm,ROW()-4),1))</f>
        <v>15.8288599443447</v>
      </c>
      <c r="AV303" s="41" t="n">
        <f aca="false">MAX(0,H303-D303)</f>
        <v>0.451145899296332</v>
      </c>
      <c r="AW303" s="41" t="n">
        <f aca="true">IF(COUNTIF(OFFSET(AV303,1-MIN(p_PenLb,ROW()-4),0,MIN(p_PenLb,ROW()-4),1),"&gt;0")&gt;0,SUM(OFFSET(AV303,1-MIN(p_PenLb,ROW()-4),0,MIN(p_PenLb,ROW()-4),1))/COUNTIF(OFFSET(AV303,1-MIN(p_PenLb,ROW()-4),0,MIN(p_PenLb,ROW()-4),1),"&gt;0"),0.5*Y303)</f>
        <v>0.662802653161455</v>
      </c>
      <c r="AX303" s="41" t="n">
        <f aca="false">2*H303-H302</f>
        <v>30.0326215827469</v>
      </c>
      <c r="AY303" s="40" t="n">
        <f aca="false">ROUND(MAX(AX303-AW303,0.01),2)</f>
        <v>29.37</v>
      </c>
      <c r="AZ303" s="40" t="n">
        <f aca="true">IF(MIN(p_StopLb,ROW()-4)&lt;2,D303,SMALL(OFFSET(D303,1-MIN(p_StopLb,ROW()-4),0,MIN(p_StopLb,ROW()-4),1),2))</f>
        <v>29.63</v>
      </c>
      <c r="BA303" s="40" t="n">
        <f aca="false">IF(MOD(ROUND(ROUNDDOWN(MIN(AZ303-0.01,AY303-p_StopAtr*Y303),2)*100,0),50)=0,ROUNDDOWN(MIN(AZ303-0.01,AY303-p_StopAtr*Y303),2)-0.01,ROUNDDOWN(MIN(AZ303-0.01,AY303-p_StopAtr*Y303),2))</f>
        <v>28.65</v>
      </c>
      <c r="BB303" s="40" t="n">
        <f aca="false">ROUND(AI303,2)</f>
        <v>31.33</v>
      </c>
      <c r="BC303" s="40" t="n">
        <f aca="false">IF(AY303-BA303&gt;0,(BB303-AY303)/(AY303-BA303),0)</f>
        <v>2.72222222222221</v>
      </c>
      <c r="BD303" s="42" t="n">
        <f aca="false">IF(N303&lt;0,1,0)</f>
        <v>1</v>
      </c>
      <c r="BE303" s="41" t="n">
        <f aca="false">IF(AND(BD303=1,BD302=0),N303,IF(BD303=1,MIN(BE302,N303),BE302))</f>
        <v>-0.0265774468333378</v>
      </c>
      <c r="BF303" s="40" t="n">
        <f aca="false">IF(AND(BD303=1,BD302=0),D303,IF(BD303=1,MIN(BF302,D303),BF302))</f>
        <v>29.63</v>
      </c>
      <c r="BG303" s="42" t="n">
        <f aca="false">IF(AND(BD303=1,BD302=0),ROW(),IF(BD303=1,IF(N303&lt;BE302,ROW(),BG302),BG302))</f>
        <v>303</v>
      </c>
      <c r="BH303" s="41" t="n">
        <f aca="false">IF(AND(BD303=1,BD302=0),BE302,BH302)</f>
        <v>-0.356654552541767</v>
      </c>
      <c r="BI303" s="40" t="n">
        <f aca="false">IF(AND(BD303=1,BD302=0),BF302,BI302)</f>
        <v>25.91</v>
      </c>
      <c r="BJ303" s="42" t="n">
        <f aca="false">IF(AND(BD303=1,BD302=0),BG302,BJ302)</f>
        <v>261</v>
      </c>
      <c r="BK303" s="42" t="n">
        <f aca="false">IF(AND(ISNUMBER(BG303),ISNUMBER(BJ303)),BG303-BJ303,"")</f>
        <v>42</v>
      </c>
      <c r="BL303" s="42" t="n">
        <f aca="false">IF(AND(BD303=1,N303&gt;N302,ISNUMBER(BH303),ISNUMBER(BK303)),IF(AND(BE303&gt;BH303,BF303&lt;BI303,BK303&gt;=p_GapMin,BK303&lt;=p_GapMax),1,0),0)</f>
        <v>0</v>
      </c>
      <c r="BM303" s="42" t="n">
        <f aca="false">IF(AND(BL303=1,E303&gt;BI303),1,0)</f>
        <v>0</v>
      </c>
      <c r="BN303" s="42" t="n">
        <f aca="false">IF(BL303=1,IF(BE303&gt;=BH303*0.5,1,0),0)</f>
        <v>0</v>
      </c>
      <c r="BO303" s="42" t="n">
        <f aca="true">IF(V303&gt;MIN(OFFSET(V303,-MIN(p_FiLb-1,ROW()-5),0,MIN(p_FiLb-1,ROW()-5),1)),1,0)</f>
        <v>0</v>
      </c>
      <c r="BP303" s="44" t="n">
        <f aca="true">IF(COUNTIF(OFFSET(V303,1-MIN(100,ROW()-4),0,MIN(100,ROW()-4),1),"&lt;0")&gt;=5,AVERAGEIF(OFFSET(V303,1-MIN(100,ROW()-4),0,MIN(100,ROW()-4),1),"&lt;0"),"")</f>
        <v>-1035679.2965227</v>
      </c>
      <c r="BQ303" s="42" t="n">
        <f aca="false">IF(ISNUMBER(BP303),IF(AND(V303&lt;5*BP303,V303&gt;V302,E303&lt;AJ303),1,0),0)</f>
        <v>0</v>
      </c>
      <c r="BR303" s="44" t="n">
        <f aca="true">AVERAGE(OFFSET(F303,1-MIN(5,ROW()-4),0,MIN(5,ROW()-4),1))</f>
        <v>3254320</v>
      </c>
      <c r="BS303" s="42" t="n">
        <f aca="false">IFERROR(IF(MATCH(G303,周线!$A$5:$A$84,0)&lt;=1,"",INDEX(周线!$R$5:$R$84,MATCH(G303,周线!$A$5:$A$84,0)-1)),"")</f>
        <v>1</v>
      </c>
      <c r="BT303" s="42" t="n">
        <f aca="false">IFERROR(IF(MATCH(G303,周线!$A$5:$A$84,0)&lt;=1,"",INDEX(周线!$S$5:$S$84,MATCH(G303,周线!$A$5:$A$84,0)-1)),"")</f>
        <v>1</v>
      </c>
      <c r="BU303" s="42" t="n">
        <f aca="false">IFERROR(IF(MATCH(G303,周线!$A$5:$A$84,0)&lt;=1,"",INDEX(周线!$U$5:$U$84,MATCH(G303,周线!$A$5:$A$84,0)-1)),"")</f>
        <v>1</v>
      </c>
      <c r="BV303" s="42" t="n">
        <f aca="false">IF(AND(BS303=1,S303&lt;&gt;-1,V303&lt;0,BO303=1,E303&lt;=H303,E303&gt;=AJ303),1,0)</f>
        <v>0</v>
      </c>
      <c r="BW303" s="42" t="n">
        <f aca="false">BL303</f>
        <v>0</v>
      </c>
      <c r="BX303" s="42" t="n">
        <f aca="false">BQ303</f>
        <v>0</v>
      </c>
      <c r="BY303" s="42" t="n">
        <f aca="false">IF(BS303=1,10,0)+IF(BU303=1,5,IF(BU303=-1,0,3))+IF(BT303=1,5,0)+IF(AND(AE303&gt;AF303,AH303&gt;AH302),5,0)</f>
        <v>20</v>
      </c>
      <c r="BZ303" s="42" t="n">
        <f aca="false">IF(AND(E303&lt;=H303,E303&gt;=I303),10,IF(AND(E303&gt;=AJ303,E303&lt;I303),6,0))+IF(AND(V303&lt;0,BO303=1),8,0)+IF(AT303&lt;30,7,IF(AT303&lt;50,3,0))</f>
        <v>17</v>
      </c>
      <c r="CA303" s="42" t="n">
        <f aca="false">IF(AND(BV303=1,BW303=1),25,IF(BW303=1,22,IF(BV303=1,15,IF(BX303=1,12,0))))</f>
        <v>0</v>
      </c>
      <c r="CB303" s="42" t="n">
        <f aca="false">IF(W303&gt;0,6,0)+IF(F303&lt;BR303,4,0)</f>
        <v>0</v>
      </c>
      <c r="CC303" s="42" t="n">
        <f aca="false">IF(BC303&gt;=3,15,IF(BC303&gt;=p_RRmin,10,IF(BC303&gt;=1.5,4,0)))</f>
        <v>10</v>
      </c>
      <c r="CD303" s="42" t="n">
        <f aca="false">BY303+BZ303+CA303+CB303+CC303</f>
        <v>47</v>
      </c>
      <c r="CE303" s="42" t="n">
        <f aca="false">IF(AND(BS303&lt;&gt;1,BW303+BX303=0),1,0)</f>
        <v>0</v>
      </c>
      <c r="CF303" s="42" t="n">
        <f aca="false">IF(BU303=-1,1,0)</f>
        <v>0</v>
      </c>
      <c r="CG303" s="42" t="n">
        <f aca="false">IF(S303=-1,1,0)</f>
        <v>1</v>
      </c>
      <c r="CH303" s="42" t="n">
        <f aca="false">IF(BV303+BW303+BX303=0,1,0)</f>
        <v>1</v>
      </c>
      <c r="CI303" s="42" t="n">
        <f aca="false">IF(BC303&lt;p_RRmin,1,0)</f>
        <v>0</v>
      </c>
      <c r="CJ303" s="46" t="str">
        <f aca="false">IF(SUM(CE303:CI303)=0,IF(CD303&gt;=p_GradeA,"A",IF(CD303&gt;=p_GradeB,"B","C")),IF(AND(CI303=1,SUM(CE303:CH303)=0,CD303&gt;=p_GradeB),"B","C"))</f>
        <v>C</v>
      </c>
    </row>
    <row r="304" customFormat="false" ht="15" hidden="false" customHeight="false" outlineLevel="0" collapsed="false">
      <c r="A304" s="36" t="n">
        <v>46078</v>
      </c>
      <c r="B304" s="37" t="n">
        <v>29.56</v>
      </c>
      <c r="C304" s="37" t="n">
        <v>30.01</v>
      </c>
      <c r="D304" s="37" t="n">
        <v>29.31</v>
      </c>
      <c r="E304" s="37" t="n">
        <v>29.75</v>
      </c>
      <c r="F304" s="38" t="n">
        <v>3419900</v>
      </c>
      <c r="G304" s="39" t="n">
        <f aca="false">A304-WEEKDAY(A304,3)</f>
        <v>46076</v>
      </c>
      <c r="H304" s="40" t="n">
        <f aca="false">2/(p_EmaF+1)*E304+(1-2/(p_EmaF+1))*H303</f>
        <v>30.033839342254</v>
      </c>
      <c r="I304" s="40" t="n">
        <f aca="false">2/(p_EmaS+1)*E304+(1-2/(p_EmaS+1))*I303</f>
        <v>29.5743001886814</v>
      </c>
      <c r="J304" s="41" t="n">
        <f aca="false">2/(p_MacdF+1)*E304+(1-2/(p_MacdF+1))*J303</f>
        <v>30.0692612006543</v>
      </c>
      <c r="K304" s="41" t="n">
        <f aca="false">2/(p_MacdS+1)*E304+(1-2/(p_MacdS+1))*K303</f>
        <v>29.5743001886814</v>
      </c>
      <c r="L304" s="41" t="n">
        <f aca="false">J304-K304</f>
        <v>0.494961011972844</v>
      </c>
      <c r="M304" s="41" t="n">
        <f aca="false">2/(p_MacdSig+1)*L304+(1-2/(p_MacdSig+1))*M303</f>
        <v>0.573905750186339</v>
      </c>
      <c r="N304" s="41" t="n">
        <f aca="false">L304-M304</f>
        <v>-0.0789447382134951</v>
      </c>
      <c r="O304" s="42" t="n">
        <f aca="false">IF(H304&gt;H303,1,0)</f>
        <v>0</v>
      </c>
      <c r="P304" s="42" t="n">
        <f aca="false">IF(H304&lt;H303,1,0)</f>
        <v>1</v>
      </c>
      <c r="Q304" s="42" t="n">
        <f aca="false">IF(N304&gt;N303,1,0)</f>
        <v>0</v>
      </c>
      <c r="R304" s="42" t="n">
        <f aca="false">IF(N304&lt;N303,1,0)</f>
        <v>1</v>
      </c>
      <c r="S304" s="42" t="n">
        <f aca="false">IF(AND(O304=1,Q304=1),1,IF(AND(P304=1,R304=1),-1,0))</f>
        <v>-1</v>
      </c>
      <c r="T304" s="43" t="str">
        <f aca="false">IF(S304=1,"绿",IF(S304=-1,"红","蓝"))</f>
        <v>红</v>
      </c>
      <c r="U304" s="44" t="n">
        <f aca="false">F304*(E304-E303)</f>
        <v>-136795.999999997</v>
      </c>
      <c r="V304" s="44" t="n">
        <f aca="false">2/(p_FiS+1)*U304+(1-2/(p_FiS+1))*V303</f>
        <v>-525183.062965807</v>
      </c>
      <c r="W304" s="44" t="n">
        <f aca="false">2/(p_FiL+1)*U304+(1-2/(p_FiL+1))*W303</f>
        <v>-80820.1211801194</v>
      </c>
      <c r="X304" s="41" t="n">
        <f aca="false">MAX(C304-D304,ABS(C304-E303),ABS(D304-E303))</f>
        <v>0.700000000000003</v>
      </c>
      <c r="Y304" s="41" t="n">
        <f aca="true">AVERAGE(OFFSET(X304,1-MIN(p_AtrN,ROW()-4),0,MIN(p_AtrN,ROW()-4),1))</f>
        <v>0.722307692307693</v>
      </c>
      <c r="Z304" s="41" t="n">
        <f aca="false">IF(AND(C304-C303&gt;D303-D304,C304-C303&gt;0),C304-C303,0)</f>
        <v>0</v>
      </c>
      <c r="AA304" s="41" t="n">
        <f aca="false">IF(AND(D303-D304&gt;C304-C303,D303-D304&gt;0),D303-D304,0)</f>
        <v>0.32</v>
      </c>
      <c r="AB304" s="41" t="n">
        <f aca="false">2/(p_AdxN+1)*X304+(1-2/(p_AdxN+1))*AB303</f>
        <v>0.627835417383728</v>
      </c>
      <c r="AC304" s="41" t="n">
        <f aca="false">2/(p_AdxN+1)*Z304+(1-2/(p_AdxN+1))*AC303</f>
        <v>0.1114568306644</v>
      </c>
      <c r="AD304" s="41" t="n">
        <f aca="false">2/(p_AdxN+1)*AA304+(1-2/(p_AdxN+1))*AD303</f>
        <v>0.162547754530126</v>
      </c>
      <c r="AE304" s="45" t="n">
        <f aca="false">100*AC304/AB304</f>
        <v>17.752555459336</v>
      </c>
      <c r="AF304" s="45" t="n">
        <f aca="false">100*AD304/AB304</f>
        <v>25.8901855533228</v>
      </c>
      <c r="AG304" s="45" t="n">
        <f aca="false">IFERROR(100*ABS(AE304-AF304)/(AE304+AF304),0)</f>
        <v>18.6460105510476</v>
      </c>
      <c r="AH304" s="45" t="n">
        <f aca="false">2/(p_AdxN+1)*AG304+(1-2/(p_AdxN+1))*AH303</f>
        <v>39.1477627431517</v>
      </c>
      <c r="AI304" s="40" t="n">
        <f aca="false">I304*(1+p_ChPct)</f>
        <v>31.3487582000023</v>
      </c>
      <c r="AJ304" s="40" t="n">
        <f aca="false">I304*(1-p_ChPct)</f>
        <v>27.7998421773605</v>
      </c>
      <c r="AK304" s="40" t="n">
        <f aca="false">I304+1*Y304</f>
        <v>30.2966078809891</v>
      </c>
      <c r="AL304" s="40" t="n">
        <f aca="false">I304+2*Y304</f>
        <v>31.0189155732968</v>
      </c>
      <c r="AM304" s="40" t="n">
        <f aca="false">I304+3*Y304</f>
        <v>31.7412232656045</v>
      </c>
      <c r="AN304" s="40" t="n">
        <f aca="false">I304-1*Y304</f>
        <v>28.8519924963737</v>
      </c>
      <c r="AO304" s="40" t="n">
        <f aca="false">I304-2*Y304</f>
        <v>28.129684804066</v>
      </c>
      <c r="AP304" s="40" t="n">
        <f aca="false">I304-3*Y304</f>
        <v>27.4073771117583</v>
      </c>
      <c r="AQ304" s="40" t="n">
        <f aca="true">MAX(OFFSET(C304,1-MIN(p_StochN,ROW()-4),0,MIN(p_StochN,ROW()-4),1))</f>
        <v>30.85</v>
      </c>
      <c r="AR304" s="40" t="n">
        <f aca="true">MIN(OFFSET(D304,1-MIN(p_StochN,ROW()-4),0,MIN(p_StochN,ROW()-4),1))</f>
        <v>29.31</v>
      </c>
      <c r="AS304" s="45" t="n">
        <f aca="false">IF(AQ304=AR304,50,100*(E304-AR304)/(AQ304-AR304))</f>
        <v>28.5714285714286</v>
      </c>
      <c r="AT304" s="45" t="n">
        <f aca="true">AVERAGE(OFFSET(AS304,1-MIN(p_StochSm,ROW()-4),0,MIN(p_StochSm,ROW()-4),1))</f>
        <v>14.9160340464688</v>
      </c>
      <c r="AU304" s="45" t="n">
        <f aca="true">AVERAGE(OFFSET(AT304,1-MIN(p_StochSm,ROW()-4),0,MIN(p_StochSm,ROW()-4),1))</f>
        <v>14.3811789007068</v>
      </c>
      <c r="AV304" s="41" t="n">
        <f aca="false">MAX(0,H304-D304)</f>
        <v>0.723839342254003</v>
      </c>
      <c r="AW304" s="41" t="n">
        <f aca="true">IF(COUNTIF(OFFSET(AV304,1-MIN(p_PenLb,ROW()-4),0,MIN(p_PenLb,ROW()-4),1),"&gt;0")&gt;0,SUM(OFFSET(AV304,1-MIN(p_PenLb,ROW()-4),0,MIN(p_PenLb,ROW()-4),1))/COUNTIF(OFFSET(AV304,1-MIN(p_PenLb,ROW()-4),0,MIN(p_PenLb,ROW()-4),1),"&gt;0"),0.5*Y304)</f>
        <v>0.574397318955896</v>
      </c>
      <c r="AX304" s="41" t="n">
        <f aca="false">2*H304-H303</f>
        <v>29.9865327852117</v>
      </c>
      <c r="AY304" s="40" t="n">
        <f aca="false">ROUND(MAX(AX304-AW304,0.01),2)</f>
        <v>29.41</v>
      </c>
      <c r="AZ304" s="40" t="n">
        <f aca="true">IF(MIN(p_StopLb,ROW()-4)&lt;2,D304,SMALL(OFFSET(D304,1-MIN(p_StopLb,ROW()-4),0,MIN(p_StopLb,ROW()-4),1),2))</f>
        <v>29.63</v>
      </c>
      <c r="BA304" s="40" t="n">
        <f aca="false">IF(MOD(ROUND(ROUNDDOWN(MIN(AZ304-0.01,AY304-p_StopAtr*Y304),2)*100,0),50)=0,ROUNDDOWN(MIN(AZ304-0.01,AY304-p_StopAtr*Y304),2)-0.01,ROUNDDOWN(MIN(AZ304-0.01,AY304-p_StopAtr*Y304),2))</f>
        <v>28.68</v>
      </c>
      <c r="BB304" s="40" t="n">
        <f aca="false">ROUND(AI304,2)</f>
        <v>31.35</v>
      </c>
      <c r="BC304" s="40" t="n">
        <f aca="false">IF(AY304-BA304&gt;0,(BB304-AY304)/(AY304-BA304),0)</f>
        <v>2.65753424657534</v>
      </c>
      <c r="BD304" s="42" t="n">
        <f aca="false">IF(N304&lt;0,1,0)</f>
        <v>1</v>
      </c>
      <c r="BE304" s="41" t="n">
        <f aca="false">IF(AND(BD304=1,BD303=0),N304,IF(BD304=1,MIN(BE303,N304),BE303))</f>
        <v>-0.0789447382134951</v>
      </c>
      <c r="BF304" s="40" t="n">
        <f aca="false">IF(AND(BD304=1,BD303=0),D304,IF(BD304=1,MIN(BF303,D304),BF303))</f>
        <v>29.31</v>
      </c>
      <c r="BG304" s="42" t="n">
        <f aca="false">IF(AND(BD304=1,BD303=0),ROW(),IF(BD304=1,IF(N304&lt;BE303,ROW(),BG303),BG303))</f>
        <v>304</v>
      </c>
      <c r="BH304" s="41" t="n">
        <f aca="false">IF(AND(BD304=1,BD303=0),BE303,BH303)</f>
        <v>-0.356654552541767</v>
      </c>
      <c r="BI304" s="40" t="n">
        <f aca="false">IF(AND(BD304=1,BD303=0),BF303,BI303)</f>
        <v>25.91</v>
      </c>
      <c r="BJ304" s="42" t="n">
        <f aca="false">IF(AND(BD304=1,BD303=0),BG303,BJ303)</f>
        <v>261</v>
      </c>
      <c r="BK304" s="42" t="n">
        <f aca="false">IF(AND(ISNUMBER(BG304),ISNUMBER(BJ304)),BG304-BJ304,"")</f>
        <v>43</v>
      </c>
      <c r="BL304" s="42" t="n">
        <f aca="false">IF(AND(BD304=1,N304&gt;N303,ISNUMBER(BH304),ISNUMBER(BK304)),IF(AND(BE304&gt;BH304,BF304&lt;BI304,BK304&gt;=p_GapMin,BK304&lt;=p_GapMax),1,0),0)</f>
        <v>0</v>
      </c>
      <c r="BM304" s="42" t="n">
        <f aca="false">IF(AND(BL304=1,E304&gt;BI304),1,0)</f>
        <v>0</v>
      </c>
      <c r="BN304" s="42" t="n">
        <f aca="false">IF(BL304=1,IF(BE304&gt;=BH304*0.5,1,0),0)</f>
        <v>0</v>
      </c>
      <c r="BO304" s="42" t="n">
        <f aca="true">IF(V304&gt;MIN(OFFSET(V304,-MIN(p_FiLb-1,ROW()-5),0,MIN(p_FiLb-1,ROW()-5),1)),1,0)</f>
        <v>1</v>
      </c>
      <c r="BP304" s="44" t="n">
        <f aca="true">IF(COUNTIF(OFFSET(V304,1-MIN(100,ROW()-4),0,MIN(100,ROW()-4),1),"&lt;0")&gt;=5,AVERAGEIF(OFFSET(V304,1-MIN(100,ROW()-4),0,MIN(100,ROW()-4),1),"&lt;0"),"")</f>
        <v>-1025261.00604195</v>
      </c>
      <c r="BQ304" s="42" t="n">
        <f aca="false">IF(ISNUMBER(BP304),IF(AND(V304&lt;5*BP304,V304&gt;V303,E304&lt;AJ304),1,0),0)</f>
        <v>0</v>
      </c>
      <c r="BR304" s="44" t="n">
        <f aca="true">AVERAGE(OFFSET(F304,1-MIN(5,ROW()-4),0,MIN(5,ROW()-4),1))</f>
        <v>3352100</v>
      </c>
      <c r="BS304" s="42" t="n">
        <f aca="false">IFERROR(IF(MATCH(G304,周线!$A$5:$A$84,0)&lt;=1,"",INDEX(周线!$R$5:$R$84,MATCH(G304,周线!$A$5:$A$84,0)-1)),"")</f>
        <v>1</v>
      </c>
      <c r="BT304" s="42" t="n">
        <f aca="false">IFERROR(IF(MATCH(G304,周线!$A$5:$A$84,0)&lt;=1,"",INDEX(周线!$S$5:$S$84,MATCH(G304,周线!$A$5:$A$84,0)-1)),"")</f>
        <v>1</v>
      </c>
      <c r="BU304" s="42" t="n">
        <f aca="false">IFERROR(IF(MATCH(G304,周线!$A$5:$A$84,0)&lt;=1,"",INDEX(周线!$U$5:$U$84,MATCH(G304,周线!$A$5:$A$84,0)-1)),"")</f>
        <v>1</v>
      </c>
      <c r="BV304" s="42" t="n">
        <f aca="false">IF(AND(BS304=1,S304&lt;&gt;-1,V304&lt;0,BO304=1,E304&lt;=H304,E304&gt;=AJ304),1,0)</f>
        <v>0</v>
      </c>
      <c r="BW304" s="42" t="n">
        <f aca="false">BL304</f>
        <v>0</v>
      </c>
      <c r="BX304" s="42" t="n">
        <f aca="false">BQ304</f>
        <v>0</v>
      </c>
      <c r="BY304" s="42" t="n">
        <f aca="false">IF(BS304=1,10,0)+IF(BU304=1,5,IF(BU304=-1,0,3))+IF(BT304=1,5,0)+IF(AND(AE304&gt;AF304,AH304&gt;AH303),5,0)</f>
        <v>20</v>
      </c>
      <c r="BZ304" s="42" t="n">
        <f aca="false">IF(AND(E304&lt;=H304,E304&gt;=I304),10,IF(AND(E304&gt;=AJ304,E304&lt;I304),6,0))+IF(AND(V304&lt;0,BO304=1),8,0)+IF(AT304&lt;30,7,IF(AT304&lt;50,3,0))</f>
        <v>25</v>
      </c>
      <c r="CA304" s="42" t="n">
        <f aca="false">IF(AND(BV304=1,BW304=1),25,IF(BW304=1,22,IF(BV304=1,15,IF(BX304=1,12,0))))</f>
        <v>0</v>
      </c>
      <c r="CB304" s="42" t="n">
        <f aca="false">IF(W304&gt;0,6,0)+IF(F304&lt;BR304,4,0)</f>
        <v>0</v>
      </c>
      <c r="CC304" s="42" t="n">
        <f aca="false">IF(BC304&gt;=3,15,IF(BC304&gt;=p_RRmin,10,IF(BC304&gt;=1.5,4,0)))</f>
        <v>10</v>
      </c>
      <c r="CD304" s="42" t="n">
        <f aca="false">BY304+BZ304+CA304+CB304+CC304</f>
        <v>55</v>
      </c>
      <c r="CE304" s="42" t="n">
        <f aca="false">IF(AND(BS304&lt;&gt;1,BW304+BX304=0),1,0)</f>
        <v>0</v>
      </c>
      <c r="CF304" s="42" t="n">
        <f aca="false">IF(BU304=-1,1,0)</f>
        <v>0</v>
      </c>
      <c r="CG304" s="42" t="n">
        <f aca="false">IF(S304=-1,1,0)</f>
        <v>1</v>
      </c>
      <c r="CH304" s="42" t="n">
        <f aca="false">IF(BV304+BW304+BX304=0,1,0)</f>
        <v>1</v>
      </c>
      <c r="CI304" s="42" t="n">
        <f aca="false">IF(BC304&lt;p_RRmin,1,0)</f>
        <v>0</v>
      </c>
      <c r="CJ304" s="46" t="str">
        <f aca="false">IF(SUM(CE304:CI304)=0,IF(CD304&gt;=p_GradeA,"A",IF(CD304&gt;=p_GradeB,"B","C")),IF(AND(CI304=1,SUM(CE304:CH304)=0,CD304&gt;=p_GradeB),"B","C"))</f>
        <v>C</v>
      </c>
    </row>
    <row r="305" customFormat="false" ht="15" hidden="false" customHeight="false" outlineLevel="0" collapsed="false">
      <c r="A305" s="36" t="n">
        <v>46079</v>
      </c>
      <c r="B305" s="37" t="n">
        <v>29.71</v>
      </c>
      <c r="C305" s="37" t="n">
        <v>29.94</v>
      </c>
      <c r="D305" s="37" t="n">
        <v>29.33</v>
      </c>
      <c r="E305" s="37" t="n">
        <v>29.65</v>
      </c>
      <c r="F305" s="38" t="n">
        <v>3315400</v>
      </c>
      <c r="G305" s="39" t="n">
        <f aca="false">A305-WEEKDAY(A305,3)</f>
        <v>46076</v>
      </c>
      <c r="H305" s="40" t="n">
        <f aca="false">2/(p_EmaF+1)*E305+(1-2/(p_EmaF+1))*H304</f>
        <v>29.9790051505034</v>
      </c>
      <c r="I305" s="40" t="n">
        <f aca="false">2/(p_EmaS+1)*E305+(1-2/(p_EmaS+1))*I304</f>
        <v>29.5799075821124</v>
      </c>
      <c r="J305" s="41" t="n">
        <f aca="false">2/(p_MacdF+1)*E305+(1-2/(p_MacdF+1))*J304</f>
        <v>30.0047594774767</v>
      </c>
      <c r="K305" s="41" t="n">
        <f aca="false">2/(p_MacdS+1)*E305+(1-2/(p_MacdS+1))*K304</f>
        <v>29.5799075821124</v>
      </c>
      <c r="L305" s="41" t="n">
        <f aca="false">J305-K305</f>
        <v>0.42485189536426</v>
      </c>
      <c r="M305" s="41" t="n">
        <f aca="false">2/(p_MacdSig+1)*L305+(1-2/(p_MacdSig+1))*M304</f>
        <v>0.544094979221923</v>
      </c>
      <c r="N305" s="41" t="n">
        <f aca="false">L305-M305</f>
        <v>-0.119243083857664</v>
      </c>
      <c r="O305" s="42" t="n">
        <f aca="false">IF(H305&gt;H304,1,0)</f>
        <v>0</v>
      </c>
      <c r="P305" s="42" t="n">
        <f aca="false">IF(H305&lt;H304,1,0)</f>
        <v>1</v>
      </c>
      <c r="Q305" s="42" t="n">
        <f aca="false">IF(N305&gt;N304,1,0)</f>
        <v>0</v>
      </c>
      <c r="R305" s="42" t="n">
        <f aca="false">IF(N305&lt;N304,1,0)</f>
        <v>1</v>
      </c>
      <c r="S305" s="42" t="n">
        <f aca="false">IF(AND(O305=1,Q305=1),1,IF(AND(P305=1,R305=1),-1,0))</f>
        <v>-1</v>
      </c>
      <c r="T305" s="43" t="str">
        <f aca="false">IF(S305=1,"绿",IF(S305=-1,"红","蓝"))</f>
        <v>红</v>
      </c>
      <c r="U305" s="44" t="n">
        <f aca="false">F305*(E305-E304)</f>
        <v>-331540.000000005</v>
      </c>
      <c r="V305" s="44" t="n">
        <f aca="false">2/(p_FiS+1)*U305+(1-2/(p_FiS+1))*V304</f>
        <v>-396087.687655272</v>
      </c>
      <c r="W305" s="44" t="n">
        <f aca="false">2/(p_FiL+1)*U305+(1-2/(p_FiL+1))*W304</f>
        <v>-116637.246725817</v>
      </c>
      <c r="X305" s="41" t="n">
        <f aca="false">MAX(C305-D305,ABS(C305-E304),ABS(D305-E304))</f>
        <v>0.610000000000003</v>
      </c>
      <c r="Y305" s="41" t="n">
        <f aca="true">AVERAGE(OFFSET(X305,1-MIN(p_AtrN,ROW()-4),0,MIN(p_AtrN,ROW()-4),1))</f>
        <v>0.712307692307693</v>
      </c>
      <c r="Z305" s="41" t="n">
        <f aca="false">IF(AND(C305-C304&gt;D304-D305,C305-C304&gt;0),C305-C304,0)</f>
        <v>0</v>
      </c>
      <c r="AA305" s="41" t="n">
        <f aca="false">IF(AND(D304-D305&gt;C305-C304,D304-D305&gt;0),D304-D305,0)</f>
        <v>0</v>
      </c>
      <c r="AB305" s="41" t="n">
        <f aca="false">2/(p_AdxN+1)*X305+(1-2/(p_AdxN+1))*AB304</f>
        <v>0.625287500614625</v>
      </c>
      <c r="AC305" s="41" t="n">
        <f aca="false">2/(p_AdxN+1)*Z305+(1-2/(p_AdxN+1))*AC304</f>
        <v>0.0955344262837716</v>
      </c>
      <c r="AD305" s="41" t="n">
        <f aca="false">2/(p_AdxN+1)*AA305+(1-2/(p_AdxN+1))*AD304</f>
        <v>0.139326646740108</v>
      </c>
      <c r="AE305" s="45" t="n">
        <f aca="false">100*AC305/AB305</f>
        <v>15.2784800895374</v>
      </c>
      <c r="AF305" s="45" t="n">
        <f aca="false">100*AD305/AB305</f>
        <v>22.2820137301893</v>
      </c>
      <c r="AG305" s="45" t="n">
        <f aca="false">IFERROR(100*ABS(AE305-AF305)/(AE305+AF305),0)</f>
        <v>18.6460105510476</v>
      </c>
      <c r="AH305" s="45" t="n">
        <f aca="false">2/(p_AdxN+1)*AG305+(1-2/(p_AdxN+1))*AH304</f>
        <v>36.2189410014226</v>
      </c>
      <c r="AI305" s="40" t="n">
        <f aca="false">I305*(1+p_ChPct)</f>
        <v>31.3547020370392</v>
      </c>
      <c r="AJ305" s="40" t="n">
        <f aca="false">I305*(1-p_ChPct)</f>
        <v>27.8051131271857</v>
      </c>
      <c r="AK305" s="40" t="n">
        <f aca="false">I305+1*Y305</f>
        <v>30.2922152744201</v>
      </c>
      <c r="AL305" s="40" t="n">
        <f aca="false">I305+2*Y305</f>
        <v>31.0045229667278</v>
      </c>
      <c r="AM305" s="40" t="n">
        <f aca="false">I305+3*Y305</f>
        <v>31.7168306590355</v>
      </c>
      <c r="AN305" s="40" t="n">
        <f aca="false">I305-1*Y305</f>
        <v>28.8675998898047</v>
      </c>
      <c r="AO305" s="40" t="n">
        <f aca="false">I305-2*Y305</f>
        <v>28.155292197497</v>
      </c>
      <c r="AP305" s="40" t="n">
        <f aca="false">I305-3*Y305</f>
        <v>27.4429845051893</v>
      </c>
      <c r="AQ305" s="40" t="n">
        <f aca="true">MAX(OFFSET(C305,1-MIN(p_StochN,ROW()-4),0,MIN(p_StochN,ROW()-4),1))</f>
        <v>30.85</v>
      </c>
      <c r="AR305" s="40" t="n">
        <f aca="true">MIN(OFFSET(D305,1-MIN(p_StochN,ROW()-4),0,MIN(p_StochN,ROW()-4),1))</f>
        <v>29.31</v>
      </c>
      <c r="AS305" s="45" t="n">
        <f aca="false">IF(AQ305=AR305,50,100*(E305-AR305)/(AQ305-AR305))</f>
        <v>22.077922077922</v>
      </c>
      <c r="AT305" s="45" t="n">
        <f aca="true">AVERAGE(OFFSET(AS305,1-MIN(p_StochSm,ROW()-4),0,MIN(p_StochSm,ROW()-4),1))</f>
        <v>21.1159211159211</v>
      </c>
      <c r="AU305" s="45" t="n">
        <f aca="true">AVERAGE(OFFSET(AT305,1-MIN(p_StochSm,ROW()-4),0,MIN(p_StochSm,ROW()-4),1))</f>
        <v>16.4224389799837</v>
      </c>
      <c r="AV305" s="41" t="n">
        <f aca="false">MAX(0,H305-D305)</f>
        <v>0.649005150503431</v>
      </c>
      <c r="AW305" s="41" t="n">
        <f aca="true">IF(COUNTIF(OFFSET(AV305,1-MIN(p_PenLb,ROW()-4),0,MIN(p_PenLb,ROW()-4),1),"&gt;0")&gt;0,SUM(OFFSET(AV305,1-MIN(p_PenLb,ROW()-4),0,MIN(p_PenLb,ROW()-4),1))/COUNTIF(OFFSET(AV305,1-MIN(p_PenLb,ROW()-4),0,MIN(p_PenLb,ROW()-4),1),"&gt;0"),0.5*Y305)</f>
        <v>0.517742197329153</v>
      </c>
      <c r="AX305" s="41" t="n">
        <f aca="false">2*H305-H304</f>
        <v>29.9241709587529</v>
      </c>
      <c r="AY305" s="40" t="n">
        <f aca="false">ROUND(MAX(AX305-AW305,0.01),2)</f>
        <v>29.41</v>
      </c>
      <c r="AZ305" s="40" t="n">
        <f aca="true">IF(MIN(p_StopLb,ROW()-4)&lt;2,D305,SMALL(OFFSET(D305,1-MIN(p_StopLb,ROW()-4),0,MIN(p_StopLb,ROW()-4),1),2))</f>
        <v>29.33</v>
      </c>
      <c r="BA305" s="40" t="n">
        <f aca="false">IF(MOD(ROUND(ROUNDDOWN(MIN(AZ305-0.01,AY305-p_StopAtr*Y305),2)*100,0),50)=0,ROUNDDOWN(MIN(AZ305-0.01,AY305-p_StopAtr*Y305),2)-0.01,ROUNDDOWN(MIN(AZ305-0.01,AY305-p_StopAtr*Y305),2))</f>
        <v>28.69</v>
      </c>
      <c r="BB305" s="40" t="n">
        <f aca="false">ROUND(AI305,2)</f>
        <v>31.35</v>
      </c>
      <c r="BC305" s="40" t="n">
        <f aca="false">IF(AY305-BA305&gt;0,(BB305-AY305)/(AY305-BA305),0)</f>
        <v>2.69444444444445</v>
      </c>
      <c r="BD305" s="42" t="n">
        <f aca="false">IF(N305&lt;0,1,0)</f>
        <v>1</v>
      </c>
      <c r="BE305" s="41" t="n">
        <f aca="false">IF(AND(BD305=1,BD304=0),N305,IF(BD305=1,MIN(BE304,N305),BE304))</f>
        <v>-0.119243083857664</v>
      </c>
      <c r="BF305" s="40" t="n">
        <f aca="false">IF(AND(BD305=1,BD304=0),D305,IF(BD305=1,MIN(BF304,D305),BF304))</f>
        <v>29.31</v>
      </c>
      <c r="BG305" s="42" t="n">
        <f aca="false">IF(AND(BD305=1,BD304=0),ROW(),IF(BD305=1,IF(N305&lt;BE304,ROW(),BG304),BG304))</f>
        <v>305</v>
      </c>
      <c r="BH305" s="41" t="n">
        <f aca="false">IF(AND(BD305=1,BD304=0),BE304,BH304)</f>
        <v>-0.356654552541767</v>
      </c>
      <c r="BI305" s="40" t="n">
        <f aca="false">IF(AND(BD305=1,BD304=0),BF304,BI304)</f>
        <v>25.91</v>
      </c>
      <c r="BJ305" s="42" t="n">
        <f aca="false">IF(AND(BD305=1,BD304=0),BG304,BJ304)</f>
        <v>261</v>
      </c>
      <c r="BK305" s="42" t="n">
        <f aca="false">IF(AND(ISNUMBER(BG305),ISNUMBER(BJ305)),BG305-BJ305,"")</f>
        <v>44</v>
      </c>
      <c r="BL305" s="42" t="n">
        <f aca="false">IF(AND(BD305=1,N305&gt;N304,ISNUMBER(BH305),ISNUMBER(BK305)),IF(AND(BE305&gt;BH305,BF305&lt;BI305,BK305&gt;=p_GapMin,BK305&lt;=p_GapMax),1,0),0)</f>
        <v>0</v>
      </c>
      <c r="BM305" s="42" t="n">
        <f aca="false">IF(AND(BL305=1,E305&gt;BI305),1,0)</f>
        <v>0</v>
      </c>
      <c r="BN305" s="42" t="n">
        <f aca="false">IF(BL305=1,IF(BE305&gt;=BH305*0.5,1,0),0)</f>
        <v>0</v>
      </c>
      <c r="BO305" s="42" t="n">
        <f aca="true">IF(V305&gt;MIN(OFFSET(V305,-MIN(p_FiLb-1,ROW()-5),0,MIN(p_FiLb-1,ROW()-5),1)),1,0)</f>
        <v>1</v>
      </c>
      <c r="BP305" s="44" t="n">
        <f aca="true">IF(COUNTIF(OFFSET(V305,1-MIN(100,ROW()-4),0,MIN(100,ROW()-4),1),"&lt;0")&gt;=5,AVERAGEIF(OFFSET(V305,1-MIN(100,ROW()-4),0,MIN(100,ROW()-4),1),"&lt;0"),"")</f>
        <v>-993437.827163007</v>
      </c>
      <c r="BQ305" s="42" t="n">
        <f aca="false">IF(ISNUMBER(BP305),IF(AND(V305&lt;5*BP305,V305&gt;V304,E305&lt;AJ305),1,0),0)</f>
        <v>0</v>
      </c>
      <c r="BR305" s="44" t="n">
        <f aca="true">AVERAGE(OFFSET(F305,1-MIN(5,ROW()-4),0,MIN(5,ROW()-4),1))</f>
        <v>3387400</v>
      </c>
      <c r="BS305" s="42" t="n">
        <f aca="false">IFERROR(IF(MATCH(G305,周线!$A$5:$A$84,0)&lt;=1,"",INDEX(周线!$R$5:$R$84,MATCH(G305,周线!$A$5:$A$84,0)-1)),"")</f>
        <v>1</v>
      </c>
      <c r="BT305" s="42" t="n">
        <f aca="false">IFERROR(IF(MATCH(G305,周线!$A$5:$A$84,0)&lt;=1,"",INDEX(周线!$S$5:$S$84,MATCH(G305,周线!$A$5:$A$84,0)-1)),"")</f>
        <v>1</v>
      </c>
      <c r="BU305" s="42" t="n">
        <f aca="false">IFERROR(IF(MATCH(G305,周线!$A$5:$A$84,0)&lt;=1,"",INDEX(周线!$U$5:$U$84,MATCH(G305,周线!$A$5:$A$84,0)-1)),"")</f>
        <v>1</v>
      </c>
      <c r="BV305" s="42" t="n">
        <f aca="false">IF(AND(BS305=1,S305&lt;&gt;-1,V305&lt;0,BO305=1,E305&lt;=H305,E305&gt;=AJ305),1,0)</f>
        <v>0</v>
      </c>
      <c r="BW305" s="42" t="n">
        <f aca="false">BL305</f>
        <v>0</v>
      </c>
      <c r="BX305" s="42" t="n">
        <f aca="false">BQ305</f>
        <v>0</v>
      </c>
      <c r="BY305" s="42" t="n">
        <f aca="false">IF(BS305=1,10,0)+IF(BU305=1,5,IF(BU305=-1,0,3))+IF(BT305=1,5,0)+IF(AND(AE305&gt;AF305,AH305&gt;AH304),5,0)</f>
        <v>20</v>
      </c>
      <c r="BZ305" s="42" t="n">
        <f aca="false">IF(AND(E305&lt;=H305,E305&gt;=I305),10,IF(AND(E305&gt;=AJ305,E305&lt;I305),6,0))+IF(AND(V305&lt;0,BO305=1),8,0)+IF(AT305&lt;30,7,IF(AT305&lt;50,3,0))</f>
        <v>25</v>
      </c>
      <c r="CA305" s="42" t="n">
        <f aca="false">IF(AND(BV305=1,BW305=1),25,IF(BW305=1,22,IF(BV305=1,15,IF(BX305=1,12,0))))</f>
        <v>0</v>
      </c>
      <c r="CB305" s="42" t="n">
        <f aca="false">IF(W305&gt;0,6,0)+IF(F305&lt;BR305,4,0)</f>
        <v>4</v>
      </c>
      <c r="CC305" s="42" t="n">
        <f aca="false">IF(BC305&gt;=3,15,IF(BC305&gt;=p_RRmin,10,IF(BC305&gt;=1.5,4,0)))</f>
        <v>10</v>
      </c>
      <c r="CD305" s="42" t="n">
        <f aca="false">BY305+BZ305+CA305+CB305+CC305</f>
        <v>59</v>
      </c>
      <c r="CE305" s="42" t="n">
        <f aca="false">IF(AND(BS305&lt;&gt;1,BW305+BX305=0),1,0)</f>
        <v>0</v>
      </c>
      <c r="CF305" s="42" t="n">
        <f aca="false">IF(BU305=-1,1,0)</f>
        <v>0</v>
      </c>
      <c r="CG305" s="42" t="n">
        <f aca="false">IF(S305=-1,1,0)</f>
        <v>1</v>
      </c>
      <c r="CH305" s="42" t="n">
        <f aca="false">IF(BV305+BW305+BX305=0,1,0)</f>
        <v>1</v>
      </c>
      <c r="CI305" s="42" t="n">
        <f aca="false">IF(BC305&lt;p_RRmin,1,0)</f>
        <v>0</v>
      </c>
      <c r="CJ305" s="46" t="str">
        <f aca="false">IF(SUM(CE305:CI305)=0,IF(CD305&gt;=p_GradeA,"A",IF(CD305&gt;=p_GradeB,"B","C")),IF(AND(CI305=1,SUM(CE305:CH305)=0,CD305&gt;=p_GradeB),"B","C"))</f>
        <v>C</v>
      </c>
    </row>
    <row r="306" customFormat="false" ht="15" hidden="false" customHeight="false" outlineLevel="0" collapsed="false">
      <c r="A306" s="36" t="n">
        <v>46080</v>
      </c>
      <c r="B306" s="37" t="n">
        <v>29.88</v>
      </c>
      <c r="C306" s="37" t="n">
        <v>30.02</v>
      </c>
      <c r="D306" s="37" t="n">
        <v>29.83</v>
      </c>
      <c r="E306" s="37" t="n">
        <v>29.91</v>
      </c>
      <c r="F306" s="38" t="n">
        <v>3868900</v>
      </c>
      <c r="G306" s="39" t="n">
        <f aca="false">A306-WEEKDAY(A306,3)</f>
        <v>46076</v>
      </c>
      <c r="H306" s="40" t="n">
        <f aca="false">2/(p_EmaF+1)*E306+(1-2/(p_EmaF+1))*H305</f>
        <v>29.9691472718601</v>
      </c>
      <c r="I306" s="40" t="n">
        <f aca="false">2/(p_EmaS+1)*E306+(1-2/(p_EmaS+1))*I305</f>
        <v>29.6043588723263</v>
      </c>
      <c r="J306" s="41" t="n">
        <f aca="false">2/(p_MacdF+1)*E306+(1-2/(p_MacdF+1))*J305</f>
        <v>29.9901810963264</v>
      </c>
      <c r="K306" s="41" t="n">
        <f aca="false">2/(p_MacdS+1)*E306+(1-2/(p_MacdS+1))*K305</f>
        <v>29.6043588723263</v>
      </c>
      <c r="L306" s="41" t="n">
        <f aca="false">J306-K306</f>
        <v>0.385822224000108</v>
      </c>
      <c r="M306" s="41" t="n">
        <f aca="false">2/(p_MacdSig+1)*L306+(1-2/(p_MacdSig+1))*M305</f>
        <v>0.51244042817756</v>
      </c>
      <c r="N306" s="41" t="n">
        <f aca="false">L306-M306</f>
        <v>-0.126618204177452</v>
      </c>
      <c r="O306" s="42" t="n">
        <f aca="false">IF(H306&gt;H305,1,0)</f>
        <v>0</v>
      </c>
      <c r="P306" s="42" t="n">
        <f aca="false">IF(H306&lt;H305,1,0)</f>
        <v>1</v>
      </c>
      <c r="Q306" s="42" t="n">
        <f aca="false">IF(N306&gt;N305,1,0)</f>
        <v>0</v>
      </c>
      <c r="R306" s="42" t="n">
        <f aca="false">IF(N306&lt;N305,1,0)</f>
        <v>1</v>
      </c>
      <c r="S306" s="42" t="n">
        <f aca="false">IF(AND(O306=1,Q306=1),1,IF(AND(P306=1,R306=1),-1,0))</f>
        <v>-1</v>
      </c>
      <c r="T306" s="43" t="str">
        <f aca="false">IF(S306=1,"绿",IF(S306=-1,"红","蓝"))</f>
        <v>红</v>
      </c>
      <c r="U306" s="44" t="n">
        <f aca="false">F306*(E306-E305)</f>
        <v>1005914.00000001</v>
      </c>
      <c r="V306" s="44" t="n">
        <f aca="false">2/(p_FiS+1)*U306+(1-2/(p_FiS+1))*V305</f>
        <v>538580.104114913</v>
      </c>
      <c r="W306" s="44" t="n">
        <f aca="false">2/(p_FiL+1)*U306+(1-2/(p_FiL+1))*W305</f>
        <v>43727.2170921574</v>
      </c>
      <c r="X306" s="41" t="n">
        <f aca="false">MAX(C306-D306,ABS(C306-E305),ABS(D306-E305))</f>
        <v>0.370000000000001</v>
      </c>
      <c r="Y306" s="41" t="n">
        <f aca="true">AVERAGE(OFFSET(X306,1-MIN(p_AtrN,ROW()-4),0,MIN(p_AtrN,ROW()-4),1))</f>
        <v>0.675384615384616</v>
      </c>
      <c r="Z306" s="41" t="n">
        <f aca="false">IF(AND(C306-C305&gt;D305-D306,C306-C305&gt;0),C306-C305,0)</f>
        <v>0.0799999999999983</v>
      </c>
      <c r="AA306" s="41" t="n">
        <f aca="false">IF(AND(D305-D306&gt;C306-C305,D305-D306&gt;0),D305-D306,0)</f>
        <v>0</v>
      </c>
      <c r="AB306" s="41" t="n">
        <f aca="false">2/(p_AdxN+1)*X306+(1-2/(p_AdxN+1))*AB305</f>
        <v>0.588817857669678</v>
      </c>
      <c r="AC306" s="41" t="n">
        <f aca="false">2/(p_AdxN+1)*Z306+(1-2/(p_AdxN+1))*AC305</f>
        <v>0.0933152225289469</v>
      </c>
      <c r="AD306" s="41" t="n">
        <f aca="false">2/(p_AdxN+1)*AA306+(1-2/(p_AdxN+1))*AD305</f>
        <v>0.11942284006295</v>
      </c>
      <c r="AE306" s="45" t="n">
        <f aca="false">100*AC306/AB306</f>
        <v>15.8478927419514</v>
      </c>
      <c r="AF306" s="45" t="n">
        <f aca="false">100*AD306/AB306</f>
        <v>20.2817965704336</v>
      </c>
      <c r="AG306" s="45" t="n">
        <f aca="false">IFERROR(100*ABS(AE306-AF306)/(AE306+AF306),0)</f>
        <v>12.2721891963856</v>
      </c>
      <c r="AH306" s="45" t="n">
        <f aca="false">2/(p_AdxN+1)*AG306+(1-2/(p_AdxN+1))*AH305</f>
        <v>32.7979764578459</v>
      </c>
      <c r="AI306" s="40" t="n">
        <f aca="false">I306*(1+p_ChPct)</f>
        <v>31.3806204046659</v>
      </c>
      <c r="AJ306" s="40" t="n">
        <f aca="false">I306*(1-p_ChPct)</f>
        <v>27.8280973399867</v>
      </c>
      <c r="AK306" s="40" t="n">
        <f aca="false">I306+1*Y306</f>
        <v>30.2797434877109</v>
      </c>
      <c r="AL306" s="40" t="n">
        <f aca="false">I306+2*Y306</f>
        <v>30.9551281030955</v>
      </c>
      <c r="AM306" s="40" t="n">
        <f aca="false">I306+3*Y306</f>
        <v>31.6305127184802</v>
      </c>
      <c r="AN306" s="40" t="n">
        <f aca="false">I306-1*Y306</f>
        <v>28.9289742569417</v>
      </c>
      <c r="AO306" s="40" t="n">
        <f aca="false">I306-2*Y306</f>
        <v>28.2535896415571</v>
      </c>
      <c r="AP306" s="40" t="n">
        <f aca="false">I306-3*Y306</f>
        <v>27.5782050261725</v>
      </c>
      <c r="AQ306" s="40" t="n">
        <f aca="true">MAX(OFFSET(C306,1-MIN(p_StochN,ROW()-4),0,MIN(p_StochN,ROW()-4),1))</f>
        <v>30.65</v>
      </c>
      <c r="AR306" s="40" t="n">
        <f aca="true">MIN(OFFSET(D306,1-MIN(p_StochN,ROW()-4),0,MIN(p_StochN,ROW()-4),1))</f>
        <v>29.31</v>
      </c>
      <c r="AS306" s="45" t="n">
        <f aca="false">IF(AQ306=AR306,50,100*(E306-AR306)/(AQ306-AR306))</f>
        <v>44.7761194029852</v>
      </c>
      <c r="AT306" s="45" t="n">
        <f aca="true">AVERAGE(OFFSET(AS306,1-MIN(p_StochSm,ROW()-4),0,MIN(p_StochSm,ROW()-4),1))</f>
        <v>31.8084900174453</v>
      </c>
      <c r="AU306" s="45" t="n">
        <f aca="true">AVERAGE(OFFSET(AT306,1-MIN(p_StochSm,ROW()-4),0,MIN(p_StochSm,ROW()-4),1))</f>
        <v>22.6134817266117</v>
      </c>
      <c r="AV306" s="41" t="n">
        <f aca="false">MAX(0,H306-D306)</f>
        <v>0.139147271860086</v>
      </c>
      <c r="AW306" s="41" t="n">
        <f aca="true">IF(COUNTIF(OFFSET(AV306,1-MIN(p_PenLb,ROW()-4),0,MIN(p_PenLb,ROW()-4),1),"&gt;0")&gt;0,SUM(OFFSET(AV306,1-MIN(p_PenLb,ROW()-4),0,MIN(p_PenLb,ROW()-4),1))/COUNTIF(OFFSET(AV306,1-MIN(p_PenLb,ROW()-4),0,MIN(p_PenLb,ROW()-4),1),"&gt;0"),0.5*Y306)</f>
        <v>0.447202642528209</v>
      </c>
      <c r="AX306" s="41" t="n">
        <f aca="false">2*H306-H305</f>
        <v>29.9592893932167</v>
      </c>
      <c r="AY306" s="40" t="n">
        <f aca="false">ROUND(MAX(AX306-AW306,0.01),2)</f>
        <v>29.51</v>
      </c>
      <c r="AZ306" s="40" t="n">
        <f aca="true">IF(MIN(p_StopLb,ROW()-4)&lt;2,D306,SMALL(OFFSET(D306,1-MIN(p_StopLb,ROW()-4),0,MIN(p_StopLb,ROW()-4),1),2))</f>
        <v>29.33</v>
      </c>
      <c r="BA306" s="40" t="n">
        <f aca="false">IF(MOD(ROUND(ROUNDDOWN(MIN(AZ306-0.01,AY306-p_StopAtr*Y306),2)*100,0),50)=0,ROUNDDOWN(MIN(AZ306-0.01,AY306-p_StopAtr*Y306),2)-0.01,ROUNDDOWN(MIN(AZ306-0.01,AY306-p_StopAtr*Y306),2))</f>
        <v>28.83</v>
      </c>
      <c r="BB306" s="40" t="n">
        <f aca="false">ROUND(AI306,2)</f>
        <v>31.38</v>
      </c>
      <c r="BC306" s="40" t="n">
        <f aca="false">IF(AY306-BA306&gt;0,(BB306-AY306)/(AY306-BA306),0)</f>
        <v>2.74999999999998</v>
      </c>
      <c r="BD306" s="42" t="n">
        <f aca="false">IF(N306&lt;0,1,0)</f>
        <v>1</v>
      </c>
      <c r="BE306" s="41" t="n">
        <f aca="false">IF(AND(BD306=1,BD305=0),N306,IF(BD306=1,MIN(BE305,N306),BE305))</f>
        <v>-0.126618204177452</v>
      </c>
      <c r="BF306" s="40" t="n">
        <f aca="false">IF(AND(BD306=1,BD305=0),D306,IF(BD306=1,MIN(BF305,D306),BF305))</f>
        <v>29.31</v>
      </c>
      <c r="BG306" s="42" t="n">
        <f aca="false">IF(AND(BD306=1,BD305=0),ROW(),IF(BD306=1,IF(N306&lt;BE305,ROW(),BG305),BG305))</f>
        <v>306</v>
      </c>
      <c r="BH306" s="41" t="n">
        <f aca="false">IF(AND(BD306=1,BD305=0),BE305,BH305)</f>
        <v>-0.356654552541767</v>
      </c>
      <c r="BI306" s="40" t="n">
        <f aca="false">IF(AND(BD306=1,BD305=0),BF305,BI305)</f>
        <v>25.91</v>
      </c>
      <c r="BJ306" s="42" t="n">
        <f aca="false">IF(AND(BD306=1,BD305=0),BG305,BJ305)</f>
        <v>261</v>
      </c>
      <c r="BK306" s="42" t="n">
        <f aca="false">IF(AND(ISNUMBER(BG306),ISNUMBER(BJ306)),BG306-BJ306,"")</f>
        <v>45</v>
      </c>
      <c r="BL306" s="42" t="n">
        <f aca="false">IF(AND(BD306=1,N306&gt;N305,ISNUMBER(BH306),ISNUMBER(BK306)),IF(AND(BE306&gt;BH306,BF306&lt;BI306,BK306&gt;=p_GapMin,BK306&lt;=p_GapMax),1,0),0)</f>
        <v>0</v>
      </c>
      <c r="BM306" s="42" t="n">
        <f aca="false">IF(AND(BL306=1,E306&gt;BI306),1,0)</f>
        <v>0</v>
      </c>
      <c r="BN306" s="42" t="n">
        <f aca="false">IF(BL306=1,IF(BE306&gt;=BH306*0.5,1,0),0)</f>
        <v>0</v>
      </c>
      <c r="BO306" s="42" t="n">
        <f aca="true">IF(V306&gt;MIN(OFFSET(V306,-MIN(p_FiLb-1,ROW()-5),0,MIN(p_FiLb-1,ROW()-5),1)),1,0)</f>
        <v>1</v>
      </c>
      <c r="BP306" s="44" t="n">
        <f aca="true">IF(COUNTIF(OFFSET(V306,1-MIN(100,ROW()-4),0,MIN(100,ROW()-4),1),"&lt;0")&gt;=5,AVERAGEIF(OFFSET(V306,1-MIN(100,ROW()-4),0,MIN(100,ROW()-4),1),"&lt;0"),"")</f>
        <v>-998331.896807213</v>
      </c>
      <c r="BQ306" s="42" t="n">
        <f aca="false">IF(ISNUMBER(BP306),IF(AND(V306&lt;5*BP306,V306&gt;V305,E306&lt;AJ306),1,0),0)</f>
        <v>0</v>
      </c>
      <c r="BR306" s="44" t="n">
        <f aca="true">AVERAGE(OFFSET(F306,1-MIN(5,ROW()-4),0,MIN(5,ROW()-4),1))</f>
        <v>3698680</v>
      </c>
      <c r="BS306" s="42" t="n">
        <f aca="false">IFERROR(IF(MATCH(G306,周线!$A$5:$A$84,0)&lt;=1,"",INDEX(周线!$R$5:$R$84,MATCH(G306,周线!$A$5:$A$84,0)-1)),"")</f>
        <v>1</v>
      </c>
      <c r="BT306" s="42" t="n">
        <f aca="false">IFERROR(IF(MATCH(G306,周线!$A$5:$A$84,0)&lt;=1,"",INDEX(周线!$S$5:$S$84,MATCH(G306,周线!$A$5:$A$84,0)-1)),"")</f>
        <v>1</v>
      </c>
      <c r="BU306" s="42" t="n">
        <f aca="false">IFERROR(IF(MATCH(G306,周线!$A$5:$A$84,0)&lt;=1,"",INDEX(周线!$U$5:$U$84,MATCH(G306,周线!$A$5:$A$84,0)-1)),"")</f>
        <v>1</v>
      </c>
      <c r="BV306" s="42" t="n">
        <f aca="false">IF(AND(BS306=1,S306&lt;&gt;-1,V306&lt;0,BO306=1,E306&lt;=H306,E306&gt;=AJ306),1,0)</f>
        <v>0</v>
      </c>
      <c r="BW306" s="42" t="n">
        <f aca="false">BL306</f>
        <v>0</v>
      </c>
      <c r="BX306" s="42" t="n">
        <f aca="false">BQ306</f>
        <v>0</v>
      </c>
      <c r="BY306" s="42" t="n">
        <f aca="false">IF(BS306=1,10,0)+IF(BU306=1,5,IF(BU306=-1,0,3))+IF(BT306=1,5,0)+IF(AND(AE306&gt;AF306,AH306&gt;AH305),5,0)</f>
        <v>20</v>
      </c>
      <c r="BZ306" s="42" t="n">
        <f aca="false">IF(AND(E306&lt;=H306,E306&gt;=I306),10,IF(AND(E306&gt;=AJ306,E306&lt;I306),6,0))+IF(AND(V306&lt;0,BO306=1),8,0)+IF(AT306&lt;30,7,IF(AT306&lt;50,3,0))</f>
        <v>13</v>
      </c>
      <c r="CA306" s="42" t="n">
        <f aca="false">IF(AND(BV306=1,BW306=1),25,IF(BW306=1,22,IF(BV306=1,15,IF(BX306=1,12,0))))</f>
        <v>0</v>
      </c>
      <c r="CB306" s="42" t="n">
        <f aca="false">IF(W306&gt;0,6,0)+IF(F306&lt;BR306,4,0)</f>
        <v>6</v>
      </c>
      <c r="CC306" s="42" t="n">
        <f aca="false">IF(BC306&gt;=3,15,IF(BC306&gt;=p_RRmin,10,IF(BC306&gt;=1.5,4,0)))</f>
        <v>10</v>
      </c>
      <c r="CD306" s="42" t="n">
        <f aca="false">BY306+BZ306+CA306+CB306+CC306</f>
        <v>49</v>
      </c>
      <c r="CE306" s="42" t="n">
        <f aca="false">IF(AND(BS306&lt;&gt;1,BW306+BX306=0),1,0)</f>
        <v>0</v>
      </c>
      <c r="CF306" s="42" t="n">
        <f aca="false">IF(BU306=-1,1,0)</f>
        <v>0</v>
      </c>
      <c r="CG306" s="42" t="n">
        <f aca="false">IF(S306=-1,1,0)</f>
        <v>1</v>
      </c>
      <c r="CH306" s="42" t="n">
        <f aca="false">IF(BV306+BW306+BX306=0,1,0)</f>
        <v>1</v>
      </c>
      <c r="CI306" s="42" t="n">
        <f aca="false">IF(BC306&lt;p_RRmin,1,0)</f>
        <v>0</v>
      </c>
      <c r="CJ306" s="46" t="str">
        <f aca="false">IF(SUM(CE306:CI306)=0,IF(CD306&gt;=p_GradeA,"A",IF(CD306&gt;=p_GradeB,"B","C")),IF(AND(CI306=1,SUM(CE306:CH306)=0,CD306&gt;=p_GradeB),"B","C"))</f>
        <v>C</v>
      </c>
    </row>
    <row r="307" customFormat="false" ht="15" hidden="false" customHeight="false" outlineLevel="0" collapsed="false">
      <c r="A307" s="36" t="n">
        <v>46083</v>
      </c>
      <c r="B307" s="37" t="n">
        <v>30.15</v>
      </c>
      <c r="C307" s="37" t="n">
        <v>30.3</v>
      </c>
      <c r="D307" s="37" t="n">
        <v>29.14</v>
      </c>
      <c r="E307" s="37" t="n">
        <v>29.29</v>
      </c>
      <c r="F307" s="38" t="n">
        <v>3194000</v>
      </c>
      <c r="G307" s="39" t="n">
        <f aca="false">A307-WEEKDAY(A307,3)</f>
        <v>46083</v>
      </c>
      <c r="H307" s="40" t="n">
        <f aca="false">2/(p_EmaF+1)*E307+(1-2/(p_EmaF+1))*H306</f>
        <v>29.8721262330229</v>
      </c>
      <c r="I307" s="40" t="n">
        <f aca="false">2/(p_EmaS+1)*E307+(1-2/(p_EmaS+1))*I306</f>
        <v>29.5810730299318</v>
      </c>
      <c r="J307" s="41" t="n">
        <f aca="false">2/(p_MacdF+1)*E307+(1-2/(p_MacdF+1))*J306</f>
        <v>29.8824609276608</v>
      </c>
      <c r="K307" s="41" t="n">
        <f aca="false">2/(p_MacdS+1)*E307+(1-2/(p_MacdS+1))*K306</f>
        <v>29.5810730299318</v>
      </c>
      <c r="L307" s="41" t="n">
        <f aca="false">J307-K307</f>
        <v>0.30138789772905</v>
      </c>
      <c r="M307" s="41" t="n">
        <f aca="false">2/(p_MacdSig+1)*L307+(1-2/(p_MacdSig+1))*M306</f>
        <v>0.470229922087858</v>
      </c>
      <c r="N307" s="41" t="n">
        <f aca="false">L307-M307</f>
        <v>-0.168842024358808</v>
      </c>
      <c r="O307" s="42" t="n">
        <f aca="false">IF(H307&gt;H306,1,0)</f>
        <v>0</v>
      </c>
      <c r="P307" s="42" t="n">
        <f aca="false">IF(H307&lt;H306,1,0)</f>
        <v>1</v>
      </c>
      <c r="Q307" s="42" t="n">
        <f aca="false">IF(N307&gt;N306,1,0)</f>
        <v>0</v>
      </c>
      <c r="R307" s="42" t="n">
        <f aca="false">IF(N307&lt;N306,1,0)</f>
        <v>1</v>
      </c>
      <c r="S307" s="42" t="n">
        <f aca="false">IF(AND(O307=1,Q307=1),1,IF(AND(P307=1,R307=1),-1,0))</f>
        <v>-1</v>
      </c>
      <c r="T307" s="43" t="str">
        <f aca="false">IF(S307=1,"绿",IF(S307=-1,"红","蓝"))</f>
        <v>红</v>
      </c>
      <c r="U307" s="44" t="n">
        <f aca="false">F307*(E307-E306)</f>
        <v>-1980280</v>
      </c>
      <c r="V307" s="44" t="n">
        <f aca="false">2/(p_FiS+1)*U307+(1-2/(p_FiS+1))*V306</f>
        <v>-1140659.96529503</v>
      </c>
      <c r="W307" s="44" t="n">
        <f aca="false">2/(p_FiL+1)*U307+(1-2/(p_FiL+1))*W306</f>
        <v>-245416.671063866</v>
      </c>
      <c r="X307" s="41" t="n">
        <f aca="false">MAX(C307-D307,ABS(C307-E306),ABS(D307-E306))</f>
        <v>1.16</v>
      </c>
      <c r="Y307" s="41" t="n">
        <f aca="true">AVERAGE(OFFSET(X307,1-MIN(p_AtrN,ROW()-4),0,MIN(p_AtrN,ROW()-4),1))</f>
        <v>0.620769230769231</v>
      </c>
      <c r="Z307" s="41" t="n">
        <f aca="false">IF(AND(C307-C306&gt;D306-D307,C307-C306&gt;0),C307-C306,0)</f>
        <v>0</v>
      </c>
      <c r="AA307" s="41" t="n">
        <f aca="false">IF(AND(D306-D307&gt;C307-C306,D306-D307&gt;0),D306-D307,0)</f>
        <v>0.689999999999998</v>
      </c>
      <c r="AB307" s="41" t="n">
        <f aca="false">2/(p_AdxN+1)*X307+(1-2/(p_AdxN+1))*AB306</f>
        <v>0.67041530657401</v>
      </c>
      <c r="AC307" s="41" t="n">
        <f aca="false">2/(p_AdxN+1)*Z307+(1-2/(p_AdxN+1))*AC306</f>
        <v>0.0799844764533831</v>
      </c>
      <c r="AD307" s="41" t="n">
        <f aca="false">2/(p_AdxN+1)*AA307+(1-2/(p_AdxN+1))*AD306</f>
        <v>0.200933862911099</v>
      </c>
      <c r="AE307" s="45" t="n">
        <f aca="false">100*AC307/AB307</f>
        <v>11.9305862603471</v>
      </c>
      <c r="AF307" s="45" t="n">
        <f aca="false">100*AD307/AB307</f>
        <v>29.9715506106091</v>
      </c>
      <c r="AG307" s="45" t="n">
        <f aca="false">IFERROR(100*ABS(AE307-AF307)/(AE307+AF307),0)</f>
        <v>43.0549983782968</v>
      </c>
      <c r="AH307" s="45" t="n">
        <f aca="false">2/(p_AdxN+1)*AG307+(1-2/(p_AdxN+1))*AH306</f>
        <v>34.2632653036246</v>
      </c>
      <c r="AI307" s="40" t="n">
        <f aca="false">I307*(1+p_ChPct)</f>
        <v>31.3559374117277</v>
      </c>
      <c r="AJ307" s="40" t="n">
        <f aca="false">I307*(1-p_ChPct)</f>
        <v>27.8062086481359</v>
      </c>
      <c r="AK307" s="40" t="n">
        <f aca="false">I307+1*Y307</f>
        <v>30.201842260701</v>
      </c>
      <c r="AL307" s="40" t="n">
        <f aca="false">I307+2*Y307</f>
        <v>30.8226114914702</v>
      </c>
      <c r="AM307" s="40" t="n">
        <f aca="false">I307+3*Y307</f>
        <v>31.4433807222395</v>
      </c>
      <c r="AN307" s="40" t="n">
        <f aca="false">I307-1*Y307</f>
        <v>28.9603037991625</v>
      </c>
      <c r="AO307" s="40" t="n">
        <f aca="false">I307-2*Y307</f>
        <v>28.3395345683933</v>
      </c>
      <c r="AP307" s="40" t="n">
        <f aca="false">I307-3*Y307</f>
        <v>27.7187653376241</v>
      </c>
      <c r="AQ307" s="40" t="n">
        <f aca="true">MAX(OFFSET(C307,1-MIN(p_StochN,ROW()-4),0,MIN(p_StochN,ROW()-4),1))</f>
        <v>30.3</v>
      </c>
      <c r="AR307" s="40" t="n">
        <f aca="true">MIN(OFFSET(D307,1-MIN(p_StochN,ROW()-4),0,MIN(p_StochN,ROW()-4),1))</f>
        <v>29.14</v>
      </c>
      <c r="AS307" s="45" t="n">
        <f aca="false">IF(AQ307=AR307,50,100*(E307-AR307)/(AQ307-AR307))</f>
        <v>12.9310344827585</v>
      </c>
      <c r="AT307" s="45" t="n">
        <f aca="true">AVERAGE(OFFSET(AS307,1-MIN(p_StochSm,ROW()-4),0,MIN(p_StochSm,ROW()-4),1))</f>
        <v>26.5950253212219</v>
      </c>
      <c r="AU307" s="45" t="n">
        <f aca="true">AVERAGE(OFFSET(AT307,1-MIN(p_StochSm,ROW()-4),0,MIN(p_StochSm,ROW()-4),1))</f>
        <v>26.5064788181961</v>
      </c>
      <c r="AV307" s="41" t="n">
        <f aca="false">MAX(0,H307-D307)</f>
        <v>0.732126233022932</v>
      </c>
      <c r="AW307" s="41" t="n">
        <f aca="true">IF(COUNTIF(OFFSET(AV307,1-MIN(p_PenLb,ROW()-4),0,MIN(p_PenLb,ROW()-4),1),"&gt;0")&gt;0,SUM(OFFSET(AV307,1-MIN(p_PenLb,ROW()-4),0,MIN(p_PenLb,ROW()-4),1))/COUNTIF(OFFSET(AV307,1-MIN(p_PenLb,ROW()-4),0,MIN(p_PenLb,ROW()-4),1),"&gt;0"),0.5*Y307)</f>
        <v>0.441685221929598</v>
      </c>
      <c r="AX307" s="41" t="n">
        <f aca="false">2*H307-H306</f>
        <v>29.7751051941858</v>
      </c>
      <c r="AY307" s="40" t="n">
        <f aca="false">ROUND(MAX(AX307-AW307,0.01),2)</f>
        <v>29.33</v>
      </c>
      <c r="AZ307" s="40" t="n">
        <f aca="true">IF(MIN(p_StopLb,ROW()-4)&lt;2,D307,SMALL(OFFSET(D307,1-MIN(p_StopLb,ROW()-4),0,MIN(p_StopLb,ROW()-4),1),2))</f>
        <v>29.31</v>
      </c>
      <c r="BA307" s="40" t="n">
        <f aca="false">IF(MOD(ROUND(ROUNDDOWN(MIN(AZ307-0.01,AY307-p_StopAtr*Y307),2)*100,0),50)=0,ROUNDDOWN(MIN(AZ307-0.01,AY307-p_StopAtr*Y307),2)-0.01,ROUNDDOWN(MIN(AZ307-0.01,AY307-p_StopAtr*Y307),2))</f>
        <v>28.7</v>
      </c>
      <c r="BB307" s="40" t="n">
        <f aca="false">ROUND(AI307,2)</f>
        <v>31.36</v>
      </c>
      <c r="BC307" s="40" t="n">
        <f aca="false">IF(AY307-BA307&gt;0,(BB307-AY307)/(AY307-BA307),0)</f>
        <v>3.22222222222223</v>
      </c>
      <c r="BD307" s="42" t="n">
        <f aca="false">IF(N307&lt;0,1,0)</f>
        <v>1</v>
      </c>
      <c r="BE307" s="41" t="n">
        <f aca="false">IF(AND(BD307=1,BD306=0),N307,IF(BD307=1,MIN(BE306,N307),BE306))</f>
        <v>-0.168842024358808</v>
      </c>
      <c r="BF307" s="40" t="n">
        <f aca="false">IF(AND(BD307=1,BD306=0),D307,IF(BD307=1,MIN(BF306,D307),BF306))</f>
        <v>29.14</v>
      </c>
      <c r="BG307" s="42" t="n">
        <f aca="false">IF(AND(BD307=1,BD306=0),ROW(),IF(BD307=1,IF(N307&lt;BE306,ROW(),BG306),BG306))</f>
        <v>307</v>
      </c>
      <c r="BH307" s="41" t="n">
        <f aca="false">IF(AND(BD307=1,BD306=0),BE306,BH306)</f>
        <v>-0.356654552541767</v>
      </c>
      <c r="BI307" s="40" t="n">
        <f aca="false">IF(AND(BD307=1,BD306=0),BF306,BI306)</f>
        <v>25.91</v>
      </c>
      <c r="BJ307" s="42" t="n">
        <f aca="false">IF(AND(BD307=1,BD306=0),BG306,BJ306)</f>
        <v>261</v>
      </c>
      <c r="BK307" s="42" t="n">
        <f aca="false">IF(AND(ISNUMBER(BG307),ISNUMBER(BJ307)),BG307-BJ307,"")</f>
        <v>46</v>
      </c>
      <c r="BL307" s="42" t="n">
        <f aca="false">IF(AND(BD307=1,N307&gt;N306,ISNUMBER(BH307),ISNUMBER(BK307)),IF(AND(BE307&gt;BH307,BF307&lt;BI307,BK307&gt;=p_GapMin,BK307&lt;=p_GapMax),1,0),0)</f>
        <v>0</v>
      </c>
      <c r="BM307" s="42" t="n">
        <f aca="false">IF(AND(BL307=1,E307&gt;BI307),1,0)</f>
        <v>0</v>
      </c>
      <c r="BN307" s="42" t="n">
        <f aca="false">IF(BL307=1,IF(BE307&gt;=BH307*0.5,1,0),0)</f>
        <v>0</v>
      </c>
      <c r="BO307" s="42" t="n">
        <f aca="true">IF(V307&gt;MIN(OFFSET(V307,-MIN(p_FiLb-1,ROW()-5),0,MIN(p_FiLb-1,ROW()-5),1)),1,0)</f>
        <v>1</v>
      </c>
      <c r="BP307" s="44" t="n">
        <f aca="true">IF(COUNTIF(OFFSET(V307,1-MIN(100,ROW()-4),0,MIN(100,ROW()-4),1),"&lt;0")&gt;=5,AVERAGEIF(OFFSET(V307,1-MIN(100,ROW()-4),0,MIN(100,ROW()-4),1),"&lt;0"),"")</f>
        <v>-1001236.55126615</v>
      </c>
      <c r="BQ307" s="42" t="n">
        <f aca="false">IF(ISNUMBER(BP307),IF(AND(V307&lt;5*BP307,V307&gt;V306,E307&lt;AJ307),1,0),0)</f>
        <v>0</v>
      </c>
      <c r="BR307" s="44" t="n">
        <f aca="true">AVERAGE(OFFSET(F307,1-MIN(5,ROW()-4),0,MIN(5,ROW()-4),1))</f>
        <v>3666980</v>
      </c>
      <c r="BS307" s="42" t="n">
        <f aca="false">IFERROR(IF(MATCH(G307,周线!$A$5:$A$84,0)&lt;=1,"",INDEX(周线!$R$5:$R$84,MATCH(G307,周线!$A$5:$A$84,0)-1)),"")</f>
        <v>1</v>
      </c>
      <c r="BT307" s="42" t="n">
        <f aca="false">IFERROR(IF(MATCH(G307,周线!$A$5:$A$84,0)&lt;=1,"",INDEX(周线!$S$5:$S$84,MATCH(G307,周线!$A$5:$A$84,0)-1)),"")</f>
        <v>1</v>
      </c>
      <c r="BU307" s="42" t="n">
        <f aca="false">IFERROR(IF(MATCH(G307,周线!$A$5:$A$84,0)&lt;=1,"",INDEX(周线!$U$5:$U$84,MATCH(G307,周线!$A$5:$A$84,0)-1)),"")</f>
        <v>1</v>
      </c>
      <c r="BV307" s="42" t="n">
        <f aca="false">IF(AND(BS307=1,S307&lt;&gt;-1,V307&lt;0,BO307=1,E307&lt;=H307,E307&gt;=AJ307),1,0)</f>
        <v>0</v>
      </c>
      <c r="BW307" s="42" t="n">
        <f aca="false">BL307</f>
        <v>0</v>
      </c>
      <c r="BX307" s="42" t="n">
        <f aca="false">BQ307</f>
        <v>0</v>
      </c>
      <c r="BY307" s="42" t="n">
        <f aca="false">IF(BS307=1,10,0)+IF(BU307=1,5,IF(BU307=-1,0,3))+IF(BT307=1,5,0)+IF(AND(AE307&gt;AF307,AH307&gt;AH306),5,0)</f>
        <v>20</v>
      </c>
      <c r="BZ307" s="42" t="n">
        <f aca="false">IF(AND(E307&lt;=H307,E307&gt;=I307),10,IF(AND(E307&gt;=AJ307,E307&lt;I307),6,0))+IF(AND(V307&lt;0,BO307=1),8,0)+IF(AT307&lt;30,7,IF(AT307&lt;50,3,0))</f>
        <v>21</v>
      </c>
      <c r="CA307" s="42" t="n">
        <f aca="false">IF(AND(BV307=1,BW307=1),25,IF(BW307=1,22,IF(BV307=1,15,IF(BX307=1,12,0))))</f>
        <v>0</v>
      </c>
      <c r="CB307" s="42" t="n">
        <f aca="false">IF(W307&gt;0,6,0)+IF(F307&lt;BR307,4,0)</f>
        <v>4</v>
      </c>
      <c r="CC307" s="42" t="n">
        <f aca="false">IF(BC307&gt;=3,15,IF(BC307&gt;=p_RRmin,10,IF(BC307&gt;=1.5,4,0)))</f>
        <v>15</v>
      </c>
      <c r="CD307" s="42" t="n">
        <f aca="false">BY307+BZ307+CA307+CB307+CC307</f>
        <v>60</v>
      </c>
      <c r="CE307" s="42" t="n">
        <f aca="false">IF(AND(BS307&lt;&gt;1,BW307+BX307=0),1,0)</f>
        <v>0</v>
      </c>
      <c r="CF307" s="42" t="n">
        <f aca="false">IF(BU307=-1,1,0)</f>
        <v>0</v>
      </c>
      <c r="CG307" s="42" t="n">
        <f aca="false">IF(S307=-1,1,0)</f>
        <v>1</v>
      </c>
      <c r="CH307" s="42" t="n">
        <f aca="false">IF(BV307+BW307+BX307=0,1,0)</f>
        <v>1</v>
      </c>
      <c r="CI307" s="42" t="n">
        <f aca="false">IF(BC307&lt;p_RRmin,1,0)</f>
        <v>0</v>
      </c>
      <c r="CJ307" s="46" t="str">
        <f aca="false">IF(SUM(CE307:CI307)=0,IF(CD307&gt;=p_GradeA,"A",IF(CD307&gt;=p_GradeB,"B","C")),IF(AND(CI307=1,SUM(CE307:CH307)=0,CD307&gt;=p_GradeB),"B","C"))</f>
        <v>C</v>
      </c>
    </row>
    <row r="308" customFormat="false" ht="15" hidden="false" customHeight="false" outlineLevel="0" collapsed="false">
      <c r="A308" s="36" t="n">
        <v>46084</v>
      </c>
      <c r="B308" s="37" t="n">
        <v>29.4</v>
      </c>
      <c r="C308" s="37" t="n">
        <v>29.56</v>
      </c>
      <c r="D308" s="37" t="n">
        <v>29.27</v>
      </c>
      <c r="E308" s="37" t="n">
        <v>29.42</v>
      </c>
      <c r="F308" s="38" t="n">
        <v>3511400</v>
      </c>
      <c r="G308" s="39" t="n">
        <f aca="false">A308-WEEKDAY(A308,3)</f>
        <v>46083</v>
      </c>
      <c r="H308" s="40" t="n">
        <f aca="false">2/(p_EmaF+1)*E308+(1-2/(p_EmaF+1))*H307</f>
        <v>29.8075367711625</v>
      </c>
      <c r="I308" s="40" t="n">
        <f aca="false">2/(p_EmaS+1)*E308+(1-2/(p_EmaS+1))*I307</f>
        <v>29.5691416943813</v>
      </c>
      <c r="J308" s="41" t="n">
        <f aca="false">2/(p_MacdF+1)*E308+(1-2/(p_MacdF+1))*J307</f>
        <v>29.8113130926361</v>
      </c>
      <c r="K308" s="41" t="n">
        <f aca="false">2/(p_MacdS+1)*E308+(1-2/(p_MacdS+1))*K307</f>
        <v>29.5691416943813</v>
      </c>
      <c r="L308" s="41" t="n">
        <f aca="false">J308-K308</f>
        <v>0.242171398254808</v>
      </c>
      <c r="M308" s="41" t="n">
        <f aca="false">2/(p_MacdSig+1)*L308+(1-2/(p_MacdSig+1))*M307</f>
        <v>0.424618217321248</v>
      </c>
      <c r="N308" s="41" t="n">
        <f aca="false">L308-M308</f>
        <v>-0.182446819066441</v>
      </c>
      <c r="O308" s="42" t="n">
        <f aca="false">IF(H308&gt;H307,1,0)</f>
        <v>0</v>
      </c>
      <c r="P308" s="42" t="n">
        <f aca="false">IF(H308&lt;H307,1,0)</f>
        <v>1</v>
      </c>
      <c r="Q308" s="42" t="n">
        <f aca="false">IF(N308&gt;N307,1,0)</f>
        <v>0</v>
      </c>
      <c r="R308" s="42" t="n">
        <f aca="false">IF(N308&lt;N307,1,0)</f>
        <v>1</v>
      </c>
      <c r="S308" s="42" t="n">
        <f aca="false">IF(AND(O308=1,Q308=1),1,IF(AND(P308=1,R308=1),-1,0))</f>
        <v>-1</v>
      </c>
      <c r="T308" s="43" t="str">
        <f aca="false">IF(S308=1,"绿",IF(S308=-1,"红","蓝"))</f>
        <v>红</v>
      </c>
      <c r="U308" s="44" t="n">
        <f aca="false">F308*(E308-E307)</f>
        <v>456482.000000009</v>
      </c>
      <c r="V308" s="44" t="n">
        <f aca="false">2/(p_FiS+1)*U308+(1-2/(p_FiS+1))*V307</f>
        <v>-75898.6550983377</v>
      </c>
      <c r="W308" s="44" t="n">
        <f aca="false">2/(p_FiL+1)*U308+(1-2/(p_FiL+1))*W307</f>
        <v>-145145.432340455</v>
      </c>
      <c r="X308" s="41" t="n">
        <f aca="false">MAX(C308-D308,ABS(C308-E307),ABS(D308-E307))</f>
        <v>0.289999999999999</v>
      </c>
      <c r="Y308" s="41" t="n">
        <f aca="true">AVERAGE(OFFSET(X308,1-MIN(p_AtrN,ROW()-4),0,MIN(p_AtrN,ROW()-4),1))</f>
        <v>0.595384615384616</v>
      </c>
      <c r="Z308" s="41" t="n">
        <f aca="false">IF(AND(C308-C307&gt;D307-D308,C308-C307&gt;0),C308-C307,0)</f>
        <v>0</v>
      </c>
      <c r="AA308" s="41" t="n">
        <f aca="false">IF(AND(D307-D308&gt;C308-C307,D307-D308&gt;0),D307-D308,0)</f>
        <v>0</v>
      </c>
      <c r="AB308" s="41" t="n">
        <f aca="false">2/(p_AdxN+1)*X308+(1-2/(p_AdxN+1))*AB307</f>
        <v>0.616070262777723</v>
      </c>
      <c r="AC308" s="41" t="n">
        <f aca="false">2/(p_AdxN+1)*Z308+(1-2/(p_AdxN+1))*AC307</f>
        <v>0.0685581226743283</v>
      </c>
      <c r="AD308" s="41" t="n">
        <f aca="false">2/(p_AdxN+1)*AA308+(1-2/(p_AdxN+1))*AD307</f>
        <v>0.172229025352371</v>
      </c>
      <c r="AE308" s="45" t="n">
        <f aca="false">100*AC308/AB308</f>
        <v>11.1282960429246</v>
      </c>
      <c r="AF308" s="45" t="n">
        <f aca="false">100*AD308/AB308</f>
        <v>27.956068610718</v>
      </c>
      <c r="AG308" s="45" t="n">
        <f aca="false">IFERROR(100*ABS(AE308-AF308)/(AE308+AF308),0)</f>
        <v>43.0549983782968</v>
      </c>
      <c r="AH308" s="45" t="n">
        <f aca="false">2/(p_AdxN+1)*AG308+(1-2/(p_AdxN+1))*AH307</f>
        <v>35.5192271714349</v>
      </c>
      <c r="AI308" s="40" t="n">
        <f aca="false">I308*(1+p_ChPct)</f>
        <v>31.3432901960441</v>
      </c>
      <c r="AJ308" s="40" t="n">
        <f aca="false">I308*(1-p_ChPct)</f>
        <v>27.7949931927184</v>
      </c>
      <c r="AK308" s="40" t="n">
        <f aca="false">I308+1*Y308</f>
        <v>30.1645263097659</v>
      </c>
      <c r="AL308" s="40" t="n">
        <f aca="false">I308+2*Y308</f>
        <v>30.7599109251505</v>
      </c>
      <c r="AM308" s="40" t="n">
        <f aca="false">I308+3*Y308</f>
        <v>31.3552955405351</v>
      </c>
      <c r="AN308" s="40" t="n">
        <f aca="false">I308-1*Y308</f>
        <v>28.9737570789967</v>
      </c>
      <c r="AO308" s="40" t="n">
        <f aca="false">I308-2*Y308</f>
        <v>28.378372463612</v>
      </c>
      <c r="AP308" s="40" t="n">
        <f aca="false">I308-3*Y308</f>
        <v>27.7829878482274</v>
      </c>
      <c r="AQ308" s="40" t="n">
        <f aca="true">MAX(OFFSET(C308,1-MIN(p_StochN,ROW()-4),0,MIN(p_StochN,ROW()-4),1))</f>
        <v>30.3</v>
      </c>
      <c r="AR308" s="40" t="n">
        <f aca="true">MIN(OFFSET(D308,1-MIN(p_StochN,ROW()-4),0,MIN(p_StochN,ROW()-4),1))</f>
        <v>29.14</v>
      </c>
      <c r="AS308" s="45" t="n">
        <f aca="false">IF(AQ308=AR308,50,100*(E308-AR308)/(AQ308-AR308))</f>
        <v>24.1379310344829</v>
      </c>
      <c r="AT308" s="45" t="n">
        <f aca="true">AVERAGE(OFFSET(AS308,1-MIN(p_StochSm,ROW()-4),0,MIN(p_StochSm,ROW()-4),1))</f>
        <v>27.2816949734088</v>
      </c>
      <c r="AU308" s="45" t="n">
        <f aca="true">AVERAGE(OFFSET(AT308,1-MIN(p_StochSm,ROW()-4),0,MIN(p_StochSm,ROW()-4),1))</f>
        <v>28.561736770692</v>
      </c>
      <c r="AV308" s="41" t="n">
        <f aca="false">MAX(0,H308-D308)</f>
        <v>0.537536771162518</v>
      </c>
      <c r="AW308" s="41" t="n">
        <f aca="true">IF(COUNTIF(OFFSET(AV308,1-MIN(p_PenLb,ROW()-4),0,MIN(p_PenLb,ROW()-4),1),"&gt;0")&gt;0,SUM(OFFSET(AV308,1-MIN(p_PenLb,ROW()-4),0,MIN(p_PenLb,ROW()-4),1))/COUNTIF(OFFSET(AV308,1-MIN(p_PenLb,ROW()-4),0,MIN(p_PenLb,ROW()-4),1),"&gt;0"),0.5*Y308)</f>
        <v>0.423329630647272</v>
      </c>
      <c r="AX308" s="41" t="n">
        <f aca="false">2*H308-H307</f>
        <v>29.7429473093021</v>
      </c>
      <c r="AY308" s="40" t="n">
        <f aca="false">ROUND(MAX(AX308-AW308,0.01),2)</f>
        <v>29.32</v>
      </c>
      <c r="AZ308" s="40" t="n">
        <f aca="true">IF(MIN(p_StopLb,ROW()-4)&lt;2,D308,SMALL(OFFSET(D308,1-MIN(p_StopLb,ROW()-4),0,MIN(p_StopLb,ROW()-4),1),2))</f>
        <v>29.27</v>
      </c>
      <c r="BA308" s="40" t="n">
        <f aca="false">IF(MOD(ROUND(ROUNDDOWN(MIN(AZ308-0.01,AY308-p_StopAtr*Y308),2)*100,0),50)=0,ROUNDDOWN(MIN(AZ308-0.01,AY308-p_StopAtr*Y308),2)-0.01,ROUNDDOWN(MIN(AZ308-0.01,AY308-p_StopAtr*Y308),2))</f>
        <v>28.72</v>
      </c>
      <c r="BB308" s="40" t="n">
        <f aca="false">ROUND(AI308,2)</f>
        <v>31.34</v>
      </c>
      <c r="BC308" s="40" t="n">
        <f aca="false">IF(AY308-BA308&gt;0,(BB308-AY308)/(AY308-BA308),0)</f>
        <v>3.36666666666666</v>
      </c>
      <c r="BD308" s="42" t="n">
        <f aca="false">IF(N308&lt;0,1,0)</f>
        <v>1</v>
      </c>
      <c r="BE308" s="41" t="n">
        <f aca="false">IF(AND(BD308=1,BD307=0),N308,IF(BD308=1,MIN(BE307,N308),BE307))</f>
        <v>-0.182446819066441</v>
      </c>
      <c r="BF308" s="40" t="n">
        <f aca="false">IF(AND(BD308=1,BD307=0),D308,IF(BD308=1,MIN(BF307,D308),BF307))</f>
        <v>29.14</v>
      </c>
      <c r="BG308" s="42" t="n">
        <f aca="false">IF(AND(BD308=1,BD307=0),ROW(),IF(BD308=1,IF(N308&lt;BE307,ROW(),BG307),BG307))</f>
        <v>308</v>
      </c>
      <c r="BH308" s="41" t="n">
        <f aca="false">IF(AND(BD308=1,BD307=0),BE307,BH307)</f>
        <v>-0.356654552541767</v>
      </c>
      <c r="BI308" s="40" t="n">
        <f aca="false">IF(AND(BD308=1,BD307=0),BF307,BI307)</f>
        <v>25.91</v>
      </c>
      <c r="BJ308" s="42" t="n">
        <f aca="false">IF(AND(BD308=1,BD307=0),BG307,BJ307)</f>
        <v>261</v>
      </c>
      <c r="BK308" s="42" t="n">
        <f aca="false">IF(AND(ISNUMBER(BG308),ISNUMBER(BJ308)),BG308-BJ308,"")</f>
        <v>47</v>
      </c>
      <c r="BL308" s="42" t="n">
        <f aca="false">IF(AND(BD308=1,N308&gt;N307,ISNUMBER(BH308),ISNUMBER(BK308)),IF(AND(BE308&gt;BH308,BF308&lt;BI308,BK308&gt;=p_GapMin,BK308&lt;=p_GapMax),1,0),0)</f>
        <v>0</v>
      </c>
      <c r="BM308" s="42" t="n">
        <f aca="false">IF(AND(BL308=1,E308&gt;BI308),1,0)</f>
        <v>0</v>
      </c>
      <c r="BN308" s="42" t="n">
        <f aca="false">IF(BL308=1,IF(BE308&gt;=BH308*0.5,1,0),0)</f>
        <v>0</v>
      </c>
      <c r="BO308" s="42" t="n">
        <f aca="true">IF(V308&gt;MIN(OFFSET(V308,-MIN(p_FiLb-1,ROW()-5),0,MIN(p_FiLb-1,ROW()-5),1)),1,0)</f>
        <v>1</v>
      </c>
      <c r="BP308" s="44" t="n">
        <f aca="true">IF(COUNTIF(OFFSET(V308,1-MIN(100,ROW()-4),0,MIN(100,ROW()-4),1),"&lt;0")&gt;=5,AVERAGEIF(OFFSET(V308,1-MIN(100,ROW()-4),0,MIN(100,ROW()-4),1),"&lt;0"),"")</f>
        <v>-982729.793342792</v>
      </c>
      <c r="BQ308" s="42" t="n">
        <f aca="false">IF(ISNUMBER(BP308),IF(AND(V308&lt;5*BP308,V308&gt;V307,E308&lt;AJ308),1,0),0)</f>
        <v>0</v>
      </c>
      <c r="BR308" s="44" t="n">
        <f aca="true">AVERAGE(OFFSET(F308,1-MIN(5,ROW()-4),0,MIN(5,ROW()-4),1))</f>
        <v>3461920</v>
      </c>
      <c r="BS308" s="42" t="n">
        <f aca="false">IFERROR(IF(MATCH(G308,周线!$A$5:$A$84,0)&lt;=1,"",INDEX(周线!$R$5:$R$84,MATCH(G308,周线!$A$5:$A$84,0)-1)),"")</f>
        <v>1</v>
      </c>
      <c r="BT308" s="42" t="n">
        <f aca="false">IFERROR(IF(MATCH(G308,周线!$A$5:$A$84,0)&lt;=1,"",INDEX(周线!$S$5:$S$84,MATCH(G308,周线!$A$5:$A$84,0)-1)),"")</f>
        <v>1</v>
      </c>
      <c r="BU308" s="42" t="n">
        <f aca="false">IFERROR(IF(MATCH(G308,周线!$A$5:$A$84,0)&lt;=1,"",INDEX(周线!$U$5:$U$84,MATCH(G308,周线!$A$5:$A$84,0)-1)),"")</f>
        <v>1</v>
      </c>
      <c r="BV308" s="42" t="n">
        <f aca="false">IF(AND(BS308=1,S308&lt;&gt;-1,V308&lt;0,BO308=1,E308&lt;=H308,E308&gt;=AJ308),1,0)</f>
        <v>0</v>
      </c>
      <c r="BW308" s="42" t="n">
        <f aca="false">BL308</f>
        <v>0</v>
      </c>
      <c r="BX308" s="42" t="n">
        <f aca="false">BQ308</f>
        <v>0</v>
      </c>
      <c r="BY308" s="42" t="n">
        <f aca="false">IF(BS308=1,10,0)+IF(BU308=1,5,IF(BU308=-1,0,3))+IF(BT308=1,5,0)+IF(AND(AE308&gt;AF308,AH308&gt;AH307),5,0)</f>
        <v>20</v>
      </c>
      <c r="BZ308" s="42" t="n">
        <f aca="false">IF(AND(E308&lt;=H308,E308&gt;=I308),10,IF(AND(E308&gt;=AJ308,E308&lt;I308),6,0))+IF(AND(V308&lt;0,BO308=1),8,0)+IF(AT308&lt;30,7,IF(AT308&lt;50,3,0))</f>
        <v>21</v>
      </c>
      <c r="CA308" s="42" t="n">
        <f aca="false">IF(AND(BV308=1,BW308=1),25,IF(BW308=1,22,IF(BV308=1,15,IF(BX308=1,12,0))))</f>
        <v>0</v>
      </c>
      <c r="CB308" s="42" t="n">
        <f aca="false">IF(W308&gt;0,6,0)+IF(F308&lt;BR308,4,0)</f>
        <v>0</v>
      </c>
      <c r="CC308" s="42" t="n">
        <f aca="false">IF(BC308&gt;=3,15,IF(BC308&gt;=p_RRmin,10,IF(BC308&gt;=1.5,4,0)))</f>
        <v>15</v>
      </c>
      <c r="CD308" s="42" t="n">
        <f aca="false">BY308+BZ308+CA308+CB308+CC308</f>
        <v>56</v>
      </c>
      <c r="CE308" s="42" t="n">
        <f aca="false">IF(AND(BS308&lt;&gt;1,BW308+BX308=0),1,0)</f>
        <v>0</v>
      </c>
      <c r="CF308" s="42" t="n">
        <f aca="false">IF(BU308=-1,1,0)</f>
        <v>0</v>
      </c>
      <c r="CG308" s="42" t="n">
        <f aca="false">IF(S308=-1,1,0)</f>
        <v>1</v>
      </c>
      <c r="CH308" s="42" t="n">
        <f aca="false">IF(BV308+BW308+BX308=0,1,0)</f>
        <v>1</v>
      </c>
      <c r="CI308" s="42" t="n">
        <f aca="false">IF(BC308&lt;p_RRmin,1,0)</f>
        <v>0</v>
      </c>
      <c r="CJ308" s="46" t="str">
        <f aca="false">IF(SUM(CE308:CI308)=0,IF(CD308&gt;=p_GradeA,"A",IF(CD308&gt;=p_GradeB,"B","C")),IF(AND(CI308=1,SUM(CE308:CH308)=0,CD308&gt;=p_GradeB),"B","C"))</f>
        <v>C</v>
      </c>
    </row>
    <row r="309" customFormat="false" ht="15" hidden="false" customHeight="false" outlineLevel="0" collapsed="false">
      <c r="A309" s="36" t="n">
        <v>46085</v>
      </c>
      <c r="B309" s="37" t="n">
        <v>29.38</v>
      </c>
      <c r="C309" s="37" t="n">
        <v>30.05</v>
      </c>
      <c r="D309" s="37" t="n">
        <v>29.26</v>
      </c>
      <c r="E309" s="37" t="n">
        <v>29.97</v>
      </c>
      <c r="F309" s="38" t="n">
        <v>3752500</v>
      </c>
      <c r="G309" s="39" t="n">
        <f aca="false">A309-WEEKDAY(A309,3)</f>
        <v>46083</v>
      </c>
      <c r="H309" s="40" t="n">
        <f aca="false">2/(p_EmaF+1)*E309+(1-2/(p_EmaF+1))*H308</f>
        <v>29.8307458038536</v>
      </c>
      <c r="I309" s="40" t="n">
        <f aca="false">2/(p_EmaS+1)*E309+(1-2/(p_EmaS+1))*I308</f>
        <v>29.5988349022049</v>
      </c>
      <c r="J309" s="41" t="n">
        <f aca="false">2/(p_MacdF+1)*E309+(1-2/(p_MacdF+1))*J308</f>
        <v>29.8357264629998</v>
      </c>
      <c r="K309" s="41" t="n">
        <f aca="false">2/(p_MacdS+1)*E309+(1-2/(p_MacdS+1))*K308</f>
        <v>29.5988349022049</v>
      </c>
      <c r="L309" s="41" t="n">
        <f aca="false">J309-K309</f>
        <v>0.236891560794877</v>
      </c>
      <c r="M309" s="41" t="n">
        <f aca="false">2/(p_MacdSig+1)*L309+(1-2/(p_MacdSig+1))*M308</f>
        <v>0.387072886015974</v>
      </c>
      <c r="N309" s="41" t="n">
        <f aca="false">L309-M309</f>
        <v>-0.150181325221097</v>
      </c>
      <c r="O309" s="42" t="n">
        <f aca="false">IF(H309&gt;H308,1,0)</f>
        <v>1</v>
      </c>
      <c r="P309" s="42" t="n">
        <f aca="false">IF(H309&lt;H308,1,0)</f>
        <v>0</v>
      </c>
      <c r="Q309" s="42" t="n">
        <f aca="false">IF(N309&gt;N308,1,0)</f>
        <v>1</v>
      </c>
      <c r="R309" s="42" t="n">
        <f aca="false">IF(N309&lt;N308,1,0)</f>
        <v>0</v>
      </c>
      <c r="S309" s="42" t="n">
        <f aca="false">IF(AND(O309=1,Q309=1),1,IF(AND(P309=1,R309=1),-1,0))</f>
        <v>1</v>
      </c>
      <c r="T309" s="43" t="str">
        <f aca="false">IF(S309=1,"绿",IF(S309=-1,"红","蓝"))</f>
        <v>绿</v>
      </c>
      <c r="U309" s="44" t="n">
        <f aca="false">F309*(E309-E308)</f>
        <v>2063874.99999999</v>
      </c>
      <c r="V309" s="44" t="n">
        <f aca="false">2/(p_FiS+1)*U309+(1-2/(p_FiS+1))*V308</f>
        <v>1350617.11496721</v>
      </c>
      <c r="W309" s="44" t="n">
        <f aca="false">2/(p_FiL+1)*U309+(1-2/(p_FiL+1))*W308</f>
        <v>170428.915136751</v>
      </c>
      <c r="X309" s="41" t="n">
        <f aca="false">MAX(C309-D309,ABS(C309-E308),ABS(D309-E308))</f>
        <v>0.789999999999999</v>
      </c>
      <c r="Y309" s="41" t="n">
        <f aca="true">AVERAGE(OFFSET(X309,1-MIN(p_AtrN,ROW()-4),0,MIN(p_AtrN,ROW()-4),1))</f>
        <v>0.597692307692308</v>
      </c>
      <c r="Z309" s="41" t="n">
        <f aca="false">IF(AND(C309-C308&gt;D308-D309,C309-C308&gt;0),C309-C308,0)</f>
        <v>0.490000000000002</v>
      </c>
      <c r="AA309" s="41" t="n">
        <f aca="false">IF(AND(D308-D309&gt;C309-C308,D308-D309&gt;0),D308-D309,0)</f>
        <v>0</v>
      </c>
      <c r="AB309" s="41" t="n">
        <f aca="false">2/(p_AdxN+1)*X309+(1-2/(p_AdxN+1))*AB308</f>
        <v>0.640917368095191</v>
      </c>
      <c r="AC309" s="41" t="n">
        <f aca="false">2/(p_AdxN+1)*Z309+(1-2/(p_AdxN+1))*AC308</f>
        <v>0.128764105149425</v>
      </c>
      <c r="AD309" s="41" t="n">
        <f aca="false">2/(p_AdxN+1)*AA309+(1-2/(p_AdxN+1))*AD308</f>
        <v>0.147624878873461</v>
      </c>
      <c r="AE309" s="45" t="n">
        <f aca="false">100*AC309/AB309</f>
        <v>20.0905938205594</v>
      </c>
      <c r="AF309" s="45" t="n">
        <f aca="false">100*AD309/AB309</f>
        <v>23.0333715736558</v>
      </c>
      <c r="AG309" s="45" t="n">
        <f aca="false">IFERROR(100*ABS(AE309-AF309)/(AE309+AF309),0)</f>
        <v>6.82399618447692</v>
      </c>
      <c r="AH309" s="45" t="n">
        <f aca="false">2/(p_AdxN+1)*AG309+(1-2/(p_AdxN+1))*AH308</f>
        <v>31.4199084590123</v>
      </c>
      <c r="AI309" s="40" t="n">
        <f aca="false">I309*(1+p_ChPct)</f>
        <v>31.3747649963372</v>
      </c>
      <c r="AJ309" s="40" t="n">
        <f aca="false">I309*(1-p_ChPct)</f>
        <v>27.8229048080726</v>
      </c>
      <c r="AK309" s="40" t="n">
        <f aca="false">I309+1*Y309</f>
        <v>30.1965272098972</v>
      </c>
      <c r="AL309" s="40" t="n">
        <f aca="false">I309+2*Y309</f>
        <v>30.7942195175895</v>
      </c>
      <c r="AM309" s="40" t="n">
        <f aca="false">I309+3*Y309</f>
        <v>31.3919118252818</v>
      </c>
      <c r="AN309" s="40" t="n">
        <f aca="false">I309-1*Y309</f>
        <v>29.0011425945126</v>
      </c>
      <c r="AO309" s="40" t="n">
        <f aca="false">I309-2*Y309</f>
        <v>28.4034502868203</v>
      </c>
      <c r="AP309" s="40" t="n">
        <f aca="false">I309-3*Y309</f>
        <v>27.805757979128</v>
      </c>
      <c r="AQ309" s="40" t="n">
        <f aca="true">MAX(OFFSET(C309,1-MIN(p_StochN,ROW()-4),0,MIN(p_StochN,ROW()-4),1))</f>
        <v>30.3</v>
      </c>
      <c r="AR309" s="40" t="n">
        <f aca="true">MIN(OFFSET(D309,1-MIN(p_StochN,ROW()-4),0,MIN(p_StochN,ROW()-4),1))</f>
        <v>29.14</v>
      </c>
      <c r="AS309" s="45" t="n">
        <f aca="false">IF(AQ309=AR309,50,100*(E309-AR309)/(AQ309-AR309))</f>
        <v>71.5517241379309</v>
      </c>
      <c r="AT309" s="45" t="n">
        <f aca="true">AVERAGE(OFFSET(AS309,1-MIN(p_StochSm,ROW()-4),0,MIN(p_StochSm,ROW()-4),1))</f>
        <v>36.2068965517241</v>
      </c>
      <c r="AU309" s="45" t="n">
        <f aca="true">AVERAGE(OFFSET(AT309,1-MIN(p_StochSm,ROW()-4),0,MIN(p_StochSm,ROW()-4),1))</f>
        <v>30.0278722821183</v>
      </c>
      <c r="AV309" s="41" t="n">
        <f aca="false">MAX(0,H309-D309)</f>
        <v>0.570745803853587</v>
      </c>
      <c r="AW309" s="41" t="n">
        <f aca="true">IF(COUNTIF(OFFSET(AV309,1-MIN(p_PenLb,ROW()-4),0,MIN(p_PenLb,ROW()-4),1),"&gt;0")&gt;0,SUM(OFFSET(AV309,1-MIN(p_PenLb,ROW()-4),0,MIN(p_PenLb,ROW()-4),1))/COUNTIF(OFFSET(AV309,1-MIN(p_PenLb,ROW()-4),0,MIN(p_PenLb,ROW()-4),1),"&gt;0"),0.5*Y309)</f>
        <v>0.42506879416352</v>
      </c>
      <c r="AX309" s="41" t="n">
        <f aca="false">2*H309-H308</f>
        <v>29.8539548365447</v>
      </c>
      <c r="AY309" s="40" t="n">
        <f aca="false">ROUND(MAX(AX309-AW309,0.01),2)</f>
        <v>29.43</v>
      </c>
      <c r="AZ309" s="40" t="n">
        <f aca="true">IF(MIN(p_StopLb,ROW()-4)&lt;2,D309,SMALL(OFFSET(D309,1-MIN(p_StopLb,ROW()-4),0,MIN(p_StopLb,ROW()-4),1),2))</f>
        <v>29.26</v>
      </c>
      <c r="BA309" s="40" t="n">
        <f aca="false">IF(MOD(ROUND(ROUNDDOWN(MIN(AZ309-0.01,AY309-p_StopAtr*Y309),2)*100,0),50)=0,ROUNDDOWN(MIN(AZ309-0.01,AY309-p_StopAtr*Y309),2)-0.01,ROUNDDOWN(MIN(AZ309-0.01,AY309-p_StopAtr*Y309),2))</f>
        <v>28.83</v>
      </c>
      <c r="BB309" s="40" t="n">
        <f aca="false">ROUND(AI309,2)</f>
        <v>31.37</v>
      </c>
      <c r="BC309" s="40" t="n">
        <f aca="false">IF(AY309-BA309&gt;0,(BB309-AY309)/(AY309-BA309),0)</f>
        <v>3.23333333333333</v>
      </c>
      <c r="BD309" s="42" t="n">
        <f aca="false">IF(N309&lt;0,1,0)</f>
        <v>1</v>
      </c>
      <c r="BE309" s="41" t="n">
        <f aca="false">IF(AND(BD309=1,BD308=0),N309,IF(BD309=1,MIN(BE308,N309),BE308))</f>
        <v>-0.182446819066441</v>
      </c>
      <c r="BF309" s="40" t="n">
        <f aca="false">IF(AND(BD309=1,BD308=0),D309,IF(BD309=1,MIN(BF308,D309),BF308))</f>
        <v>29.14</v>
      </c>
      <c r="BG309" s="42" t="n">
        <f aca="false">IF(AND(BD309=1,BD308=0),ROW(),IF(BD309=1,IF(N309&lt;BE308,ROW(),BG308),BG308))</f>
        <v>308</v>
      </c>
      <c r="BH309" s="41" t="n">
        <f aca="false">IF(AND(BD309=1,BD308=0),BE308,BH308)</f>
        <v>-0.356654552541767</v>
      </c>
      <c r="BI309" s="40" t="n">
        <f aca="false">IF(AND(BD309=1,BD308=0),BF308,BI308)</f>
        <v>25.91</v>
      </c>
      <c r="BJ309" s="42" t="n">
        <f aca="false">IF(AND(BD309=1,BD308=0),BG308,BJ308)</f>
        <v>261</v>
      </c>
      <c r="BK309" s="42" t="n">
        <f aca="false">IF(AND(ISNUMBER(BG309),ISNUMBER(BJ309)),BG309-BJ309,"")</f>
        <v>47</v>
      </c>
      <c r="BL309" s="42" t="n">
        <f aca="false">IF(AND(BD309=1,N309&gt;N308,ISNUMBER(BH309),ISNUMBER(BK309)),IF(AND(BE309&gt;BH309,BF309&lt;BI309,BK309&gt;=p_GapMin,BK309&lt;=p_GapMax),1,0),0)</f>
        <v>0</v>
      </c>
      <c r="BM309" s="42" t="n">
        <f aca="false">IF(AND(BL309=1,E309&gt;BI309),1,0)</f>
        <v>0</v>
      </c>
      <c r="BN309" s="42" t="n">
        <f aca="false">IF(BL309=1,IF(BE309&gt;=BH309*0.5,1,0),0)</f>
        <v>0</v>
      </c>
      <c r="BO309" s="42" t="n">
        <f aca="true">IF(V309&gt;MIN(OFFSET(V309,-MIN(p_FiLb-1,ROW()-5),0,MIN(p_FiLb-1,ROW()-5),1)),1,0)</f>
        <v>1</v>
      </c>
      <c r="BP309" s="44" t="n">
        <f aca="true">IF(COUNTIF(OFFSET(V309,1-MIN(100,ROW()-4),0,MIN(100,ROW()-4),1),"&lt;0")&gt;=5,AVERAGEIF(OFFSET(V309,1-MIN(100,ROW()-4),0,MIN(100,ROW()-4),1),"&lt;0"),"")</f>
        <v>-982729.793342792</v>
      </c>
      <c r="BQ309" s="42" t="n">
        <f aca="false">IF(ISNUMBER(BP309),IF(AND(V309&lt;5*BP309,V309&gt;V308,E309&lt;AJ309),1,0),0)</f>
        <v>0</v>
      </c>
      <c r="BR309" s="44" t="n">
        <f aca="true">AVERAGE(OFFSET(F309,1-MIN(5,ROW()-4),0,MIN(5,ROW()-4),1))</f>
        <v>3528440</v>
      </c>
      <c r="BS309" s="42" t="n">
        <f aca="false">IFERROR(IF(MATCH(G309,周线!$A$5:$A$84,0)&lt;=1,"",INDEX(周线!$R$5:$R$84,MATCH(G309,周线!$A$5:$A$84,0)-1)),"")</f>
        <v>1</v>
      </c>
      <c r="BT309" s="42" t="n">
        <f aca="false">IFERROR(IF(MATCH(G309,周线!$A$5:$A$84,0)&lt;=1,"",INDEX(周线!$S$5:$S$84,MATCH(G309,周线!$A$5:$A$84,0)-1)),"")</f>
        <v>1</v>
      </c>
      <c r="BU309" s="42" t="n">
        <f aca="false">IFERROR(IF(MATCH(G309,周线!$A$5:$A$84,0)&lt;=1,"",INDEX(周线!$U$5:$U$84,MATCH(G309,周线!$A$5:$A$84,0)-1)),"")</f>
        <v>1</v>
      </c>
      <c r="BV309" s="42" t="n">
        <f aca="false">IF(AND(BS309=1,S309&lt;&gt;-1,V309&lt;0,BO309=1,E309&lt;=H309,E309&gt;=AJ309),1,0)</f>
        <v>0</v>
      </c>
      <c r="BW309" s="42" t="n">
        <f aca="false">BL309</f>
        <v>0</v>
      </c>
      <c r="BX309" s="42" t="n">
        <f aca="false">BQ309</f>
        <v>0</v>
      </c>
      <c r="BY309" s="42" t="n">
        <f aca="false">IF(BS309=1,10,0)+IF(BU309=1,5,IF(BU309=-1,0,3))+IF(BT309=1,5,0)+IF(AND(AE309&gt;AF309,AH309&gt;AH308),5,0)</f>
        <v>20</v>
      </c>
      <c r="BZ309" s="42" t="n">
        <f aca="false">IF(AND(E309&lt;=H309,E309&gt;=I309),10,IF(AND(E309&gt;=AJ309,E309&lt;I309),6,0))+IF(AND(V309&lt;0,BO309=1),8,0)+IF(AT309&lt;30,7,IF(AT309&lt;50,3,0))</f>
        <v>3</v>
      </c>
      <c r="CA309" s="42" t="n">
        <f aca="false">IF(AND(BV309=1,BW309=1),25,IF(BW309=1,22,IF(BV309=1,15,IF(BX309=1,12,0))))</f>
        <v>0</v>
      </c>
      <c r="CB309" s="42" t="n">
        <f aca="false">IF(W309&gt;0,6,0)+IF(F309&lt;BR309,4,0)</f>
        <v>6</v>
      </c>
      <c r="CC309" s="42" t="n">
        <f aca="false">IF(BC309&gt;=3,15,IF(BC309&gt;=p_RRmin,10,IF(BC309&gt;=1.5,4,0)))</f>
        <v>15</v>
      </c>
      <c r="CD309" s="42" t="n">
        <f aca="false">BY309+BZ309+CA309+CB309+CC309</f>
        <v>44</v>
      </c>
      <c r="CE309" s="42" t="n">
        <f aca="false">IF(AND(BS309&lt;&gt;1,BW309+BX309=0),1,0)</f>
        <v>0</v>
      </c>
      <c r="CF309" s="42" t="n">
        <f aca="false">IF(BU309=-1,1,0)</f>
        <v>0</v>
      </c>
      <c r="CG309" s="42" t="n">
        <f aca="false">IF(S309=-1,1,0)</f>
        <v>0</v>
      </c>
      <c r="CH309" s="42" t="n">
        <f aca="false">IF(BV309+BW309+BX309=0,1,0)</f>
        <v>1</v>
      </c>
      <c r="CI309" s="42" t="n">
        <f aca="false">IF(BC309&lt;p_RRmin,1,0)</f>
        <v>0</v>
      </c>
      <c r="CJ309" s="46" t="str">
        <f aca="false">IF(SUM(CE309:CI309)=0,IF(CD309&gt;=p_GradeA,"A",IF(CD309&gt;=p_GradeB,"B","C")),IF(AND(CI309=1,SUM(CE309:CH309)=0,CD309&gt;=p_GradeB),"B","C"))</f>
        <v>C</v>
      </c>
    </row>
    <row r="310" customFormat="false" ht="15" hidden="false" customHeight="false" outlineLevel="0" collapsed="false">
      <c r="A310" s="36" t="n">
        <v>46086</v>
      </c>
      <c r="B310" s="37" t="n">
        <v>30.14</v>
      </c>
      <c r="C310" s="37" t="n">
        <v>30.27</v>
      </c>
      <c r="D310" s="37" t="n">
        <v>29.54</v>
      </c>
      <c r="E310" s="37" t="n">
        <v>29.69</v>
      </c>
      <c r="F310" s="38" t="n">
        <v>3729700</v>
      </c>
      <c r="G310" s="39" t="n">
        <f aca="false">A310-WEEKDAY(A310,3)</f>
        <v>46083</v>
      </c>
      <c r="H310" s="40" t="n">
        <f aca="false">2/(p_EmaF+1)*E310+(1-2/(p_EmaF+1))*H309</f>
        <v>29.8106392604459</v>
      </c>
      <c r="I310" s="40" t="n">
        <f aca="false">2/(p_EmaS+1)*E310+(1-2/(p_EmaS+1))*I309</f>
        <v>29.6055878724119</v>
      </c>
      <c r="J310" s="41" t="n">
        <f aca="false">2/(p_MacdF+1)*E310+(1-2/(p_MacdF+1))*J309</f>
        <v>29.8133070071536</v>
      </c>
      <c r="K310" s="41" t="n">
        <f aca="false">2/(p_MacdS+1)*E310+(1-2/(p_MacdS+1))*K309</f>
        <v>29.6055878724119</v>
      </c>
      <c r="L310" s="41" t="n">
        <f aca="false">J310-K310</f>
        <v>0.207719134741712</v>
      </c>
      <c r="M310" s="41" t="n">
        <f aca="false">2/(p_MacdSig+1)*L310+(1-2/(p_MacdSig+1))*M309</f>
        <v>0.351202135761122</v>
      </c>
      <c r="N310" s="41" t="n">
        <f aca="false">L310-M310</f>
        <v>-0.14348300101941</v>
      </c>
      <c r="O310" s="42" t="n">
        <f aca="false">IF(H310&gt;H309,1,0)</f>
        <v>0</v>
      </c>
      <c r="P310" s="42" t="n">
        <f aca="false">IF(H310&lt;H309,1,0)</f>
        <v>1</v>
      </c>
      <c r="Q310" s="42" t="n">
        <f aca="false">IF(N310&gt;N309,1,0)</f>
        <v>1</v>
      </c>
      <c r="R310" s="42" t="n">
        <f aca="false">IF(N310&lt;N309,1,0)</f>
        <v>0</v>
      </c>
      <c r="S310" s="42" t="n">
        <f aca="false">IF(AND(O310=1,Q310=1),1,IF(AND(P310=1,R310=1),-1,0))</f>
        <v>0</v>
      </c>
      <c r="T310" s="43" t="str">
        <f aca="false">IF(S310=1,"绿",IF(S310=-1,"红","蓝"))</f>
        <v>蓝</v>
      </c>
      <c r="U310" s="44" t="n">
        <f aca="false">F310*(E310-E309)</f>
        <v>-1044315.99999999</v>
      </c>
      <c r="V310" s="44" t="n">
        <f aca="false">2/(p_FiS+1)*U310+(1-2/(p_FiS+1))*V309</f>
        <v>-246004.961677589</v>
      </c>
      <c r="W310" s="44" t="n">
        <f aca="false">2/(p_FiL+1)*U310+(1-2/(p_FiL+1))*W309</f>
        <v>-3106.07273992608</v>
      </c>
      <c r="X310" s="41" t="n">
        <f aca="false">MAX(C310-D310,ABS(C310-E309),ABS(D310-E309))</f>
        <v>0.73</v>
      </c>
      <c r="Y310" s="41" t="n">
        <f aca="true">AVERAGE(OFFSET(X310,1-MIN(p_AtrN,ROW()-4),0,MIN(p_AtrN,ROW()-4),1))</f>
        <v>0.60923076923077</v>
      </c>
      <c r="Z310" s="41" t="n">
        <f aca="false">IF(AND(C310-C309&gt;D309-D310,C310-C309&gt;0),C310-C309,0)</f>
        <v>0.219999999999999</v>
      </c>
      <c r="AA310" s="41" t="n">
        <f aca="false">IF(AND(D309-D310&gt;C310-C309,D309-D310&gt;0),D309-D310,0)</f>
        <v>0</v>
      </c>
      <c r="AB310" s="41" t="n">
        <f aca="false">2/(p_AdxN+1)*X310+(1-2/(p_AdxN+1))*AB309</f>
        <v>0.653643458367307</v>
      </c>
      <c r="AC310" s="41" t="n">
        <f aca="false">2/(p_AdxN+1)*Z310+(1-2/(p_AdxN+1))*AC309</f>
        <v>0.141797804413792</v>
      </c>
      <c r="AD310" s="41" t="n">
        <f aca="false">2/(p_AdxN+1)*AA310+(1-2/(p_AdxN+1))*AD309</f>
        <v>0.126535610462966</v>
      </c>
      <c r="AE310" s="45" t="n">
        <f aca="false">100*AC310/AB310</f>
        <v>21.6934481021167</v>
      </c>
      <c r="AF310" s="45" t="n">
        <f aca="false">100*AD310/AB310</f>
        <v>19.3585063604907</v>
      </c>
      <c r="AG310" s="45" t="n">
        <f aca="false">IFERROR(100*ABS(AE310-AF310)/(AE310+AF310),0)</f>
        <v>5.68777241471607</v>
      </c>
      <c r="AH310" s="45" t="n">
        <f aca="false">2/(p_AdxN+1)*AG310+(1-2/(p_AdxN+1))*AH309</f>
        <v>27.7438890241129</v>
      </c>
      <c r="AI310" s="40" t="n">
        <f aca="false">I310*(1+p_ChPct)</f>
        <v>31.3819231447566</v>
      </c>
      <c r="AJ310" s="40" t="n">
        <f aca="false">I310*(1-p_ChPct)</f>
        <v>27.8292526000672</v>
      </c>
      <c r="AK310" s="40" t="n">
        <f aca="false">I310+1*Y310</f>
        <v>30.2148186416427</v>
      </c>
      <c r="AL310" s="40" t="n">
        <f aca="false">I310+2*Y310</f>
        <v>30.8240494108735</v>
      </c>
      <c r="AM310" s="40" t="n">
        <f aca="false">I310+3*Y310</f>
        <v>31.4332801801042</v>
      </c>
      <c r="AN310" s="40" t="n">
        <f aca="false">I310-1*Y310</f>
        <v>28.9963571031812</v>
      </c>
      <c r="AO310" s="40" t="n">
        <f aca="false">I310-2*Y310</f>
        <v>28.3871263339504</v>
      </c>
      <c r="AP310" s="40" t="n">
        <f aca="false">I310-3*Y310</f>
        <v>27.7778955647196</v>
      </c>
      <c r="AQ310" s="40" t="n">
        <f aca="true">MAX(OFFSET(C310,1-MIN(p_StochN,ROW()-4),0,MIN(p_StochN,ROW()-4),1))</f>
        <v>30.3</v>
      </c>
      <c r="AR310" s="40" t="n">
        <f aca="true">MIN(OFFSET(D310,1-MIN(p_StochN,ROW()-4),0,MIN(p_StochN,ROW()-4),1))</f>
        <v>29.14</v>
      </c>
      <c r="AS310" s="45" t="n">
        <f aca="false">IF(AQ310=AR310,50,100*(E310-AR310)/(AQ310-AR310))</f>
        <v>47.4137931034483</v>
      </c>
      <c r="AT310" s="45" t="n">
        <f aca="true">AVERAGE(OFFSET(AS310,1-MIN(p_StochSm,ROW()-4),0,MIN(p_StochSm,ROW()-4),1))</f>
        <v>47.7011494252874</v>
      </c>
      <c r="AU310" s="45" t="n">
        <f aca="true">AVERAGE(OFFSET(AT310,1-MIN(p_StochSm,ROW()-4),0,MIN(p_StochSm,ROW()-4),1))</f>
        <v>37.0632469834734</v>
      </c>
      <c r="AV310" s="41" t="n">
        <f aca="false">MAX(0,H310-D310)</f>
        <v>0.270639260445936</v>
      </c>
      <c r="AW310" s="41" t="n">
        <f aca="true">IF(COUNTIF(OFFSET(AV310,1-MIN(p_PenLb,ROW()-4),0,MIN(p_PenLb,ROW()-4),1),"&gt;0")&gt;0,SUM(OFFSET(AV310,1-MIN(p_PenLb,ROW()-4),0,MIN(p_PenLb,ROW()-4),1))/COUNTIF(OFFSET(AV310,1-MIN(p_PenLb,ROW()-4),0,MIN(p_PenLb,ROW()-4),1),"&gt;0"),0.5*Y310)</f>
        <v>0.404471593660963</v>
      </c>
      <c r="AX310" s="41" t="n">
        <f aca="false">2*H310-H309</f>
        <v>29.7905327170383</v>
      </c>
      <c r="AY310" s="40" t="n">
        <f aca="false">ROUND(MAX(AX310-AW310,0.01),2)</f>
        <v>29.39</v>
      </c>
      <c r="AZ310" s="40" t="n">
        <f aca="true">IF(MIN(p_StopLb,ROW()-4)&lt;2,D310,SMALL(OFFSET(D310,1-MIN(p_StopLb,ROW()-4),0,MIN(p_StopLb,ROW()-4),1),2))</f>
        <v>29.26</v>
      </c>
      <c r="BA310" s="40" t="n">
        <f aca="false">IF(MOD(ROUND(ROUNDDOWN(MIN(AZ310-0.01,AY310-p_StopAtr*Y310),2)*100,0),50)=0,ROUNDDOWN(MIN(AZ310-0.01,AY310-p_StopAtr*Y310),2)-0.01,ROUNDDOWN(MIN(AZ310-0.01,AY310-p_StopAtr*Y310),2))</f>
        <v>28.78</v>
      </c>
      <c r="BB310" s="40" t="n">
        <f aca="false">ROUND(AI310,2)</f>
        <v>31.38</v>
      </c>
      <c r="BC310" s="40" t="n">
        <f aca="false">IF(AY310-BA310&gt;0,(BB310-AY310)/(AY310-BA310),0)</f>
        <v>3.26229508196721</v>
      </c>
      <c r="BD310" s="42" t="n">
        <f aca="false">IF(N310&lt;0,1,0)</f>
        <v>1</v>
      </c>
      <c r="BE310" s="41" t="n">
        <f aca="false">IF(AND(BD310=1,BD309=0),N310,IF(BD310=1,MIN(BE309,N310),BE309))</f>
        <v>-0.182446819066441</v>
      </c>
      <c r="BF310" s="40" t="n">
        <f aca="false">IF(AND(BD310=1,BD309=0),D310,IF(BD310=1,MIN(BF309,D310),BF309))</f>
        <v>29.14</v>
      </c>
      <c r="BG310" s="42" t="n">
        <f aca="false">IF(AND(BD310=1,BD309=0),ROW(),IF(BD310=1,IF(N310&lt;BE309,ROW(),BG309),BG309))</f>
        <v>308</v>
      </c>
      <c r="BH310" s="41" t="n">
        <f aca="false">IF(AND(BD310=1,BD309=0),BE309,BH309)</f>
        <v>-0.356654552541767</v>
      </c>
      <c r="BI310" s="40" t="n">
        <f aca="false">IF(AND(BD310=1,BD309=0),BF309,BI309)</f>
        <v>25.91</v>
      </c>
      <c r="BJ310" s="42" t="n">
        <f aca="false">IF(AND(BD310=1,BD309=0),BG309,BJ309)</f>
        <v>261</v>
      </c>
      <c r="BK310" s="42" t="n">
        <f aca="false">IF(AND(ISNUMBER(BG310),ISNUMBER(BJ310)),BG310-BJ310,"")</f>
        <v>47</v>
      </c>
      <c r="BL310" s="42" t="n">
        <f aca="false">IF(AND(BD310=1,N310&gt;N309,ISNUMBER(BH310),ISNUMBER(BK310)),IF(AND(BE310&gt;BH310,BF310&lt;BI310,BK310&gt;=p_GapMin,BK310&lt;=p_GapMax),1,0),0)</f>
        <v>0</v>
      </c>
      <c r="BM310" s="42" t="n">
        <f aca="false">IF(AND(BL310=1,E310&gt;BI310),1,0)</f>
        <v>0</v>
      </c>
      <c r="BN310" s="42" t="n">
        <f aca="false">IF(BL310=1,IF(BE310&gt;=BH310*0.5,1,0),0)</f>
        <v>0</v>
      </c>
      <c r="BO310" s="42" t="n">
        <f aca="true">IF(V310&gt;MIN(OFFSET(V310,-MIN(p_FiLb-1,ROW()-5),0,MIN(p_FiLb-1,ROW()-5),1)),1,0)</f>
        <v>1</v>
      </c>
      <c r="BP310" s="44" t="n">
        <f aca="true">IF(COUNTIF(OFFSET(V310,1-MIN(100,ROW()-4),0,MIN(100,ROW()-4),1),"&lt;0")&gt;=5,AVERAGEIF(OFFSET(V310,1-MIN(100,ROW()-4),0,MIN(100,ROW()-4),1),"&lt;0"),"")</f>
        <v>-985274.422827148</v>
      </c>
      <c r="BQ310" s="42" t="n">
        <f aca="false">IF(ISNUMBER(BP310),IF(AND(V310&lt;5*BP310,V310&gt;V309,E310&lt;AJ310),1,0),0)</f>
        <v>0</v>
      </c>
      <c r="BR310" s="44" t="n">
        <f aca="true">AVERAGE(OFFSET(F310,1-MIN(5,ROW()-4),0,MIN(5,ROW()-4),1))</f>
        <v>3611300</v>
      </c>
      <c r="BS310" s="42" t="n">
        <f aca="false">IFERROR(IF(MATCH(G310,周线!$A$5:$A$84,0)&lt;=1,"",INDEX(周线!$R$5:$R$84,MATCH(G310,周线!$A$5:$A$84,0)-1)),"")</f>
        <v>1</v>
      </c>
      <c r="BT310" s="42" t="n">
        <f aca="false">IFERROR(IF(MATCH(G310,周线!$A$5:$A$84,0)&lt;=1,"",INDEX(周线!$S$5:$S$84,MATCH(G310,周线!$A$5:$A$84,0)-1)),"")</f>
        <v>1</v>
      </c>
      <c r="BU310" s="42" t="n">
        <f aca="false">IFERROR(IF(MATCH(G310,周线!$A$5:$A$84,0)&lt;=1,"",INDEX(周线!$U$5:$U$84,MATCH(G310,周线!$A$5:$A$84,0)-1)),"")</f>
        <v>1</v>
      </c>
      <c r="BV310" s="42" t="n">
        <f aca="false">IF(AND(BS310=1,S310&lt;&gt;-1,V310&lt;0,BO310=1,E310&lt;=H310,E310&gt;=AJ310),1,0)</f>
        <v>1</v>
      </c>
      <c r="BW310" s="42" t="n">
        <f aca="false">BL310</f>
        <v>0</v>
      </c>
      <c r="BX310" s="42" t="n">
        <f aca="false">BQ310</f>
        <v>0</v>
      </c>
      <c r="BY310" s="42" t="n">
        <f aca="false">IF(BS310=1,10,0)+IF(BU310=1,5,IF(BU310=-1,0,3))+IF(BT310=1,5,0)+IF(AND(AE310&gt;AF310,AH310&gt;AH309),5,0)</f>
        <v>20</v>
      </c>
      <c r="BZ310" s="42" t="n">
        <f aca="false">IF(AND(E310&lt;=H310,E310&gt;=I310),10,IF(AND(E310&gt;=AJ310,E310&lt;I310),6,0))+IF(AND(V310&lt;0,BO310=1),8,0)+IF(AT310&lt;30,7,IF(AT310&lt;50,3,0))</f>
        <v>21</v>
      </c>
      <c r="CA310" s="42" t="n">
        <f aca="false">IF(AND(BV310=1,BW310=1),25,IF(BW310=1,22,IF(BV310=1,15,IF(BX310=1,12,0))))</f>
        <v>15</v>
      </c>
      <c r="CB310" s="42" t="n">
        <f aca="false">IF(W310&gt;0,6,0)+IF(F310&lt;BR310,4,0)</f>
        <v>0</v>
      </c>
      <c r="CC310" s="42" t="n">
        <f aca="false">IF(BC310&gt;=3,15,IF(BC310&gt;=p_RRmin,10,IF(BC310&gt;=1.5,4,0)))</f>
        <v>15</v>
      </c>
      <c r="CD310" s="42" t="n">
        <f aca="false">BY310+BZ310+CA310+CB310+CC310</f>
        <v>71</v>
      </c>
      <c r="CE310" s="42" t="n">
        <f aca="false">IF(AND(BS310&lt;&gt;1,BW310+BX310=0),1,0)</f>
        <v>0</v>
      </c>
      <c r="CF310" s="42" t="n">
        <f aca="false">IF(BU310=-1,1,0)</f>
        <v>0</v>
      </c>
      <c r="CG310" s="42" t="n">
        <f aca="false">IF(S310=-1,1,0)</f>
        <v>0</v>
      </c>
      <c r="CH310" s="42" t="n">
        <f aca="false">IF(BV310+BW310+BX310=0,1,0)</f>
        <v>0</v>
      </c>
      <c r="CI310" s="42" t="n">
        <f aca="false">IF(BC310&lt;p_RRmin,1,0)</f>
        <v>0</v>
      </c>
      <c r="CJ310" s="46" t="str">
        <f aca="false">IF(SUM(CE310:CI310)=0,IF(CD310&gt;=p_GradeA,"A",IF(CD310&gt;=p_GradeB,"B","C")),IF(AND(CI310=1,SUM(CE310:CH310)=0,CD310&gt;=p_GradeB),"B","C"))</f>
        <v>A</v>
      </c>
    </row>
  </sheetData>
  <conditionalFormatting sqref="T5:T310">
    <cfRule type="expression" priority="2" aboveAverage="0" equalAverage="0" bottom="0" percent="0" rank="0" text="" dxfId="2">
      <formula>T5="绿"</formula>
    </cfRule>
    <cfRule type="expression" priority="3" aboveAverage="0" equalAverage="0" bottom="0" percent="0" rank="0" text="" dxfId="1">
      <formula>T5="红"</formula>
    </cfRule>
    <cfRule type="expression" priority="4" aboveAverage="0" equalAverage="0" bottom="0" percent="0" rank="0" text="" dxfId="3">
      <formula>T5="蓝"</formula>
    </cfRule>
  </conditionalFormatting>
  <conditionalFormatting sqref="CJ5:CJ310">
    <cfRule type="cellIs" priority="5" operator="equal" aboveAverage="0" equalAverage="0" bottom="0" percent="0" rank="0" text="" dxfId="4">
      <formula>"A"</formula>
    </cfRule>
    <cfRule type="cellIs" priority="6" operator="equal" aboveAverage="0" equalAverage="0" bottom="0" percent="0" rank="0" text="" dxfId="5">
      <formula>"B"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1" min="2" style="0" width="9"/>
  </cols>
  <sheetData>
    <row r="1" customFormat="false" ht="17.15" hidden="false" customHeight="false" outlineLevel="0" collapsed="false">
      <c r="A1" s="29" t="s">
        <v>291</v>
      </c>
    </row>
    <row r="2" customFormat="false" ht="15" hidden="false" customHeight="false" outlineLevel="0" collapsed="false">
      <c r="A2" s="43" t="s">
        <v>292</v>
      </c>
    </row>
    <row r="4" customFormat="false" ht="15" hidden="false" customHeight="false" outlineLevel="0" collapsed="false">
      <c r="A4" s="5" t="s">
        <v>213</v>
      </c>
      <c r="B4" s="5" t="s">
        <v>208</v>
      </c>
      <c r="C4" s="5" t="s">
        <v>209</v>
      </c>
      <c r="D4" s="5" t="s">
        <v>210</v>
      </c>
      <c r="E4" s="5" t="s">
        <v>211</v>
      </c>
      <c r="F4" s="5" t="s">
        <v>212</v>
      </c>
      <c r="G4" s="35" t="s">
        <v>214</v>
      </c>
      <c r="H4" s="35" t="s">
        <v>215</v>
      </c>
      <c r="I4" s="35" t="s">
        <v>216</v>
      </c>
      <c r="J4" s="35" t="s">
        <v>217</v>
      </c>
      <c r="K4" s="35" t="s">
        <v>196</v>
      </c>
      <c r="L4" s="5" t="s">
        <v>204</v>
      </c>
      <c r="M4" s="35" t="s">
        <v>220</v>
      </c>
      <c r="N4" s="35" t="s">
        <v>221</v>
      </c>
      <c r="O4" s="35" t="s">
        <v>222</v>
      </c>
      <c r="P4" s="5" t="s">
        <v>223</v>
      </c>
      <c r="Q4" s="5" t="s">
        <v>224</v>
      </c>
      <c r="R4" s="35" t="s">
        <v>293</v>
      </c>
      <c r="S4" s="5" t="s">
        <v>294</v>
      </c>
      <c r="T4" s="5" t="s">
        <v>295</v>
      </c>
      <c r="U4" s="5" t="s">
        <v>197</v>
      </c>
    </row>
    <row r="5" customFormat="false" ht="15" hidden="false" customHeight="false" outlineLevel="0" collapsed="false">
      <c r="A5" s="39" t="n">
        <f aca="false">MIN(日线!$G$5:$G$310)</f>
        <v>45656</v>
      </c>
      <c r="B5" s="40" t="n">
        <f aca="false">IF($A5="","",INDEX(日线!$B$5:$B$310,MATCH($A5,日线!$G$5:$G$310,0)))</f>
        <v>19.79</v>
      </c>
      <c r="C5" s="40" t="n">
        <f aca="false">IF($A5="","",_xlfn.MAXIFS(日线!$C$5:$C$310,日线!$G$5:$G$310,$A5))</f>
        <v>20.15</v>
      </c>
      <c r="D5" s="40" t="n">
        <f aca="false">IF($A5="","",_xlfn.MINIFS(日线!$D$5:$D$310,日线!$G$5:$G$310,$A5))</f>
        <v>19.66</v>
      </c>
      <c r="E5" s="40" t="n">
        <f aca="false">IF($A5="","",INDEX(日线!$E$5:$E$310,MATCH($A5,日线!$G$5:$G$310,1)))</f>
        <v>20.09</v>
      </c>
      <c r="F5" s="44" t="n">
        <f aca="false">IF($A5="","",SUMIFS(日线!$F$5:$F$310,日线!$G$5:$G$310,$A5))</f>
        <v>7053400</v>
      </c>
      <c r="G5" s="40" t="n">
        <f aca="false">IF($A5="","",E5)</f>
        <v>20.09</v>
      </c>
      <c r="H5" s="40" t="n">
        <f aca="false">IF($A5="","",E5)</f>
        <v>20.09</v>
      </c>
      <c r="I5" s="41" t="n">
        <f aca="false">IF($A5="","",E5)</f>
        <v>20.09</v>
      </c>
      <c r="J5" s="41" t="n">
        <f aca="false">IF($A5="","",E5)</f>
        <v>20.09</v>
      </c>
      <c r="K5" s="41" t="n">
        <f aca="false">IF($A5="","",I5-J5)</f>
        <v>0</v>
      </c>
      <c r="L5" s="41" t="n">
        <f aca="false">IF($A5="","",K5)</f>
        <v>0</v>
      </c>
      <c r="M5" s="41" t="n">
        <f aca="false">IF($A5="","",K5-L5)</f>
        <v>0</v>
      </c>
      <c r="N5" s="42" t="n">
        <f aca="false">IF($A5="","",0)</f>
        <v>0</v>
      </c>
      <c r="O5" s="42" t="n">
        <f aca="false">IF($A5="","",0)</f>
        <v>0</v>
      </c>
      <c r="P5" s="42" t="n">
        <f aca="false">IF($A5="","",0)</f>
        <v>0</v>
      </c>
      <c r="Q5" s="42" t="n">
        <f aca="false">IF($A5="","",0)</f>
        <v>0</v>
      </c>
      <c r="R5" s="42" t="n">
        <f aca="false">IF($A5="","",0)</f>
        <v>0</v>
      </c>
      <c r="S5" s="42" t="n">
        <f aca="false">IF($A5="","",0)</f>
        <v>0</v>
      </c>
      <c r="T5" s="42" t="n">
        <f aca="false">IF($A5="","",0)</f>
        <v>0</v>
      </c>
      <c r="U5" s="42" t="n">
        <f aca="false">IF($A5="","",0)</f>
        <v>0</v>
      </c>
    </row>
    <row r="6" customFormat="false" ht="15" hidden="false" customHeight="false" outlineLevel="0" collapsed="false">
      <c r="A6" s="39" t="n">
        <f aca="false">IF(A5="","",IF(_xlfn.MINIFS(日线!$G$5:$G$310,日线!$G$5:$G$310,"&gt;"&amp;A5)=0,"",_xlfn.MINIFS(日线!$G$5:$G$310,日线!$G$5:$G$310,"&gt;"&amp;A5)))</f>
        <v>45663</v>
      </c>
      <c r="B6" s="40" t="n">
        <f aca="false">IF($A6="","",INDEX(日线!$B$5:$B$310,MATCH($A6,日线!$G$5:$G$310,0)))</f>
        <v>20.05</v>
      </c>
      <c r="C6" s="40" t="n">
        <f aca="false">IF($A6="","",_xlfn.MAXIFS(日线!$C$5:$C$310,日线!$G$5:$G$310,$A6))</f>
        <v>20.26</v>
      </c>
      <c r="D6" s="40" t="n">
        <f aca="false">IF($A6="","",_xlfn.MINIFS(日线!$D$5:$D$310,日线!$G$5:$G$310,$A6))</f>
        <v>19.42</v>
      </c>
      <c r="E6" s="40" t="n">
        <f aca="false">IF($A6="","",INDEX(日线!$E$5:$E$310,MATCH($A6,日线!$G$5:$G$310,1)))</f>
        <v>19.83</v>
      </c>
      <c r="F6" s="44" t="n">
        <f aca="false">IF($A6="","",SUMIFS(日线!$F$5:$F$310,日线!$G$5:$G$310,$A6))</f>
        <v>18436200</v>
      </c>
      <c r="G6" s="40" t="n">
        <f aca="false">IF($A6="","",2/(p_EmaF+1)*E6+(1-2/(p_EmaF+1))*G5)</f>
        <v>20.0528571428571</v>
      </c>
      <c r="H6" s="40" t="n">
        <f aca="false">IF($A6="","",2/(p_EmaS+1)*E6+(1-2/(p_EmaS+1))*H5)</f>
        <v>20.0707407407407</v>
      </c>
      <c r="I6" s="41" t="n">
        <f aca="false">IF($A6="","",2/(p_MacdF+1)*E6+(1-2/(p_MacdF+1))*I5)</f>
        <v>20.05</v>
      </c>
      <c r="J6" s="41" t="n">
        <f aca="false">IF($A6="","",2/(p_MacdS+1)*E6+(1-2/(p_MacdS+1))*J5)</f>
        <v>20.0707407407407</v>
      </c>
      <c r="K6" s="41" t="n">
        <f aca="false">IF($A6="","",I6-J6)</f>
        <v>-0.0207407407407381</v>
      </c>
      <c r="L6" s="41" t="n">
        <f aca="false">IF($A6="","",2/(p_MacdSig+1)*K6+(1-2/(p_MacdSig+1))*L5)</f>
        <v>-0.00414814814814761</v>
      </c>
      <c r="M6" s="41" t="n">
        <f aca="false">IF($A6="","",K6-L6)</f>
        <v>-0.0165925925925905</v>
      </c>
      <c r="N6" s="42" t="n">
        <f aca="false">IF($A6="","",IF(G6&gt;G5,1,0))</f>
        <v>0</v>
      </c>
      <c r="O6" s="42" t="n">
        <f aca="false">IF($A6="","",IF(G6&lt;G5,1,0))</f>
        <v>1</v>
      </c>
      <c r="P6" s="42" t="n">
        <f aca="false">IF($A6="","",IF(M6&gt;M5,1,0))</f>
        <v>0</v>
      </c>
      <c r="Q6" s="42" t="n">
        <f aca="false">IF($A6="","",IF(M6&lt;M5,1,0))</f>
        <v>1</v>
      </c>
      <c r="R6" s="42" t="n">
        <f aca="false">IF($A6="","",IF(H6&gt;H5,1,0))</f>
        <v>0</v>
      </c>
      <c r="S6" s="42" t="n">
        <f aca="false">IF($A6="","",IF(M6&gt;M5,1,0))</f>
        <v>0</v>
      </c>
      <c r="T6" s="42" t="n">
        <f aca="false">IF($A6="","",IF(M6&lt;M5,1,0))</f>
        <v>1</v>
      </c>
      <c r="U6" s="42" t="n">
        <f aca="false">IF($A6="","",IF(AND(N6=1,P6=1),1,IF(AND(O6=1,Q6=1),-1,0)))</f>
        <v>-1</v>
      </c>
    </row>
    <row r="7" customFormat="false" ht="15" hidden="false" customHeight="false" outlineLevel="0" collapsed="false">
      <c r="A7" s="39" t="n">
        <f aca="false">IF(A6="","",IF(_xlfn.MINIFS(日线!$G$5:$G$310,日线!$G$5:$G$310,"&gt;"&amp;A6)=0,"",_xlfn.MINIFS(日线!$G$5:$G$310,日线!$G$5:$G$310,"&gt;"&amp;A6)))</f>
        <v>45670</v>
      </c>
      <c r="B7" s="40" t="n">
        <f aca="false">IF($A7="","",INDEX(日线!$B$5:$B$310,MATCH($A7,日线!$G$5:$G$310,0)))</f>
        <v>19.9</v>
      </c>
      <c r="C7" s="40" t="n">
        <f aca="false">IF($A7="","",_xlfn.MAXIFS(日线!$C$5:$C$310,日线!$G$5:$G$310,$A7))</f>
        <v>20.21</v>
      </c>
      <c r="D7" s="40" t="n">
        <f aca="false">IF($A7="","",_xlfn.MINIFS(日线!$D$5:$D$310,日线!$G$5:$G$310,$A7))</f>
        <v>19.63</v>
      </c>
      <c r="E7" s="40" t="n">
        <f aca="false">IF($A7="","",INDEX(日线!$E$5:$E$310,MATCH($A7,日线!$G$5:$G$310,1)))</f>
        <v>19.89</v>
      </c>
      <c r="F7" s="44" t="n">
        <f aca="false">IF($A7="","",SUMIFS(日线!$F$5:$F$310,日线!$G$5:$G$310,$A7))</f>
        <v>17155000</v>
      </c>
      <c r="G7" s="40" t="n">
        <f aca="false">IF($A7="","",2/(p_EmaF+1)*E7+(1-2/(p_EmaF+1))*G6)</f>
        <v>20.0295918367347</v>
      </c>
      <c r="H7" s="40" t="n">
        <f aca="false">IF($A7="","",2/(p_EmaS+1)*E7+(1-2/(p_EmaS+1))*H6)</f>
        <v>20.0573525377229</v>
      </c>
      <c r="I7" s="41" t="n">
        <f aca="false">IF($A7="","",2/(p_MacdF+1)*E7+(1-2/(p_MacdF+1))*I6)</f>
        <v>20.0253846153846</v>
      </c>
      <c r="J7" s="41" t="n">
        <f aca="false">IF($A7="","",2/(p_MacdS+1)*E7+(1-2/(p_MacdS+1))*J6)</f>
        <v>20.0573525377229</v>
      </c>
      <c r="K7" s="41" t="n">
        <f aca="false">IF($A7="","",I7-J7)</f>
        <v>-0.0319679223382927</v>
      </c>
      <c r="L7" s="41" t="n">
        <f aca="false">IF($A7="","",2/(p_MacdSig+1)*K7+(1-2/(p_MacdSig+1))*L6)</f>
        <v>-0.00971210298617663</v>
      </c>
      <c r="M7" s="41" t="n">
        <f aca="false">IF($A7="","",K7-L7)</f>
        <v>-0.0222558193521161</v>
      </c>
      <c r="N7" s="42" t="n">
        <f aca="false">IF($A7="","",IF(G7&gt;G6,1,0))</f>
        <v>0</v>
      </c>
      <c r="O7" s="42" t="n">
        <f aca="false">IF($A7="","",IF(G7&lt;G6,1,0))</f>
        <v>1</v>
      </c>
      <c r="P7" s="42" t="n">
        <f aca="false">IF($A7="","",IF(M7&gt;M6,1,0))</f>
        <v>0</v>
      </c>
      <c r="Q7" s="42" t="n">
        <f aca="false">IF($A7="","",IF(M7&lt;M6,1,0))</f>
        <v>1</v>
      </c>
      <c r="R7" s="42" t="n">
        <f aca="false">IF($A7="","",IF(H7&gt;H6,1,0))</f>
        <v>0</v>
      </c>
      <c r="S7" s="42" t="n">
        <f aca="false">IF($A7="","",IF(M7&gt;M6,1,0))</f>
        <v>0</v>
      </c>
      <c r="T7" s="42" t="n">
        <f aca="false">IF($A7="","",IF(M7&lt;M6,1,0))</f>
        <v>1</v>
      </c>
      <c r="U7" s="42" t="n">
        <f aca="false">IF($A7="","",IF(AND(N7=1,P7=1),1,IF(AND(O7=1,Q7=1),-1,0)))</f>
        <v>-1</v>
      </c>
    </row>
    <row r="8" customFormat="false" ht="15" hidden="false" customHeight="false" outlineLevel="0" collapsed="false">
      <c r="A8" s="39" t="n">
        <f aca="false">IF(A7="","",IF(_xlfn.MINIFS(日线!$G$5:$G$310,日线!$G$5:$G$310,"&gt;"&amp;A7)=0,"",_xlfn.MINIFS(日线!$G$5:$G$310,日线!$G$5:$G$310,"&gt;"&amp;A7)))</f>
        <v>45677</v>
      </c>
      <c r="B8" s="40" t="n">
        <f aca="false">IF($A8="","",INDEX(日线!$B$5:$B$310,MATCH($A8,日线!$G$5:$G$310,0)))</f>
        <v>19.99</v>
      </c>
      <c r="C8" s="40" t="n">
        <f aca="false">IF($A8="","",_xlfn.MAXIFS(日线!$C$5:$C$310,日线!$G$5:$G$310,$A8))</f>
        <v>20.97</v>
      </c>
      <c r="D8" s="40" t="n">
        <f aca="false">IF($A8="","",_xlfn.MINIFS(日线!$D$5:$D$310,日线!$G$5:$G$310,$A8))</f>
        <v>19.96</v>
      </c>
      <c r="E8" s="40" t="n">
        <f aca="false">IF($A8="","",INDEX(日线!$E$5:$E$310,MATCH($A8,日线!$G$5:$G$310,1)))</f>
        <v>20.9</v>
      </c>
      <c r="F8" s="44" t="n">
        <f aca="false">IF($A8="","",SUMIFS(日线!$F$5:$F$310,日线!$G$5:$G$310,$A8))</f>
        <v>17300500</v>
      </c>
      <c r="G8" s="40" t="n">
        <f aca="false">IF($A8="","",2/(p_EmaF+1)*E8+(1-2/(p_EmaF+1))*G7)</f>
        <v>20.1539358600583</v>
      </c>
      <c r="H8" s="40" t="n">
        <f aca="false">IF($A8="","",2/(p_EmaS+1)*E8+(1-2/(p_EmaS+1))*H7)</f>
        <v>20.119770868262</v>
      </c>
      <c r="I8" s="41" t="n">
        <f aca="false">IF($A8="","",2/(p_MacdF+1)*E8+(1-2/(p_MacdF+1))*I7)</f>
        <v>20.1599408284024</v>
      </c>
      <c r="J8" s="41" t="n">
        <f aca="false">IF($A8="","",2/(p_MacdS+1)*E8+(1-2/(p_MacdS+1))*J7)</f>
        <v>20.119770868262</v>
      </c>
      <c r="K8" s="41" t="n">
        <f aca="false">IF($A8="","",I8-J8)</f>
        <v>0.040169960140414</v>
      </c>
      <c r="L8" s="41" t="n">
        <f aca="false">IF($A8="","",2/(p_MacdSig+1)*K8+(1-2/(p_MacdSig+1))*L7)</f>
        <v>0.000264309639141487</v>
      </c>
      <c r="M8" s="41" t="n">
        <f aca="false">IF($A8="","",K8-L8)</f>
        <v>0.0399056505012725</v>
      </c>
      <c r="N8" s="42" t="n">
        <f aca="false">IF($A8="","",IF(G8&gt;G7,1,0))</f>
        <v>1</v>
      </c>
      <c r="O8" s="42" t="n">
        <f aca="false">IF($A8="","",IF(G8&lt;G7,1,0))</f>
        <v>0</v>
      </c>
      <c r="P8" s="42" t="n">
        <f aca="false">IF($A8="","",IF(M8&gt;M7,1,0))</f>
        <v>1</v>
      </c>
      <c r="Q8" s="42" t="n">
        <f aca="false">IF($A8="","",IF(M8&lt;M7,1,0))</f>
        <v>0</v>
      </c>
      <c r="R8" s="42" t="n">
        <f aca="false">IF($A8="","",IF(H8&gt;H7,1,0))</f>
        <v>1</v>
      </c>
      <c r="S8" s="42" t="n">
        <f aca="false">IF($A8="","",IF(M8&gt;M7,1,0))</f>
        <v>1</v>
      </c>
      <c r="T8" s="42" t="n">
        <f aca="false">IF($A8="","",IF(M8&lt;M7,1,0))</f>
        <v>0</v>
      </c>
      <c r="U8" s="42" t="n">
        <f aca="false">IF($A8="","",IF(AND(N8=1,P8=1),1,IF(AND(O8=1,Q8=1),-1,0)))</f>
        <v>1</v>
      </c>
    </row>
    <row r="9" customFormat="false" ht="15" hidden="false" customHeight="false" outlineLevel="0" collapsed="false">
      <c r="A9" s="39" t="n">
        <f aca="false">IF(A8="","",IF(_xlfn.MINIFS(日线!$G$5:$G$310,日线!$G$5:$G$310,"&gt;"&amp;A8)=0,"",_xlfn.MINIFS(日线!$G$5:$G$310,日线!$G$5:$G$310,"&gt;"&amp;A8)))</f>
        <v>45684</v>
      </c>
      <c r="B9" s="40" t="n">
        <f aca="false">IF($A9="","",INDEX(日线!$B$5:$B$310,MATCH($A9,日线!$G$5:$G$310,0)))</f>
        <v>21.01</v>
      </c>
      <c r="C9" s="40" t="n">
        <f aca="false">IF($A9="","",_xlfn.MAXIFS(日线!$C$5:$C$310,日线!$G$5:$G$310,$A9))</f>
        <v>22.7</v>
      </c>
      <c r="D9" s="40" t="n">
        <f aca="false">IF($A9="","",_xlfn.MINIFS(日线!$D$5:$D$310,日线!$G$5:$G$310,$A9))</f>
        <v>20.78</v>
      </c>
      <c r="E9" s="40" t="n">
        <f aca="false">IF($A9="","",INDEX(日线!$E$5:$E$310,MATCH($A9,日线!$G$5:$G$310,1)))</f>
        <v>22.3</v>
      </c>
      <c r="F9" s="44" t="n">
        <f aca="false">IF($A9="","",SUMIFS(日线!$F$5:$F$310,日线!$G$5:$G$310,$A9))</f>
        <v>20838600</v>
      </c>
      <c r="G9" s="40" t="n">
        <f aca="false">IF($A9="","",2/(p_EmaF+1)*E9+(1-2/(p_EmaF+1))*G8)</f>
        <v>20.4605164514786</v>
      </c>
      <c r="H9" s="40" t="n">
        <f aca="false">IF($A9="","",2/(p_EmaS+1)*E9+(1-2/(p_EmaS+1))*H8)</f>
        <v>20.2812693224648</v>
      </c>
      <c r="I9" s="41" t="n">
        <f aca="false">IF($A9="","",2/(p_MacdF+1)*E9+(1-2/(p_MacdF+1))*I8)</f>
        <v>20.4891807009558</v>
      </c>
      <c r="J9" s="41" t="n">
        <f aca="false">IF($A9="","",2/(p_MacdS+1)*E9+(1-2/(p_MacdS+1))*J8)</f>
        <v>20.2812693224648</v>
      </c>
      <c r="K9" s="41" t="n">
        <f aca="false">IF($A9="","",I9-J9)</f>
        <v>0.207911378491076</v>
      </c>
      <c r="L9" s="41" t="n">
        <f aca="false">IF($A9="","",2/(p_MacdSig+1)*K9+(1-2/(p_MacdSig+1))*L8)</f>
        <v>0.0417937234095284</v>
      </c>
      <c r="M9" s="41" t="n">
        <f aca="false">IF($A9="","",K9-L9)</f>
        <v>0.166117655081548</v>
      </c>
      <c r="N9" s="42" t="n">
        <f aca="false">IF($A9="","",IF(G9&gt;G8,1,0))</f>
        <v>1</v>
      </c>
      <c r="O9" s="42" t="n">
        <f aca="false">IF($A9="","",IF(G9&lt;G8,1,0))</f>
        <v>0</v>
      </c>
      <c r="P9" s="42" t="n">
        <f aca="false">IF($A9="","",IF(M9&gt;M8,1,0))</f>
        <v>1</v>
      </c>
      <c r="Q9" s="42" t="n">
        <f aca="false">IF($A9="","",IF(M9&lt;M8,1,0))</f>
        <v>0</v>
      </c>
      <c r="R9" s="42" t="n">
        <f aca="false">IF($A9="","",IF(H9&gt;H8,1,0))</f>
        <v>1</v>
      </c>
      <c r="S9" s="42" t="n">
        <f aca="false">IF($A9="","",IF(M9&gt;M8,1,0))</f>
        <v>1</v>
      </c>
      <c r="T9" s="42" t="n">
        <f aca="false">IF($A9="","",IF(M9&lt;M8,1,0))</f>
        <v>0</v>
      </c>
      <c r="U9" s="42" t="n">
        <f aca="false">IF($A9="","",IF(AND(N9=1,P9=1),1,IF(AND(O9=1,Q9=1),-1,0)))</f>
        <v>1</v>
      </c>
    </row>
    <row r="10" customFormat="false" ht="15" hidden="false" customHeight="false" outlineLevel="0" collapsed="false">
      <c r="A10" s="39" t="n">
        <f aca="false">IF(A9="","",IF(_xlfn.MINIFS(日线!$G$5:$G$310,日线!$G$5:$G$310,"&gt;"&amp;A9)=0,"",_xlfn.MINIFS(日线!$G$5:$G$310,日线!$G$5:$G$310,"&gt;"&amp;A9)))</f>
        <v>45691</v>
      </c>
      <c r="B10" s="40" t="n">
        <f aca="false">IF($A10="","",INDEX(日线!$B$5:$B$310,MATCH($A10,日线!$G$5:$G$310,0)))</f>
        <v>22.28</v>
      </c>
      <c r="C10" s="40" t="n">
        <f aca="false">IF($A10="","",_xlfn.MAXIFS(日线!$C$5:$C$310,日线!$G$5:$G$310,$A10))</f>
        <v>23.61</v>
      </c>
      <c r="D10" s="40" t="n">
        <f aca="false">IF($A10="","",_xlfn.MINIFS(日线!$D$5:$D$310,日线!$G$5:$G$310,$A10))</f>
        <v>22.05</v>
      </c>
      <c r="E10" s="40" t="n">
        <f aca="false">IF($A10="","",INDEX(日线!$E$5:$E$310,MATCH($A10,日线!$G$5:$G$310,1)))</f>
        <v>23.46</v>
      </c>
      <c r="F10" s="44" t="n">
        <f aca="false">IF($A10="","",SUMIFS(日线!$F$5:$F$310,日线!$G$5:$G$310,$A10))</f>
        <v>19434800</v>
      </c>
      <c r="G10" s="40" t="n">
        <f aca="false">IF($A10="","",2/(p_EmaF+1)*E10+(1-2/(p_EmaF+1))*G9)</f>
        <v>20.8890141012673</v>
      </c>
      <c r="H10" s="40" t="n">
        <f aca="false">IF($A10="","",2/(p_EmaS+1)*E10+(1-2/(p_EmaS+1))*H9)</f>
        <v>20.516730854134</v>
      </c>
      <c r="I10" s="41" t="n">
        <f aca="false">IF($A10="","",2/(p_MacdF+1)*E10+(1-2/(p_MacdF+1))*I9)</f>
        <v>20.9462298238857</v>
      </c>
      <c r="J10" s="41" t="n">
        <f aca="false">IF($A10="","",2/(p_MacdS+1)*E10+(1-2/(p_MacdS+1))*J9)</f>
        <v>20.516730854134</v>
      </c>
      <c r="K10" s="41" t="n">
        <f aca="false">IF($A10="","",I10-J10)</f>
        <v>0.429498969751666</v>
      </c>
      <c r="L10" s="41" t="n">
        <f aca="false">IF($A10="","",2/(p_MacdSig+1)*K10+(1-2/(p_MacdSig+1))*L9)</f>
        <v>0.119334772677956</v>
      </c>
      <c r="M10" s="41" t="n">
        <f aca="false">IF($A10="","",K10-L10)</f>
        <v>0.31016419707371</v>
      </c>
      <c r="N10" s="42" t="n">
        <f aca="false">IF($A10="","",IF(G10&gt;G9,1,0))</f>
        <v>1</v>
      </c>
      <c r="O10" s="42" t="n">
        <f aca="false">IF($A10="","",IF(G10&lt;G9,1,0))</f>
        <v>0</v>
      </c>
      <c r="P10" s="42" t="n">
        <f aca="false">IF($A10="","",IF(M10&gt;M9,1,0))</f>
        <v>1</v>
      </c>
      <c r="Q10" s="42" t="n">
        <f aca="false">IF($A10="","",IF(M10&lt;M9,1,0))</f>
        <v>0</v>
      </c>
      <c r="R10" s="42" t="n">
        <f aca="false">IF($A10="","",IF(H10&gt;H9,1,0))</f>
        <v>1</v>
      </c>
      <c r="S10" s="42" t="n">
        <f aca="false">IF($A10="","",IF(M10&gt;M9,1,0))</f>
        <v>1</v>
      </c>
      <c r="T10" s="42" t="n">
        <f aca="false">IF($A10="","",IF(M10&lt;M9,1,0))</f>
        <v>0</v>
      </c>
      <c r="U10" s="42" t="n">
        <f aca="false">IF($A10="","",IF(AND(N10=1,P10=1),1,IF(AND(O10=1,Q10=1),-1,0)))</f>
        <v>1</v>
      </c>
    </row>
    <row r="11" customFormat="false" ht="15" hidden="false" customHeight="false" outlineLevel="0" collapsed="false">
      <c r="A11" s="39" t="n">
        <f aca="false">IF(A10="","",IF(_xlfn.MINIFS(日线!$G$5:$G$310,日线!$G$5:$G$310,"&gt;"&amp;A10)=0,"",_xlfn.MINIFS(日线!$G$5:$G$310,日线!$G$5:$G$310,"&gt;"&amp;A10)))</f>
        <v>45698</v>
      </c>
      <c r="B11" s="40" t="n">
        <f aca="false">IF($A11="","",INDEX(日线!$B$5:$B$310,MATCH($A11,日线!$G$5:$G$310,0)))</f>
        <v>23.43</v>
      </c>
      <c r="C11" s="40" t="n">
        <f aca="false">IF($A11="","",_xlfn.MAXIFS(日线!$C$5:$C$310,日线!$G$5:$G$310,$A11))</f>
        <v>24.63</v>
      </c>
      <c r="D11" s="40" t="n">
        <f aca="false">IF($A11="","",_xlfn.MINIFS(日线!$D$5:$D$310,日线!$G$5:$G$310,$A11))</f>
        <v>23.33</v>
      </c>
      <c r="E11" s="40" t="n">
        <f aca="false">IF($A11="","",INDEX(日线!$E$5:$E$310,MATCH($A11,日线!$G$5:$G$310,1)))</f>
        <v>24.38</v>
      </c>
      <c r="F11" s="44" t="n">
        <f aca="false">IF($A11="","",SUMIFS(日线!$F$5:$F$310,日线!$G$5:$G$310,$A11))</f>
        <v>21349400</v>
      </c>
      <c r="G11" s="40" t="n">
        <f aca="false">IF($A11="","",2/(p_EmaF+1)*E11+(1-2/(p_EmaF+1))*G10)</f>
        <v>21.3877263725149</v>
      </c>
      <c r="H11" s="40" t="n">
        <f aca="false">IF($A11="","",2/(p_EmaS+1)*E11+(1-2/(p_EmaS+1))*H10)</f>
        <v>20.802898939013</v>
      </c>
      <c r="I11" s="41" t="n">
        <f aca="false">IF($A11="","",2/(p_MacdF+1)*E11+(1-2/(p_MacdF+1))*I10)</f>
        <v>21.4745021586725</v>
      </c>
      <c r="J11" s="41" t="n">
        <f aca="false">IF($A11="","",2/(p_MacdS+1)*E11+(1-2/(p_MacdS+1))*J10)</f>
        <v>20.802898939013</v>
      </c>
      <c r="K11" s="41" t="n">
        <f aca="false">IF($A11="","",I11-J11)</f>
        <v>0.67160321965952</v>
      </c>
      <c r="L11" s="41" t="n">
        <f aca="false">IF($A11="","",2/(p_MacdSig+1)*K11+(1-2/(p_MacdSig+1))*L10)</f>
        <v>0.229788462074269</v>
      </c>
      <c r="M11" s="41" t="n">
        <f aca="false">IF($A11="","",K11-L11)</f>
        <v>0.441814757585251</v>
      </c>
      <c r="N11" s="42" t="n">
        <f aca="false">IF($A11="","",IF(G11&gt;G10,1,0))</f>
        <v>1</v>
      </c>
      <c r="O11" s="42" t="n">
        <f aca="false">IF($A11="","",IF(G11&lt;G10,1,0))</f>
        <v>0</v>
      </c>
      <c r="P11" s="42" t="n">
        <f aca="false">IF($A11="","",IF(M11&gt;M10,1,0))</f>
        <v>1</v>
      </c>
      <c r="Q11" s="42" t="n">
        <f aca="false">IF($A11="","",IF(M11&lt;M10,1,0))</f>
        <v>0</v>
      </c>
      <c r="R11" s="42" t="n">
        <f aca="false">IF($A11="","",IF(H11&gt;H10,1,0))</f>
        <v>1</v>
      </c>
      <c r="S11" s="42" t="n">
        <f aca="false">IF($A11="","",IF(M11&gt;M10,1,0))</f>
        <v>1</v>
      </c>
      <c r="T11" s="42" t="n">
        <f aca="false">IF($A11="","",IF(M11&lt;M10,1,0))</f>
        <v>0</v>
      </c>
      <c r="U11" s="42" t="n">
        <f aca="false">IF($A11="","",IF(AND(N11=1,P11=1),1,IF(AND(O11=1,Q11=1),-1,0)))</f>
        <v>1</v>
      </c>
    </row>
    <row r="12" customFormat="false" ht="15" hidden="false" customHeight="false" outlineLevel="0" collapsed="false">
      <c r="A12" s="39" t="n">
        <f aca="false">IF(A11="","",IF(_xlfn.MINIFS(日线!$G$5:$G$310,日线!$G$5:$G$310,"&gt;"&amp;A11)=0,"",_xlfn.MINIFS(日线!$G$5:$G$310,日线!$G$5:$G$310,"&gt;"&amp;A11)))</f>
        <v>45705</v>
      </c>
      <c r="B12" s="40" t="n">
        <f aca="false">IF($A12="","",INDEX(日线!$B$5:$B$310,MATCH($A12,日线!$G$5:$G$310,0)))</f>
        <v>24.38</v>
      </c>
      <c r="C12" s="40" t="n">
        <f aca="false">IF($A12="","",_xlfn.MAXIFS(日线!$C$5:$C$310,日线!$G$5:$G$310,$A12))</f>
        <v>24.98</v>
      </c>
      <c r="D12" s="40" t="n">
        <f aca="false">IF($A12="","",_xlfn.MINIFS(日线!$D$5:$D$310,日线!$G$5:$G$310,$A12))</f>
        <v>23.91</v>
      </c>
      <c r="E12" s="40" t="n">
        <f aca="false">IF($A12="","",INDEX(日线!$E$5:$E$310,MATCH($A12,日线!$G$5:$G$310,1)))</f>
        <v>24.79</v>
      </c>
      <c r="F12" s="44" t="n">
        <f aca="false">IF($A12="","",SUMIFS(日线!$F$5:$F$310,日线!$G$5:$G$310,$A12))</f>
        <v>18931500</v>
      </c>
      <c r="G12" s="40" t="n">
        <f aca="false">IF($A12="","",2/(p_EmaF+1)*E12+(1-2/(p_EmaF+1))*G11)</f>
        <v>21.8737654621556</v>
      </c>
      <c r="H12" s="40" t="n">
        <f aca="false">IF($A12="","",2/(p_EmaS+1)*E12+(1-2/(p_EmaS+1))*H11)</f>
        <v>21.0982397583454</v>
      </c>
      <c r="I12" s="41" t="n">
        <f aca="false">IF($A12="","",2/(p_MacdF+1)*E12+(1-2/(p_MacdF+1))*I11)</f>
        <v>21.984578749646</v>
      </c>
      <c r="J12" s="41" t="n">
        <f aca="false">IF($A12="","",2/(p_MacdS+1)*E12+(1-2/(p_MacdS+1))*J11)</f>
        <v>21.0982397583454</v>
      </c>
      <c r="K12" s="41" t="n">
        <f aca="false">IF($A12="","",I12-J12)</f>
        <v>0.886338991300608</v>
      </c>
      <c r="L12" s="41" t="n">
        <f aca="false">IF($A12="","",2/(p_MacdSig+1)*K12+(1-2/(p_MacdSig+1))*L11)</f>
        <v>0.361098567919537</v>
      </c>
      <c r="M12" s="41" t="n">
        <f aca="false">IF($A12="","",K12-L12)</f>
        <v>0.525240423381072</v>
      </c>
      <c r="N12" s="42" t="n">
        <f aca="false">IF($A12="","",IF(G12&gt;G11,1,0))</f>
        <v>1</v>
      </c>
      <c r="O12" s="42" t="n">
        <f aca="false">IF($A12="","",IF(G12&lt;G11,1,0))</f>
        <v>0</v>
      </c>
      <c r="P12" s="42" t="n">
        <f aca="false">IF($A12="","",IF(M12&gt;M11,1,0))</f>
        <v>1</v>
      </c>
      <c r="Q12" s="42" t="n">
        <f aca="false">IF($A12="","",IF(M12&lt;M11,1,0))</f>
        <v>0</v>
      </c>
      <c r="R12" s="42" t="n">
        <f aca="false">IF($A12="","",IF(H12&gt;H11,1,0))</f>
        <v>1</v>
      </c>
      <c r="S12" s="42" t="n">
        <f aca="false">IF($A12="","",IF(M12&gt;M11,1,0))</f>
        <v>1</v>
      </c>
      <c r="T12" s="42" t="n">
        <f aca="false">IF($A12="","",IF(M12&lt;M11,1,0))</f>
        <v>0</v>
      </c>
      <c r="U12" s="42" t="n">
        <f aca="false">IF($A12="","",IF(AND(N12=1,P12=1),1,IF(AND(O12=1,Q12=1),-1,0)))</f>
        <v>1</v>
      </c>
    </row>
    <row r="13" customFormat="false" ht="15" hidden="false" customHeight="false" outlineLevel="0" collapsed="false">
      <c r="A13" s="39" t="n">
        <f aca="false">IF(A12="","",IF(_xlfn.MINIFS(日线!$G$5:$G$310,日线!$G$5:$G$310,"&gt;"&amp;A12)=0,"",_xlfn.MINIFS(日线!$G$5:$G$310,日线!$G$5:$G$310,"&gt;"&amp;A12)))</f>
        <v>45712</v>
      </c>
      <c r="B13" s="40" t="n">
        <f aca="false">IF($A13="","",INDEX(日线!$B$5:$B$310,MATCH($A13,日线!$G$5:$G$310,0)))</f>
        <v>24.95</v>
      </c>
      <c r="C13" s="40" t="n">
        <f aca="false">IF($A13="","",_xlfn.MAXIFS(日线!$C$5:$C$310,日线!$G$5:$G$310,$A13))</f>
        <v>25.04</v>
      </c>
      <c r="D13" s="40" t="n">
        <f aca="false">IF($A13="","",_xlfn.MINIFS(日线!$D$5:$D$310,日线!$G$5:$G$310,$A13))</f>
        <v>24.25</v>
      </c>
      <c r="E13" s="40" t="n">
        <f aca="false">IF($A13="","",INDEX(日线!$E$5:$E$310,MATCH($A13,日线!$G$5:$G$310,1)))</f>
        <v>24.64</v>
      </c>
      <c r="F13" s="44" t="n">
        <f aca="false">IF($A13="","",SUMIFS(日线!$F$5:$F$310,日线!$G$5:$G$310,$A13))</f>
        <v>20055900</v>
      </c>
      <c r="G13" s="40" t="n">
        <f aca="false">IF($A13="","",2/(p_EmaF+1)*E13+(1-2/(p_EmaF+1))*G12)</f>
        <v>22.2689418247048</v>
      </c>
      <c r="H13" s="40" t="n">
        <f aca="false">IF($A13="","",2/(p_EmaS+1)*E13+(1-2/(p_EmaS+1))*H12)</f>
        <v>21.3605923688383</v>
      </c>
      <c r="I13" s="41" t="n">
        <f aca="false">IF($A13="","",2/(p_MacdF+1)*E13+(1-2/(p_MacdF+1))*I12)</f>
        <v>22.3931050958543</v>
      </c>
      <c r="J13" s="41" t="n">
        <f aca="false">IF($A13="","",2/(p_MacdS+1)*E13+(1-2/(p_MacdS+1))*J12)</f>
        <v>21.3605923688383</v>
      </c>
      <c r="K13" s="41" t="n">
        <f aca="false">IF($A13="","",I13-J13)</f>
        <v>1.03251272701599</v>
      </c>
      <c r="L13" s="41" t="n">
        <f aca="false">IF($A13="","",2/(p_MacdSig+1)*K13+(1-2/(p_MacdSig+1))*L12)</f>
        <v>0.495381399738827</v>
      </c>
      <c r="M13" s="41" t="n">
        <f aca="false">IF($A13="","",K13-L13)</f>
        <v>0.537131327277161</v>
      </c>
      <c r="N13" s="42" t="n">
        <f aca="false">IF($A13="","",IF(G13&gt;G12,1,0))</f>
        <v>1</v>
      </c>
      <c r="O13" s="42" t="n">
        <f aca="false">IF($A13="","",IF(G13&lt;G12,1,0))</f>
        <v>0</v>
      </c>
      <c r="P13" s="42" t="n">
        <f aca="false">IF($A13="","",IF(M13&gt;M12,1,0))</f>
        <v>1</v>
      </c>
      <c r="Q13" s="42" t="n">
        <f aca="false">IF($A13="","",IF(M13&lt;M12,1,0))</f>
        <v>0</v>
      </c>
      <c r="R13" s="42" t="n">
        <f aca="false">IF($A13="","",IF(H13&gt;H12,1,0))</f>
        <v>1</v>
      </c>
      <c r="S13" s="42" t="n">
        <f aca="false">IF($A13="","",IF(M13&gt;M12,1,0))</f>
        <v>1</v>
      </c>
      <c r="T13" s="42" t="n">
        <f aca="false">IF($A13="","",IF(M13&lt;M12,1,0))</f>
        <v>0</v>
      </c>
      <c r="U13" s="42" t="n">
        <f aca="false">IF($A13="","",IF(AND(N13=1,P13=1),1,IF(AND(O13=1,Q13=1),-1,0)))</f>
        <v>1</v>
      </c>
    </row>
    <row r="14" customFormat="false" ht="15" hidden="false" customHeight="false" outlineLevel="0" collapsed="false">
      <c r="A14" s="39" t="n">
        <f aca="false">IF(A13="","",IF(_xlfn.MINIFS(日线!$G$5:$G$310,日线!$G$5:$G$310,"&gt;"&amp;A13)=0,"",_xlfn.MINIFS(日线!$G$5:$G$310,日线!$G$5:$G$310,"&gt;"&amp;A13)))</f>
        <v>45719</v>
      </c>
      <c r="B14" s="40" t="n">
        <f aca="false">IF($A14="","",INDEX(日线!$B$5:$B$310,MATCH($A14,日线!$G$5:$G$310,0)))</f>
        <v>24.79</v>
      </c>
      <c r="C14" s="40" t="n">
        <f aca="false">IF($A14="","",_xlfn.MAXIFS(日线!$C$5:$C$310,日线!$G$5:$G$310,$A14))</f>
        <v>24.87</v>
      </c>
      <c r="D14" s="40" t="n">
        <f aca="false">IF($A14="","",_xlfn.MINIFS(日线!$D$5:$D$310,日线!$G$5:$G$310,$A14))</f>
        <v>23.27</v>
      </c>
      <c r="E14" s="40" t="n">
        <f aca="false">IF($A14="","",INDEX(日线!$E$5:$E$310,MATCH($A14,日线!$G$5:$G$310,1)))</f>
        <v>23.36</v>
      </c>
      <c r="F14" s="44" t="n">
        <f aca="false">IF($A14="","",SUMIFS(日线!$F$5:$F$310,日线!$G$5:$G$310,$A14))</f>
        <v>19364600</v>
      </c>
      <c r="G14" s="40" t="n">
        <f aca="false">IF($A14="","",2/(p_EmaF+1)*E14+(1-2/(p_EmaF+1))*G13)</f>
        <v>22.4248072783184</v>
      </c>
      <c r="H14" s="40" t="n">
        <f aca="false">IF($A14="","",2/(p_EmaS+1)*E14+(1-2/(p_EmaS+1))*H13)</f>
        <v>21.5086966378132</v>
      </c>
      <c r="I14" s="41" t="n">
        <f aca="false">IF($A14="","",2/(p_MacdF+1)*E14+(1-2/(p_MacdF+1))*I13)</f>
        <v>22.5418581580306</v>
      </c>
      <c r="J14" s="41" t="n">
        <f aca="false">IF($A14="","",2/(p_MacdS+1)*E14+(1-2/(p_MacdS+1))*J13)</f>
        <v>21.5086966378132</v>
      </c>
      <c r="K14" s="41" t="n">
        <f aca="false">IF($A14="","",I14-J14)</f>
        <v>1.03316152021731</v>
      </c>
      <c r="L14" s="41" t="n">
        <f aca="false">IF($A14="","",2/(p_MacdSig+1)*K14+(1-2/(p_MacdSig+1))*L13)</f>
        <v>0.602937423834523</v>
      </c>
      <c r="M14" s="41" t="n">
        <f aca="false">IF($A14="","",K14-L14)</f>
        <v>0.430224096382786</v>
      </c>
      <c r="N14" s="42" t="n">
        <f aca="false">IF($A14="","",IF(G14&gt;G13,1,0))</f>
        <v>1</v>
      </c>
      <c r="O14" s="42" t="n">
        <f aca="false">IF($A14="","",IF(G14&lt;G13,1,0))</f>
        <v>0</v>
      </c>
      <c r="P14" s="42" t="n">
        <f aca="false">IF($A14="","",IF(M14&gt;M13,1,0))</f>
        <v>0</v>
      </c>
      <c r="Q14" s="42" t="n">
        <f aca="false">IF($A14="","",IF(M14&lt;M13,1,0))</f>
        <v>1</v>
      </c>
      <c r="R14" s="42" t="n">
        <f aca="false">IF($A14="","",IF(H14&gt;H13,1,0))</f>
        <v>1</v>
      </c>
      <c r="S14" s="42" t="n">
        <f aca="false">IF($A14="","",IF(M14&gt;M13,1,0))</f>
        <v>0</v>
      </c>
      <c r="T14" s="42" t="n">
        <f aca="false">IF($A14="","",IF(M14&lt;M13,1,0))</f>
        <v>1</v>
      </c>
      <c r="U14" s="42" t="n">
        <f aca="false">IF($A14="","",IF(AND(N14=1,P14=1),1,IF(AND(O14=1,Q14=1),-1,0)))</f>
        <v>0</v>
      </c>
    </row>
    <row r="15" customFormat="false" ht="15" hidden="false" customHeight="false" outlineLevel="0" collapsed="false">
      <c r="A15" s="39" t="n">
        <f aca="false">IF(A14="","",IF(_xlfn.MINIFS(日线!$G$5:$G$310,日线!$G$5:$G$310,"&gt;"&amp;A14)=0,"",_xlfn.MINIFS(日线!$G$5:$G$310,日线!$G$5:$G$310,"&gt;"&amp;A14)))</f>
        <v>45726</v>
      </c>
      <c r="B15" s="40" t="n">
        <f aca="false">IF($A15="","",INDEX(日线!$B$5:$B$310,MATCH($A15,日线!$G$5:$G$310,0)))</f>
        <v>23.41</v>
      </c>
      <c r="C15" s="40" t="n">
        <f aca="false">IF($A15="","",_xlfn.MAXIFS(日线!$C$5:$C$310,日线!$G$5:$G$310,$A15))</f>
        <v>24.56</v>
      </c>
      <c r="D15" s="40" t="n">
        <f aca="false">IF($A15="","",_xlfn.MINIFS(日线!$D$5:$D$310,日线!$G$5:$G$310,$A15))</f>
        <v>23.24</v>
      </c>
      <c r="E15" s="40" t="n">
        <f aca="false">IF($A15="","",INDEX(日线!$E$5:$E$310,MATCH($A15,日线!$G$5:$G$310,1)))</f>
        <v>24.41</v>
      </c>
      <c r="F15" s="44" t="n">
        <f aca="false">IF($A15="","",SUMIFS(日线!$F$5:$F$310,日线!$G$5:$G$310,$A15))</f>
        <v>17350400</v>
      </c>
      <c r="G15" s="40" t="n">
        <f aca="false">IF($A15="","",2/(p_EmaF+1)*E15+(1-2/(p_EmaF+1))*G14)</f>
        <v>22.7084062385586</v>
      </c>
      <c r="H15" s="40" t="n">
        <f aca="false">IF($A15="","",2/(p_EmaS+1)*E15+(1-2/(p_EmaS+1))*H14)</f>
        <v>21.7236079979752</v>
      </c>
      <c r="I15" s="41" t="n">
        <f aca="false">IF($A15="","",2/(p_MacdF+1)*E15+(1-2/(p_MacdF+1))*I14)</f>
        <v>22.8292645952566</v>
      </c>
      <c r="J15" s="41" t="n">
        <f aca="false">IF($A15="","",2/(p_MacdS+1)*E15+(1-2/(p_MacdS+1))*J14)</f>
        <v>21.7236079979752</v>
      </c>
      <c r="K15" s="41" t="n">
        <f aca="false">IF($A15="","",I15-J15)</f>
        <v>1.1056565972814</v>
      </c>
      <c r="L15" s="41" t="n">
        <f aca="false">IF($A15="","",2/(p_MacdSig+1)*K15+(1-2/(p_MacdSig+1))*L14)</f>
        <v>0.703481258523898</v>
      </c>
      <c r="M15" s="41" t="n">
        <f aca="false">IF($A15="","",K15-L15)</f>
        <v>0.402175338757498</v>
      </c>
      <c r="N15" s="42" t="n">
        <f aca="false">IF($A15="","",IF(G15&gt;G14,1,0))</f>
        <v>1</v>
      </c>
      <c r="O15" s="42" t="n">
        <f aca="false">IF($A15="","",IF(G15&lt;G14,1,0))</f>
        <v>0</v>
      </c>
      <c r="P15" s="42" t="n">
        <f aca="false">IF($A15="","",IF(M15&gt;M14,1,0))</f>
        <v>0</v>
      </c>
      <c r="Q15" s="42" t="n">
        <f aca="false">IF($A15="","",IF(M15&lt;M14,1,0))</f>
        <v>1</v>
      </c>
      <c r="R15" s="42" t="n">
        <f aca="false">IF($A15="","",IF(H15&gt;H14,1,0))</f>
        <v>1</v>
      </c>
      <c r="S15" s="42" t="n">
        <f aca="false">IF($A15="","",IF(M15&gt;M14,1,0))</f>
        <v>0</v>
      </c>
      <c r="T15" s="42" t="n">
        <f aca="false">IF($A15="","",IF(M15&lt;M14,1,0))</f>
        <v>1</v>
      </c>
      <c r="U15" s="42" t="n">
        <f aca="false">IF($A15="","",IF(AND(N15=1,P15=1),1,IF(AND(O15=1,Q15=1),-1,0)))</f>
        <v>0</v>
      </c>
    </row>
    <row r="16" customFormat="false" ht="15" hidden="false" customHeight="false" outlineLevel="0" collapsed="false">
      <c r="A16" s="39" t="n">
        <f aca="false">IF(A15="","",IF(_xlfn.MINIFS(日线!$G$5:$G$310,日线!$G$5:$G$310,"&gt;"&amp;A15)=0,"",_xlfn.MINIFS(日线!$G$5:$G$310,日线!$G$5:$G$310,"&gt;"&amp;A15)))</f>
        <v>45733</v>
      </c>
      <c r="B16" s="40" t="n">
        <f aca="false">IF($A16="","",INDEX(日线!$B$5:$B$310,MATCH($A16,日线!$G$5:$G$310,0)))</f>
        <v>24.43</v>
      </c>
      <c r="C16" s="40" t="n">
        <f aca="false">IF($A16="","",_xlfn.MAXIFS(日线!$C$5:$C$310,日线!$G$5:$G$310,$A16))</f>
        <v>25</v>
      </c>
      <c r="D16" s="40" t="n">
        <f aca="false">IF($A16="","",_xlfn.MINIFS(日线!$D$5:$D$310,日线!$G$5:$G$310,$A16))</f>
        <v>24.12</v>
      </c>
      <c r="E16" s="40" t="n">
        <f aca="false">IF($A16="","",INDEX(日线!$E$5:$E$310,MATCH($A16,日线!$G$5:$G$310,1)))</f>
        <v>24.67</v>
      </c>
      <c r="F16" s="44" t="n">
        <f aca="false">IF($A16="","",SUMIFS(日线!$F$5:$F$310,日线!$G$5:$G$310,$A16))</f>
        <v>16790100</v>
      </c>
      <c r="G16" s="40" t="n">
        <f aca="false">IF($A16="","",2/(p_EmaF+1)*E16+(1-2/(p_EmaF+1))*G15)</f>
        <v>22.9886339187645</v>
      </c>
      <c r="H16" s="40" t="n">
        <f aca="false">IF($A16="","",2/(p_EmaS+1)*E16+(1-2/(p_EmaS+1))*H15)</f>
        <v>21.9418592573845</v>
      </c>
      <c r="I16" s="41" t="n">
        <f aca="false">IF($A16="","",2/(p_MacdF+1)*E16+(1-2/(p_MacdF+1))*I15)</f>
        <v>23.1124546575248</v>
      </c>
      <c r="J16" s="41" t="n">
        <f aca="false">IF($A16="","",2/(p_MacdS+1)*E16+(1-2/(p_MacdS+1))*J15)</f>
        <v>21.9418592573845</v>
      </c>
      <c r="K16" s="41" t="n">
        <f aca="false">IF($A16="","",I16-J16)</f>
        <v>1.17059540014036</v>
      </c>
      <c r="L16" s="41" t="n">
        <f aca="false">IF($A16="","",2/(p_MacdSig+1)*K16+(1-2/(p_MacdSig+1))*L15)</f>
        <v>0.796904086847191</v>
      </c>
      <c r="M16" s="41" t="n">
        <f aca="false">IF($A16="","",K16-L16)</f>
        <v>0.373691313293173</v>
      </c>
      <c r="N16" s="42" t="n">
        <f aca="false">IF($A16="","",IF(G16&gt;G15,1,0))</f>
        <v>1</v>
      </c>
      <c r="O16" s="42" t="n">
        <f aca="false">IF($A16="","",IF(G16&lt;G15,1,0))</f>
        <v>0</v>
      </c>
      <c r="P16" s="42" t="n">
        <f aca="false">IF($A16="","",IF(M16&gt;M15,1,0))</f>
        <v>0</v>
      </c>
      <c r="Q16" s="42" t="n">
        <f aca="false">IF($A16="","",IF(M16&lt;M15,1,0))</f>
        <v>1</v>
      </c>
      <c r="R16" s="42" t="n">
        <f aca="false">IF($A16="","",IF(H16&gt;H15,1,0))</f>
        <v>1</v>
      </c>
      <c r="S16" s="42" t="n">
        <f aca="false">IF($A16="","",IF(M16&gt;M15,1,0))</f>
        <v>0</v>
      </c>
      <c r="T16" s="42" t="n">
        <f aca="false">IF($A16="","",IF(M16&lt;M15,1,0))</f>
        <v>1</v>
      </c>
      <c r="U16" s="42" t="n">
        <f aca="false">IF($A16="","",IF(AND(N16=1,P16=1),1,IF(AND(O16=1,Q16=1),-1,0)))</f>
        <v>0</v>
      </c>
    </row>
    <row r="17" customFormat="false" ht="15" hidden="false" customHeight="false" outlineLevel="0" collapsed="false">
      <c r="A17" s="39" t="n">
        <f aca="false">IF(A16="","",IF(_xlfn.MINIFS(日线!$G$5:$G$310,日线!$G$5:$G$310,"&gt;"&amp;A16)=0,"",_xlfn.MINIFS(日线!$G$5:$G$310,日线!$G$5:$G$310,"&gt;"&amp;A16)))</f>
        <v>45740</v>
      </c>
      <c r="B17" s="40" t="n">
        <f aca="false">IF($A17="","",INDEX(日线!$B$5:$B$310,MATCH($A17,日线!$G$5:$G$310,0)))</f>
        <v>24.74</v>
      </c>
      <c r="C17" s="40" t="n">
        <f aca="false">IF($A17="","",_xlfn.MAXIFS(日线!$C$5:$C$310,日线!$G$5:$G$310,$A17))</f>
        <v>25.1</v>
      </c>
      <c r="D17" s="40" t="n">
        <f aca="false">IF($A17="","",_xlfn.MINIFS(日线!$D$5:$D$310,日线!$G$5:$G$310,$A17))</f>
        <v>24.05</v>
      </c>
      <c r="E17" s="40" t="n">
        <f aca="false">IF($A17="","",INDEX(日线!$E$5:$E$310,MATCH($A17,日线!$G$5:$G$310,1)))</f>
        <v>24.53</v>
      </c>
      <c r="F17" s="44" t="n">
        <f aca="false">IF($A17="","",SUMIFS(日线!$F$5:$F$310,日线!$G$5:$G$310,$A17))</f>
        <v>18978000</v>
      </c>
      <c r="G17" s="40" t="n">
        <f aca="false">IF($A17="","",2/(p_EmaF+1)*E17+(1-2/(p_EmaF+1))*G16)</f>
        <v>23.2088290732268</v>
      </c>
      <c r="H17" s="40" t="n">
        <f aca="false">IF($A17="","",2/(p_EmaS+1)*E17+(1-2/(p_EmaS+1))*H16)</f>
        <v>22.1335733864671</v>
      </c>
      <c r="I17" s="41" t="n">
        <f aca="false">IF($A17="","",2/(p_MacdF+1)*E17+(1-2/(p_MacdF+1))*I16)</f>
        <v>23.3305385563672</v>
      </c>
      <c r="J17" s="41" t="n">
        <f aca="false">IF($A17="","",2/(p_MacdS+1)*E17+(1-2/(p_MacdS+1))*J16)</f>
        <v>22.1335733864671</v>
      </c>
      <c r="K17" s="41" t="n">
        <f aca="false">IF($A17="","",I17-J17)</f>
        <v>1.19696516990007</v>
      </c>
      <c r="L17" s="41" t="n">
        <f aca="false">IF($A17="","",2/(p_MacdSig+1)*K17+(1-2/(p_MacdSig+1))*L16)</f>
        <v>0.876916303457767</v>
      </c>
      <c r="M17" s="41" t="n">
        <f aca="false">IF($A17="","",K17-L17)</f>
        <v>0.320048866442301</v>
      </c>
      <c r="N17" s="42" t="n">
        <f aca="false">IF($A17="","",IF(G17&gt;G16,1,0))</f>
        <v>1</v>
      </c>
      <c r="O17" s="42" t="n">
        <f aca="false">IF($A17="","",IF(G17&lt;G16,1,0))</f>
        <v>0</v>
      </c>
      <c r="P17" s="42" t="n">
        <f aca="false">IF($A17="","",IF(M17&gt;M16,1,0))</f>
        <v>0</v>
      </c>
      <c r="Q17" s="42" t="n">
        <f aca="false">IF($A17="","",IF(M17&lt;M16,1,0))</f>
        <v>1</v>
      </c>
      <c r="R17" s="42" t="n">
        <f aca="false">IF($A17="","",IF(H17&gt;H16,1,0))</f>
        <v>1</v>
      </c>
      <c r="S17" s="42" t="n">
        <f aca="false">IF($A17="","",IF(M17&gt;M16,1,0))</f>
        <v>0</v>
      </c>
      <c r="T17" s="42" t="n">
        <f aca="false">IF($A17="","",IF(M17&lt;M16,1,0))</f>
        <v>1</v>
      </c>
      <c r="U17" s="42" t="n">
        <f aca="false">IF($A17="","",IF(AND(N17=1,P17=1),1,IF(AND(O17=1,Q17=1),-1,0)))</f>
        <v>0</v>
      </c>
    </row>
    <row r="18" customFormat="false" ht="15" hidden="false" customHeight="false" outlineLevel="0" collapsed="false">
      <c r="A18" s="39" t="n">
        <f aca="false">IF(A17="","",IF(_xlfn.MINIFS(日线!$G$5:$G$310,日线!$G$5:$G$310,"&gt;"&amp;A17)=0,"",_xlfn.MINIFS(日线!$G$5:$G$310,日线!$G$5:$G$310,"&gt;"&amp;A17)))</f>
        <v>45747</v>
      </c>
      <c r="B18" s="40" t="n">
        <f aca="false">IF($A18="","",INDEX(日线!$B$5:$B$310,MATCH($A18,日线!$G$5:$G$310,0)))</f>
        <v>24.59</v>
      </c>
      <c r="C18" s="40" t="n">
        <f aca="false">IF($A18="","",_xlfn.MAXIFS(日线!$C$5:$C$310,日线!$G$5:$G$310,$A18))</f>
        <v>26.5</v>
      </c>
      <c r="D18" s="40" t="n">
        <f aca="false">IF($A18="","",_xlfn.MINIFS(日线!$D$5:$D$310,日线!$G$5:$G$310,$A18))</f>
        <v>24.27</v>
      </c>
      <c r="E18" s="40" t="n">
        <f aca="false">IF($A18="","",INDEX(日线!$E$5:$E$310,MATCH($A18,日线!$G$5:$G$310,1)))</f>
        <v>26.27</v>
      </c>
      <c r="F18" s="44" t="n">
        <f aca="false">IF($A18="","",SUMIFS(日线!$F$5:$F$310,日线!$G$5:$G$310,$A18))</f>
        <v>19323500</v>
      </c>
      <c r="G18" s="40" t="n">
        <f aca="false">IF($A18="","",2/(p_EmaF+1)*E18+(1-2/(p_EmaF+1))*G17)</f>
        <v>23.6461392056229</v>
      </c>
      <c r="H18" s="40" t="n">
        <f aca="false">IF($A18="","",2/(p_EmaS+1)*E18+(1-2/(p_EmaS+1))*H17)</f>
        <v>22.4399753578399</v>
      </c>
      <c r="I18" s="41" t="n">
        <f aca="false">IF($A18="","",2/(p_MacdF+1)*E18+(1-2/(p_MacdF+1))*I17)</f>
        <v>23.7827633938491</v>
      </c>
      <c r="J18" s="41" t="n">
        <f aca="false">IF($A18="","",2/(p_MacdS+1)*E18+(1-2/(p_MacdS+1))*J17)</f>
        <v>22.4399753578399</v>
      </c>
      <c r="K18" s="41" t="n">
        <f aca="false">IF($A18="","",I18-J18)</f>
        <v>1.34278803600924</v>
      </c>
      <c r="L18" s="41" t="n">
        <f aca="false">IF($A18="","",2/(p_MacdSig+1)*K18+(1-2/(p_MacdSig+1))*L17)</f>
        <v>0.97009064996806</v>
      </c>
      <c r="M18" s="41" t="n">
        <f aca="false">IF($A18="","",K18-L18)</f>
        <v>0.372697386041175</v>
      </c>
      <c r="N18" s="42" t="n">
        <f aca="false">IF($A18="","",IF(G18&gt;G17,1,0))</f>
        <v>1</v>
      </c>
      <c r="O18" s="42" t="n">
        <f aca="false">IF($A18="","",IF(G18&lt;G17,1,0))</f>
        <v>0</v>
      </c>
      <c r="P18" s="42" t="n">
        <f aca="false">IF($A18="","",IF(M18&gt;M17,1,0))</f>
        <v>1</v>
      </c>
      <c r="Q18" s="42" t="n">
        <f aca="false">IF($A18="","",IF(M18&lt;M17,1,0))</f>
        <v>0</v>
      </c>
      <c r="R18" s="42" t="n">
        <f aca="false">IF($A18="","",IF(H18&gt;H17,1,0))</f>
        <v>1</v>
      </c>
      <c r="S18" s="42" t="n">
        <f aca="false">IF($A18="","",IF(M18&gt;M17,1,0))</f>
        <v>1</v>
      </c>
      <c r="T18" s="42" t="n">
        <f aca="false">IF($A18="","",IF(M18&lt;M17,1,0))</f>
        <v>0</v>
      </c>
      <c r="U18" s="42" t="n">
        <f aca="false">IF($A18="","",IF(AND(N18=1,P18=1),1,IF(AND(O18=1,Q18=1),-1,0)))</f>
        <v>1</v>
      </c>
    </row>
    <row r="19" customFormat="false" ht="15" hidden="false" customHeight="false" outlineLevel="0" collapsed="false">
      <c r="A19" s="39" t="n">
        <f aca="false">IF(A18="","",IF(_xlfn.MINIFS(日线!$G$5:$G$310,日线!$G$5:$G$310,"&gt;"&amp;A18)=0,"",_xlfn.MINIFS(日线!$G$5:$G$310,日线!$G$5:$G$310,"&gt;"&amp;A18)))</f>
        <v>45754</v>
      </c>
      <c r="B19" s="40" t="n">
        <f aca="false">IF($A19="","",INDEX(日线!$B$5:$B$310,MATCH($A19,日线!$G$5:$G$310,0)))</f>
        <v>26.31</v>
      </c>
      <c r="C19" s="40" t="n">
        <f aca="false">IF($A19="","",_xlfn.MAXIFS(日线!$C$5:$C$310,日线!$G$5:$G$310,$A19))</f>
        <v>27.03</v>
      </c>
      <c r="D19" s="40" t="n">
        <f aca="false">IF($A19="","",_xlfn.MINIFS(日线!$D$5:$D$310,日线!$G$5:$G$310,$A19))</f>
        <v>26.06</v>
      </c>
      <c r="E19" s="40" t="n">
        <f aca="false">IF($A19="","",INDEX(日线!$E$5:$E$310,MATCH($A19,日线!$G$5:$G$310,1)))</f>
        <v>26.67</v>
      </c>
      <c r="F19" s="44" t="n">
        <f aca="false">IF($A19="","",SUMIFS(日线!$F$5:$F$310,日线!$G$5:$G$310,$A19))</f>
        <v>18193700</v>
      </c>
      <c r="G19" s="40" t="n">
        <f aca="false">IF($A19="","",2/(p_EmaF+1)*E19+(1-2/(p_EmaF+1))*G18)</f>
        <v>24.0781193191054</v>
      </c>
      <c r="H19" s="40" t="n">
        <f aca="false">IF($A19="","",2/(p_EmaS+1)*E19+(1-2/(p_EmaS+1))*H18)</f>
        <v>22.7533105165184</v>
      </c>
      <c r="I19" s="41" t="n">
        <f aca="false">IF($A19="","",2/(p_MacdF+1)*E19+(1-2/(p_MacdF+1))*I18)</f>
        <v>24.2269536409493</v>
      </c>
      <c r="J19" s="41" t="n">
        <f aca="false">IF($A19="","",2/(p_MacdS+1)*E19+(1-2/(p_MacdS+1))*J18)</f>
        <v>22.7533105165184</v>
      </c>
      <c r="K19" s="41" t="n">
        <f aca="false">IF($A19="","",I19-J19)</f>
        <v>1.47364312443084</v>
      </c>
      <c r="L19" s="41" t="n">
        <f aca="false">IF($A19="","",2/(p_MacdSig+1)*K19+(1-2/(p_MacdSig+1))*L18)</f>
        <v>1.07080114486062</v>
      </c>
      <c r="M19" s="41" t="n">
        <f aca="false">IF($A19="","",K19-L19)</f>
        <v>0.402841979570224</v>
      </c>
      <c r="N19" s="42" t="n">
        <f aca="false">IF($A19="","",IF(G19&gt;G18,1,0))</f>
        <v>1</v>
      </c>
      <c r="O19" s="42" t="n">
        <f aca="false">IF($A19="","",IF(G19&lt;G18,1,0))</f>
        <v>0</v>
      </c>
      <c r="P19" s="42" t="n">
        <f aca="false">IF($A19="","",IF(M19&gt;M18,1,0))</f>
        <v>1</v>
      </c>
      <c r="Q19" s="42" t="n">
        <f aca="false">IF($A19="","",IF(M19&lt;M18,1,0))</f>
        <v>0</v>
      </c>
      <c r="R19" s="42" t="n">
        <f aca="false">IF($A19="","",IF(H19&gt;H18,1,0))</f>
        <v>1</v>
      </c>
      <c r="S19" s="42" t="n">
        <f aca="false">IF($A19="","",IF(M19&gt;M18,1,0))</f>
        <v>1</v>
      </c>
      <c r="T19" s="42" t="n">
        <f aca="false">IF($A19="","",IF(M19&lt;M18,1,0))</f>
        <v>0</v>
      </c>
      <c r="U19" s="42" t="n">
        <f aca="false">IF($A19="","",IF(AND(N19=1,P19=1),1,IF(AND(O19=1,Q19=1),-1,0)))</f>
        <v>1</v>
      </c>
    </row>
    <row r="20" customFormat="false" ht="15" hidden="false" customHeight="false" outlineLevel="0" collapsed="false">
      <c r="A20" s="39" t="n">
        <f aca="false">IF(A19="","",IF(_xlfn.MINIFS(日线!$G$5:$G$310,日线!$G$5:$G$310,"&gt;"&amp;A19)=0,"",_xlfn.MINIFS(日线!$G$5:$G$310,日线!$G$5:$G$310,"&gt;"&amp;A19)))</f>
        <v>45761</v>
      </c>
      <c r="B20" s="40" t="n">
        <f aca="false">IF($A20="","",INDEX(日线!$B$5:$B$310,MATCH($A20,日线!$G$5:$G$310,0)))</f>
        <v>26.66</v>
      </c>
      <c r="C20" s="40" t="n">
        <f aca="false">IF($A20="","",_xlfn.MAXIFS(日线!$C$5:$C$310,日线!$G$5:$G$310,$A20))</f>
        <v>26.89</v>
      </c>
      <c r="D20" s="40" t="n">
        <f aca="false">IF($A20="","",_xlfn.MINIFS(日线!$D$5:$D$310,日线!$G$5:$G$310,$A20))</f>
        <v>25.86</v>
      </c>
      <c r="E20" s="40" t="n">
        <f aca="false">IF($A20="","",INDEX(日线!$E$5:$E$310,MATCH($A20,日线!$G$5:$G$310,1)))</f>
        <v>26.31</v>
      </c>
      <c r="F20" s="44" t="n">
        <f aca="false">IF($A20="","",SUMIFS(日线!$F$5:$F$310,日线!$G$5:$G$310,$A20))</f>
        <v>14362300</v>
      </c>
      <c r="G20" s="40" t="n">
        <f aca="false">IF($A20="","",2/(p_EmaF+1)*E20+(1-2/(p_EmaF+1))*G19)</f>
        <v>24.396959416376</v>
      </c>
      <c r="H20" s="40" t="n">
        <f aca="false">IF($A20="","",2/(p_EmaS+1)*E20+(1-2/(p_EmaS+1))*H19)</f>
        <v>23.0167689967763</v>
      </c>
      <c r="I20" s="41" t="n">
        <f aca="false">IF($A20="","",2/(p_MacdF+1)*E20+(1-2/(p_MacdF+1))*I19)</f>
        <v>24.5474223115725</v>
      </c>
      <c r="J20" s="41" t="n">
        <f aca="false">IF($A20="","",2/(p_MacdS+1)*E20+(1-2/(p_MacdS+1))*J19)</f>
        <v>23.0167689967763</v>
      </c>
      <c r="K20" s="41" t="n">
        <f aca="false">IF($A20="","",I20-J20)</f>
        <v>1.53065331479614</v>
      </c>
      <c r="L20" s="41" t="n">
        <f aca="false">IF($A20="","",2/(p_MacdSig+1)*K20+(1-2/(p_MacdSig+1))*L19)</f>
        <v>1.16277157884772</v>
      </c>
      <c r="M20" s="41" t="n">
        <f aca="false">IF($A20="","",K20-L20)</f>
        <v>0.367881735948416</v>
      </c>
      <c r="N20" s="42" t="n">
        <f aca="false">IF($A20="","",IF(G20&gt;G19,1,0))</f>
        <v>1</v>
      </c>
      <c r="O20" s="42" t="n">
        <f aca="false">IF($A20="","",IF(G20&lt;G19,1,0))</f>
        <v>0</v>
      </c>
      <c r="P20" s="42" t="n">
        <f aca="false">IF($A20="","",IF(M20&gt;M19,1,0))</f>
        <v>0</v>
      </c>
      <c r="Q20" s="42" t="n">
        <f aca="false">IF($A20="","",IF(M20&lt;M19,1,0))</f>
        <v>1</v>
      </c>
      <c r="R20" s="42" t="n">
        <f aca="false">IF($A20="","",IF(H20&gt;H19,1,0))</f>
        <v>1</v>
      </c>
      <c r="S20" s="42" t="n">
        <f aca="false">IF($A20="","",IF(M20&gt;M19,1,0))</f>
        <v>0</v>
      </c>
      <c r="T20" s="42" t="n">
        <f aca="false">IF($A20="","",IF(M20&lt;M19,1,0))</f>
        <v>1</v>
      </c>
      <c r="U20" s="42" t="n">
        <f aca="false">IF($A20="","",IF(AND(N20=1,P20=1),1,IF(AND(O20=1,Q20=1),-1,0)))</f>
        <v>0</v>
      </c>
    </row>
    <row r="21" customFormat="false" ht="15" hidden="false" customHeight="false" outlineLevel="0" collapsed="false">
      <c r="A21" s="39" t="n">
        <f aca="false">IF(A20="","",IF(_xlfn.MINIFS(日线!$G$5:$G$310,日线!$G$5:$G$310,"&gt;"&amp;A20)=0,"",_xlfn.MINIFS(日线!$G$5:$G$310,日线!$G$5:$G$310,"&gt;"&amp;A20)))</f>
        <v>45768</v>
      </c>
      <c r="B21" s="40" t="n">
        <f aca="false">IF($A21="","",INDEX(日线!$B$5:$B$310,MATCH($A21,日线!$G$5:$G$310,0)))</f>
        <v>26.22</v>
      </c>
      <c r="C21" s="40" t="n">
        <f aca="false">IF($A21="","",_xlfn.MAXIFS(日线!$C$5:$C$310,日线!$G$5:$G$310,$A21))</f>
        <v>26.42</v>
      </c>
      <c r="D21" s="40" t="n">
        <f aca="false">IF($A21="","",_xlfn.MINIFS(日线!$D$5:$D$310,日线!$G$5:$G$310,$A21))</f>
        <v>24.96</v>
      </c>
      <c r="E21" s="40" t="n">
        <f aca="false">IF($A21="","",INDEX(日线!$E$5:$E$310,MATCH($A21,日线!$G$5:$G$310,1)))</f>
        <v>25.36</v>
      </c>
      <c r="F21" s="44" t="n">
        <f aca="false">IF($A21="","",SUMIFS(日线!$F$5:$F$310,日线!$G$5:$G$310,$A21))</f>
        <v>20080400</v>
      </c>
      <c r="G21" s="40" t="n">
        <f aca="false">IF($A21="","",2/(p_EmaF+1)*E21+(1-2/(p_EmaF+1))*G20)</f>
        <v>24.534536642608</v>
      </c>
      <c r="H21" s="40" t="n">
        <f aca="false">IF($A21="","",2/(p_EmaS+1)*E21+(1-2/(p_EmaS+1))*H20)</f>
        <v>23.1903416636818</v>
      </c>
      <c r="I21" s="41" t="n">
        <f aca="false">IF($A21="","",2/(p_MacdF+1)*E21+(1-2/(p_MacdF+1))*I20)</f>
        <v>24.6724342636382</v>
      </c>
      <c r="J21" s="41" t="n">
        <f aca="false">IF($A21="","",2/(p_MacdS+1)*E21+(1-2/(p_MacdS+1))*J20)</f>
        <v>23.1903416636818</v>
      </c>
      <c r="K21" s="41" t="n">
        <f aca="false">IF($A21="","",I21-J21)</f>
        <v>1.48209259995645</v>
      </c>
      <c r="L21" s="41" t="n">
        <f aca="false">IF($A21="","",2/(p_MacdSig+1)*K21+(1-2/(p_MacdSig+1))*L20)</f>
        <v>1.22663578306947</v>
      </c>
      <c r="M21" s="41" t="n">
        <f aca="false">IF($A21="","",K21-L21)</f>
        <v>0.255456816886985</v>
      </c>
      <c r="N21" s="42" t="n">
        <f aca="false">IF($A21="","",IF(G21&gt;G20,1,0))</f>
        <v>1</v>
      </c>
      <c r="O21" s="42" t="n">
        <f aca="false">IF($A21="","",IF(G21&lt;G20,1,0))</f>
        <v>0</v>
      </c>
      <c r="P21" s="42" t="n">
        <f aca="false">IF($A21="","",IF(M21&gt;M20,1,0))</f>
        <v>0</v>
      </c>
      <c r="Q21" s="42" t="n">
        <f aca="false">IF($A21="","",IF(M21&lt;M20,1,0))</f>
        <v>1</v>
      </c>
      <c r="R21" s="42" t="n">
        <f aca="false">IF($A21="","",IF(H21&gt;H20,1,0))</f>
        <v>1</v>
      </c>
      <c r="S21" s="42" t="n">
        <f aca="false">IF($A21="","",IF(M21&gt;M20,1,0))</f>
        <v>0</v>
      </c>
      <c r="T21" s="42" t="n">
        <f aca="false">IF($A21="","",IF(M21&lt;M20,1,0))</f>
        <v>1</v>
      </c>
      <c r="U21" s="42" t="n">
        <f aca="false">IF($A21="","",IF(AND(N21=1,P21=1),1,IF(AND(O21=1,Q21=1),-1,0)))</f>
        <v>0</v>
      </c>
    </row>
    <row r="22" customFormat="false" ht="15" hidden="false" customHeight="false" outlineLevel="0" collapsed="false">
      <c r="A22" s="39" t="n">
        <f aca="false">IF(A21="","",IF(_xlfn.MINIFS(日线!$G$5:$G$310,日线!$G$5:$G$310,"&gt;"&amp;A21)=0,"",_xlfn.MINIFS(日线!$G$5:$G$310,日线!$G$5:$G$310,"&gt;"&amp;A21)))</f>
        <v>45775</v>
      </c>
      <c r="B22" s="40" t="n">
        <f aca="false">IF($A22="","",INDEX(日线!$B$5:$B$310,MATCH($A22,日线!$G$5:$G$310,0)))</f>
        <v>25.33</v>
      </c>
      <c r="C22" s="40" t="n">
        <f aca="false">IF($A22="","",_xlfn.MAXIFS(日线!$C$5:$C$310,日线!$G$5:$G$310,$A22))</f>
        <v>25.44</v>
      </c>
      <c r="D22" s="40" t="n">
        <f aca="false">IF($A22="","",_xlfn.MINIFS(日线!$D$5:$D$310,日线!$G$5:$G$310,$A22))</f>
        <v>24.65</v>
      </c>
      <c r="E22" s="40" t="n">
        <f aca="false">IF($A22="","",INDEX(日线!$E$5:$E$310,MATCH($A22,日线!$G$5:$G$310,1)))</f>
        <v>24.83</v>
      </c>
      <c r="F22" s="44" t="n">
        <f aca="false">IF($A22="","",SUMIFS(日线!$F$5:$F$310,日线!$G$5:$G$310,$A22))</f>
        <v>19157400</v>
      </c>
      <c r="G22" s="40" t="n">
        <f aca="false">IF($A22="","",2/(p_EmaF+1)*E22+(1-2/(p_EmaF+1))*G21)</f>
        <v>24.576745693664</v>
      </c>
      <c r="H22" s="40" t="n">
        <f aca="false">IF($A22="","",2/(p_EmaS+1)*E22+(1-2/(p_EmaS+1))*H21)</f>
        <v>23.3117978367424</v>
      </c>
      <c r="I22" s="41" t="n">
        <f aca="false">IF($A22="","",2/(p_MacdF+1)*E22+(1-2/(p_MacdF+1))*I21)</f>
        <v>24.6966751461554</v>
      </c>
      <c r="J22" s="41" t="n">
        <f aca="false">IF($A22="","",2/(p_MacdS+1)*E22+(1-2/(p_MacdS+1))*J21)</f>
        <v>23.3117978367424</v>
      </c>
      <c r="K22" s="41" t="n">
        <f aca="false">IF($A22="","",I22-J22)</f>
        <v>1.38487730941304</v>
      </c>
      <c r="L22" s="41" t="n">
        <f aca="false">IF($A22="","",2/(p_MacdSig+1)*K22+(1-2/(p_MacdSig+1))*L21)</f>
        <v>1.25828408833818</v>
      </c>
      <c r="M22" s="41" t="n">
        <f aca="false">IF($A22="","",K22-L22)</f>
        <v>0.126593221074857</v>
      </c>
      <c r="N22" s="42" t="n">
        <f aca="false">IF($A22="","",IF(G22&gt;G21,1,0))</f>
        <v>1</v>
      </c>
      <c r="O22" s="42" t="n">
        <f aca="false">IF($A22="","",IF(G22&lt;G21,1,0))</f>
        <v>0</v>
      </c>
      <c r="P22" s="42" t="n">
        <f aca="false">IF($A22="","",IF(M22&gt;M21,1,0))</f>
        <v>0</v>
      </c>
      <c r="Q22" s="42" t="n">
        <f aca="false">IF($A22="","",IF(M22&lt;M21,1,0))</f>
        <v>1</v>
      </c>
      <c r="R22" s="42" t="n">
        <f aca="false">IF($A22="","",IF(H22&gt;H21,1,0))</f>
        <v>1</v>
      </c>
      <c r="S22" s="42" t="n">
        <f aca="false">IF($A22="","",IF(M22&gt;M21,1,0))</f>
        <v>0</v>
      </c>
      <c r="T22" s="42" t="n">
        <f aca="false">IF($A22="","",IF(M22&lt;M21,1,0))</f>
        <v>1</v>
      </c>
      <c r="U22" s="42" t="n">
        <f aca="false">IF($A22="","",IF(AND(N22=1,P22=1),1,IF(AND(O22=1,Q22=1),-1,0)))</f>
        <v>0</v>
      </c>
    </row>
    <row r="23" customFormat="false" ht="15" hidden="false" customHeight="false" outlineLevel="0" collapsed="false">
      <c r="A23" s="39" t="n">
        <f aca="false">IF(A22="","",IF(_xlfn.MINIFS(日线!$G$5:$G$310,日线!$G$5:$G$310,"&gt;"&amp;A22)=0,"",_xlfn.MINIFS(日线!$G$5:$G$310,日线!$G$5:$G$310,"&gt;"&amp;A22)))</f>
        <v>45782</v>
      </c>
      <c r="B23" s="40" t="n">
        <f aca="false">IF($A23="","",INDEX(日线!$B$5:$B$310,MATCH($A23,日线!$G$5:$G$310,0)))</f>
        <v>24.83</v>
      </c>
      <c r="C23" s="40" t="n">
        <f aca="false">IF($A23="","",_xlfn.MAXIFS(日线!$C$5:$C$310,日线!$G$5:$G$310,$A23))</f>
        <v>24.91</v>
      </c>
      <c r="D23" s="40" t="n">
        <f aca="false">IF($A23="","",_xlfn.MINIFS(日线!$D$5:$D$310,日线!$G$5:$G$310,$A23))</f>
        <v>22.36</v>
      </c>
      <c r="E23" s="40" t="n">
        <f aca="false">IF($A23="","",INDEX(日线!$E$5:$E$310,MATCH($A23,日线!$G$5:$G$310,1)))</f>
        <v>22.48</v>
      </c>
      <c r="F23" s="44" t="n">
        <f aca="false">IF($A23="","",SUMIFS(日线!$F$5:$F$310,日线!$G$5:$G$310,$A23))</f>
        <v>22423900</v>
      </c>
      <c r="G23" s="40" t="n">
        <f aca="false">IF($A23="","",2/(p_EmaF+1)*E23+(1-2/(p_EmaF+1))*G22)</f>
        <v>24.2772105945692</v>
      </c>
      <c r="H23" s="40" t="n">
        <f aca="false">IF($A23="","",2/(p_EmaS+1)*E23+(1-2/(p_EmaS+1))*H22)</f>
        <v>23.2501831821689</v>
      </c>
      <c r="I23" s="41" t="n">
        <f aca="false">IF($A23="","",2/(p_MacdF+1)*E23+(1-2/(p_MacdF+1))*I22)</f>
        <v>24.3556482005931</v>
      </c>
      <c r="J23" s="41" t="n">
        <f aca="false">IF($A23="","",2/(p_MacdS+1)*E23+(1-2/(p_MacdS+1))*J22)</f>
        <v>23.2501831821689</v>
      </c>
      <c r="K23" s="41" t="n">
        <f aca="false">IF($A23="","",I23-J23)</f>
        <v>1.10546501842417</v>
      </c>
      <c r="L23" s="41" t="n">
        <f aca="false">IF($A23="","",2/(p_MacdSig+1)*K23+(1-2/(p_MacdSig+1))*L22)</f>
        <v>1.22772027435538</v>
      </c>
      <c r="M23" s="41" t="n">
        <f aca="false">IF($A23="","",K23-L23)</f>
        <v>-0.122255255931207</v>
      </c>
      <c r="N23" s="42" t="n">
        <f aca="false">IF($A23="","",IF(G23&gt;G22,1,0))</f>
        <v>0</v>
      </c>
      <c r="O23" s="42" t="n">
        <f aca="false">IF($A23="","",IF(G23&lt;G22,1,0))</f>
        <v>1</v>
      </c>
      <c r="P23" s="42" t="n">
        <f aca="false">IF($A23="","",IF(M23&gt;M22,1,0))</f>
        <v>0</v>
      </c>
      <c r="Q23" s="42" t="n">
        <f aca="false">IF($A23="","",IF(M23&lt;M22,1,0))</f>
        <v>1</v>
      </c>
      <c r="R23" s="42" t="n">
        <f aca="false">IF($A23="","",IF(H23&gt;H22,1,0))</f>
        <v>0</v>
      </c>
      <c r="S23" s="42" t="n">
        <f aca="false">IF($A23="","",IF(M23&gt;M22,1,0))</f>
        <v>0</v>
      </c>
      <c r="T23" s="42" t="n">
        <f aca="false">IF($A23="","",IF(M23&lt;M22,1,0))</f>
        <v>1</v>
      </c>
      <c r="U23" s="42" t="n">
        <f aca="false">IF($A23="","",IF(AND(N23=1,P23=1),1,IF(AND(O23=1,Q23=1),-1,0)))</f>
        <v>-1</v>
      </c>
    </row>
    <row r="24" customFormat="false" ht="15" hidden="false" customHeight="false" outlineLevel="0" collapsed="false">
      <c r="A24" s="39" t="n">
        <f aca="false">IF(A23="","",IF(_xlfn.MINIFS(日线!$G$5:$G$310,日线!$G$5:$G$310,"&gt;"&amp;A23)=0,"",_xlfn.MINIFS(日线!$G$5:$G$310,日线!$G$5:$G$310,"&gt;"&amp;A23)))</f>
        <v>45789</v>
      </c>
      <c r="B24" s="40" t="n">
        <f aca="false">IF($A24="","",INDEX(日线!$B$5:$B$310,MATCH($A24,日线!$G$5:$G$310,0)))</f>
        <v>22.61</v>
      </c>
      <c r="C24" s="40" t="n">
        <f aca="false">IF($A24="","",_xlfn.MAXIFS(日线!$C$5:$C$310,日线!$G$5:$G$310,$A24))</f>
        <v>22.66</v>
      </c>
      <c r="D24" s="40" t="n">
        <f aca="false">IF($A24="","",_xlfn.MINIFS(日线!$D$5:$D$310,日线!$G$5:$G$310,$A24))</f>
        <v>21.55</v>
      </c>
      <c r="E24" s="40" t="n">
        <f aca="false">IF($A24="","",INDEX(日线!$E$5:$E$310,MATCH($A24,日线!$G$5:$G$310,1)))</f>
        <v>21.85</v>
      </c>
      <c r="F24" s="44" t="n">
        <f aca="false">IF($A24="","",SUMIFS(日线!$F$5:$F$310,日线!$G$5:$G$310,$A24))</f>
        <v>22337900</v>
      </c>
      <c r="G24" s="40" t="n">
        <f aca="false">IF($A24="","",2/(p_EmaF+1)*E24+(1-2/(p_EmaF+1))*G23)</f>
        <v>23.9304662239164</v>
      </c>
      <c r="H24" s="40" t="n">
        <f aca="false">IF($A24="","",2/(p_EmaS+1)*E24+(1-2/(p_EmaS+1))*H23)</f>
        <v>23.1464659094156</v>
      </c>
      <c r="I24" s="41" t="n">
        <f aca="false">IF($A24="","",2/(p_MacdF+1)*E24+(1-2/(p_MacdF+1))*I23)</f>
        <v>23.9701638620403</v>
      </c>
      <c r="J24" s="41" t="n">
        <f aca="false">IF($A24="","",2/(p_MacdS+1)*E24+(1-2/(p_MacdS+1))*J23)</f>
        <v>23.1464659094156</v>
      </c>
      <c r="K24" s="41" t="n">
        <f aca="false">IF($A24="","",I24-J24)</f>
        <v>0.823697952624645</v>
      </c>
      <c r="L24" s="41" t="n">
        <f aca="false">IF($A24="","",2/(p_MacdSig+1)*K24+(1-2/(p_MacdSig+1))*L23)</f>
        <v>1.14691581000923</v>
      </c>
      <c r="M24" s="41" t="n">
        <f aca="false">IF($A24="","",K24-L24)</f>
        <v>-0.323217857384588</v>
      </c>
      <c r="N24" s="42" t="n">
        <f aca="false">IF($A24="","",IF(G24&gt;G23,1,0))</f>
        <v>0</v>
      </c>
      <c r="O24" s="42" t="n">
        <f aca="false">IF($A24="","",IF(G24&lt;G23,1,0))</f>
        <v>1</v>
      </c>
      <c r="P24" s="42" t="n">
        <f aca="false">IF($A24="","",IF(M24&gt;M23,1,0))</f>
        <v>0</v>
      </c>
      <c r="Q24" s="42" t="n">
        <f aca="false">IF($A24="","",IF(M24&lt;M23,1,0))</f>
        <v>1</v>
      </c>
      <c r="R24" s="42" t="n">
        <f aca="false">IF($A24="","",IF(H24&gt;H23,1,0))</f>
        <v>0</v>
      </c>
      <c r="S24" s="42" t="n">
        <f aca="false">IF($A24="","",IF(M24&gt;M23,1,0))</f>
        <v>0</v>
      </c>
      <c r="T24" s="42" t="n">
        <f aca="false">IF($A24="","",IF(M24&lt;M23,1,0))</f>
        <v>1</v>
      </c>
      <c r="U24" s="42" t="n">
        <f aca="false">IF($A24="","",IF(AND(N24=1,P24=1),1,IF(AND(O24=1,Q24=1),-1,0)))</f>
        <v>-1</v>
      </c>
    </row>
    <row r="25" customFormat="false" ht="15" hidden="false" customHeight="false" outlineLevel="0" collapsed="false">
      <c r="A25" s="39" t="n">
        <f aca="false">IF(A24="","",IF(_xlfn.MINIFS(日线!$G$5:$G$310,日线!$G$5:$G$310,"&gt;"&amp;A24)=0,"",_xlfn.MINIFS(日线!$G$5:$G$310,日线!$G$5:$G$310,"&gt;"&amp;A24)))</f>
        <v>45796</v>
      </c>
      <c r="B25" s="40" t="n">
        <f aca="false">IF($A25="","",INDEX(日线!$B$5:$B$310,MATCH($A25,日线!$G$5:$G$310,0)))</f>
        <v>21.86</v>
      </c>
      <c r="C25" s="40" t="n">
        <f aca="false">IF($A25="","",_xlfn.MAXIFS(日线!$C$5:$C$310,日线!$G$5:$G$310,$A25))</f>
        <v>21.98</v>
      </c>
      <c r="D25" s="40" t="n">
        <f aca="false">IF($A25="","",_xlfn.MINIFS(日线!$D$5:$D$310,日线!$G$5:$G$310,$A25))</f>
        <v>20.27</v>
      </c>
      <c r="E25" s="40" t="n">
        <f aca="false">IF($A25="","",INDEX(日线!$E$5:$E$310,MATCH($A25,日线!$G$5:$G$310,1)))</f>
        <v>20.61</v>
      </c>
      <c r="F25" s="44" t="n">
        <f aca="false">IF($A25="","",SUMIFS(日线!$F$5:$F$310,日线!$G$5:$G$310,$A25))</f>
        <v>20097400</v>
      </c>
      <c r="G25" s="40" t="n">
        <f aca="false">IF($A25="","",2/(p_EmaF+1)*E25+(1-2/(p_EmaF+1))*G24)</f>
        <v>23.4561139062141</v>
      </c>
      <c r="H25" s="40" t="n">
        <f aca="false">IF($A25="","",2/(p_EmaS+1)*E25+(1-2/(p_EmaS+1))*H24)</f>
        <v>22.9585795457552</v>
      </c>
      <c r="I25" s="41" t="n">
        <f aca="false">IF($A25="","",2/(p_MacdF+1)*E25+(1-2/(p_MacdF+1))*I24)</f>
        <v>23.4532155755725</v>
      </c>
      <c r="J25" s="41" t="n">
        <f aca="false">IF($A25="","",2/(p_MacdS+1)*E25+(1-2/(p_MacdS+1))*J24)</f>
        <v>22.9585795457552</v>
      </c>
      <c r="K25" s="41" t="n">
        <f aca="false">IF($A25="","",I25-J25)</f>
        <v>0.494636029817329</v>
      </c>
      <c r="L25" s="41" t="n">
        <f aca="false">IF($A25="","",2/(p_MacdSig+1)*K25+(1-2/(p_MacdSig+1))*L24)</f>
        <v>1.01645985397085</v>
      </c>
      <c r="M25" s="41" t="n">
        <f aca="false">IF($A25="","",K25-L25)</f>
        <v>-0.521823824153523</v>
      </c>
      <c r="N25" s="42" t="n">
        <f aca="false">IF($A25="","",IF(G25&gt;G24,1,0))</f>
        <v>0</v>
      </c>
      <c r="O25" s="42" t="n">
        <f aca="false">IF($A25="","",IF(G25&lt;G24,1,0))</f>
        <v>1</v>
      </c>
      <c r="P25" s="42" t="n">
        <f aca="false">IF($A25="","",IF(M25&gt;M24,1,0))</f>
        <v>0</v>
      </c>
      <c r="Q25" s="42" t="n">
        <f aca="false">IF($A25="","",IF(M25&lt;M24,1,0))</f>
        <v>1</v>
      </c>
      <c r="R25" s="42" t="n">
        <f aca="false">IF($A25="","",IF(H25&gt;H24,1,0))</f>
        <v>0</v>
      </c>
      <c r="S25" s="42" t="n">
        <f aca="false">IF($A25="","",IF(M25&gt;M24,1,0))</f>
        <v>0</v>
      </c>
      <c r="T25" s="42" t="n">
        <f aca="false">IF($A25="","",IF(M25&lt;M24,1,0))</f>
        <v>1</v>
      </c>
      <c r="U25" s="42" t="n">
        <f aca="false">IF($A25="","",IF(AND(N25=1,P25=1),1,IF(AND(O25=1,Q25=1),-1,0)))</f>
        <v>-1</v>
      </c>
    </row>
    <row r="26" customFormat="false" ht="15" hidden="false" customHeight="false" outlineLevel="0" collapsed="false">
      <c r="A26" s="39" t="n">
        <f aca="false">IF(A25="","",IF(_xlfn.MINIFS(日线!$G$5:$G$310,日线!$G$5:$G$310,"&gt;"&amp;A25)=0,"",_xlfn.MINIFS(日线!$G$5:$G$310,日线!$G$5:$G$310,"&gt;"&amp;A25)))</f>
        <v>45803</v>
      </c>
      <c r="B26" s="40" t="n">
        <f aca="false">IF($A26="","",INDEX(日线!$B$5:$B$310,MATCH($A26,日线!$G$5:$G$310,0)))</f>
        <v>20.62</v>
      </c>
      <c r="C26" s="40" t="n">
        <f aca="false">IF($A26="","",_xlfn.MAXIFS(日线!$C$5:$C$310,日线!$G$5:$G$310,$A26))</f>
        <v>21.54</v>
      </c>
      <c r="D26" s="40" t="n">
        <f aca="false">IF($A26="","",_xlfn.MINIFS(日线!$D$5:$D$310,日线!$G$5:$G$310,$A26))</f>
        <v>20.53</v>
      </c>
      <c r="E26" s="40" t="n">
        <f aca="false">IF($A26="","",INDEX(日线!$E$5:$E$310,MATCH($A26,日线!$G$5:$G$310,1)))</f>
        <v>21.28</v>
      </c>
      <c r="F26" s="44" t="n">
        <f aca="false">IF($A26="","",SUMIFS(日线!$F$5:$F$310,日线!$G$5:$G$310,$A26))</f>
        <v>15714200</v>
      </c>
      <c r="G26" s="40" t="n">
        <f aca="false">IF($A26="","",2/(p_EmaF+1)*E26+(1-2/(p_EmaF+1))*G25)</f>
        <v>23.1452404910406</v>
      </c>
      <c r="H26" s="40" t="n">
        <f aca="false">IF($A26="","",2/(p_EmaS+1)*E26+(1-2/(p_EmaS+1))*H25)</f>
        <v>22.8342403201437</v>
      </c>
      <c r="I26" s="41" t="n">
        <f aca="false">IF($A26="","",2/(p_MacdF+1)*E26+(1-2/(p_MacdF+1))*I25)</f>
        <v>23.1188747177922</v>
      </c>
      <c r="J26" s="41" t="n">
        <f aca="false">IF($A26="","",2/(p_MacdS+1)*E26+(1-2/(p_MacdS+1))*J25)</f>
        <v>22.8342403201437</v>
      </c>
      <c r="K26" s="41" t="n">
        <f aca="false">IF($A26="","",I26-J26)</f>
        <v>0.284634397648436</v>
      </c>
      <c r="L26" s="41" t="n">
        <f aca="false">IF($A26="","",2/(p_MacdSig+1)*K26+(1-2/(p_MacdSig+1))*L25)</f>
        <v>0.870094762706369</v>
      </c>
      <c r="M26" s="41" t="n">
        <f aca="false">IF($A26="","",K26-L26)</f>
        <v>-0.585460365057933</v>
      </c>
      <c r="N26" s="42" t="n">
        <f aca="false">IF($A26="","",IF(G26&gt;G25,1,0))</f>
        <v>0</v>
      </c>
      <c r="O26" s="42" t="n">
        <f aca="false">IF($A26="","",IF(G26&lt;G25,1,0))</f>
        <v>1</v>
      </c>
      <c r="P26" s="42" t="n">
        <f aca="false">IF($A26="","",IF(M26&gt;M25,1,0))</f>
        <v>0</v>
      </c>
      <c r="Q26" s="42" t="n">
        <f aca="false">IF($A26="","",IF(M26&lt;M25,1,0))</f>
        <v>1</v>
      </c>
      <c r="R26" s="42" t="n">
        <f aca="false">IF($A26="","",IF(H26&gt;H25,1,0))</f>
        <v>0</v>
      </c>
      <c r="S26" s="42" t="n">
        <f aca="false">IF($A26="","",IF(M26&gt;M25,1,0))</f>
        <v>0</v>
      </c>
      <c r="T26" s="42" t="n">
        <f aca="false">IF($A26="","",IF(M26&lt;M25,1,0))</f>
        <v>1</v>
      </c>
      <c r="U26" s="42" t="n">
        <f aca="false">IF($A26="","",IF(AND(N26=1,P26=1),1,IF(AND(O26=1,Q26=1),-1,0)))</f>
        <v>-1</v>
      </c>
    </row>
    <row r="27" customFormat="false" ht="15" hidden="false" customHeight="false" outlineLevel="0" collapsed="false">
      <c r="A27" s="39" t="n">
        <f aca="false">IF(A26="","",IF(_xlfn.MINIFS(日线!$G$5:$G$310,日线!$G$5:$G$310,"&gt;"&amp;A26)=0,"",_xlfn.MINIFS(日线!$G$5:$G$310,日线!$G$5:$G$310,"&gt;"&amp;A26)))</f>
        <v>45810</v>
      </c>
      <c r="B27" s="40" t="n">
        <f aca="false">IF($A27="","",INDEX(日线!$B$5:$B$310,MATCH($A27,日线!$G$5:$G$310,0)))</f>
        <v>21.33</v>
      </c>
      <c r="C27" s="40" t="n">
        <f aca="false">IF($A27="","",_xlfn.MAXIFS(日线!$C$5:$C$310,日线!$G$5:$G$310,$A27))</f>
        <v>21.63</v>
      </c>
      <c r="D27" s="40" t="n">
        <f aca="false">IF($A27="","",_xlfn.MINIFS(日线!$D$5:$D$310,日线!$G$5:$G$310,$A27))</f>
        <v>20.55</v>
      </c>
      <c r="E27" s="40" t="n">
        <f aca="false">IF($A27="","",INDEX(日线!$E$5:$E$310,MATCH($A27,日线!$G$5:$G$310,1)))</f>
        <v>21.29</v>
      </c>
      <c r="F27" s="44" t="n">
        <f aca="false">IF($A27="","",SUMIFS(日线!$F$5:$F$310,日线!$G$5:$G$310,$A27))</f>
        <v>19542500</v>
      </c>
      <c r="G27" s="40" t="n">
        <f aca="false">IF($A27="","",2/(p_EmaF+1)*E27+(1-2/(p_EmaF+1))*G26)</f>
        <v>22.8802061351777</v>
      </c>
      <c r="H27" s="40" t="n">
        <f aca="false">IF($A27="","",2/(p_EmaS+1)*E27+(1-2/(p_EmaS+1))*H26)</f>
        <v>22.7198521482812</v>
      </c>
      <c r="I27" s="41" t="n">
        <f aca="false">IF($A27="","",2/(p_MacdF+1)*E27+(1-2/(p_MacdF+1))*I26)</f>
        <v>22.8375093765934</v>
      </c>
      <c r="J27" s="41" t="n">
        <f aca="false">IF($A27="","",2/(p_MacdS+1)*E27+(1-2/(p_MacdS+1))*J26)</f>
        <v>22.7198521482812</v>
      </c>
      <c r="K27" s="41" t="n">
        <f aca="false">IF($A27="","",I27-J27)</f>
        <v>0.11765722831214</v>
      </c>
      <c r="L27" s="41" t="n">
        <f aca="false">IF($A27="","",2/(p_MacdSig+1)*K27+(1-2/(p_MacdSig+1))*L26)</f>
        <v>0.719607255827523</v>
      </c>
      <c r="M27" s="41" t="n">
        <f aca="false">IF($A27="","",K27-L27)</f>
        <v>-0.601950027515383</v>
      </c>
      <c r="N27" s="42" t="n">
        <f aca="false">IF($A27="","",IF(G27&gt;G26,1,0))</f>
        <v>0</v>
      </c>
      <c r="O27" s="42" t="n">
        <f aca="false">IF($A27="","",IF(G27&lt;G26,1,0))</f>
        <v>1</v>
      </c>
      <c r="P27" s="42" t="n">
        <f aca="false">IF($A27="","",IF(M27&gt;M26,1,0))</f>
        <v>0</v>
      </c>
      <c r="Q27" s="42" t="n">
        <f aca="false">IF($A27="","",IF(M27&lt;M26,1,0))</f>
        <v>1</v>
      </c>
      <c r="R27" s="42" t="n">
        <f aca="false">IF($A27="","",IF(H27&gt;H26,1,0))</f>
        <v>0</v>
      </c>
      <c r="S27" s="42" t="n">
        <f aca="false">IF($A27="","",IF(M27&gt;M26,1,0))</f>
        <v>0</v>
      </c>
      <c r="T27" s="42" t="n">
        <f aca="false">IF($A27="","",IF(M27&lt;M26,1,0))</f>
        <v>1</v>
      </c>
      <c r="U27" s="42" t="n">
        <f aca="false">IF($A27="","",IF(AND(N27=1,P27=1),1,IF(AND(O27=1,Q27=1),-1,0)))</f>
        <v>-1</v>
      </c>
    </row>
    <row r="28" customFormat="false" ht="15" hidden="false" customHeight="false" outlineLevel="0" collapsed="false">
      <c r="A28" s="39" t="n">
        <f aca="false">IF(A27="","",IF(_xlfn.MINIFS(日线!$G$5:$G$310,日线!$G$5:$G$310,"&gt;"&amp;A27)=0,"",_xlfn.MINIFS(日线!$G$5:$G$310,日线!$G$5:$G$310,"&gt;"&amp;A27)))</f>
        <v>45817</v>
      </c>
      <c r="B28" s="40" t="n">
        <f aca="false">IF($A28="","",INDEX(日线!$B$5:$B$310,MATCH($A28,日线!$G$5:$G$310,0)))</f>
        <v>21.28</v>
      </c>
      <c r="C28" s="40" t="n">
        <f aca="false">IF($A28="","",_xlfn.MAXIFS(日线!$C$5:$C$310,日线!$G$5:$G$310,$A28))</f>
        <v>21.52</v>
      </c>
      <c r="D28" s="40" t="n">
        <f aca="false">IF($A28="","",_xlfn.MINIFS(日线!$D$5:$D$310,日线!$G$5:$G$310,$A28))</f>
        <v>19.97</v>
      </c>
      <c r="E28" s="40" t="n">
        <f aca="false">IF($A28="","",INDEX(日线!$E$5:$E$310,MATCH($A28,日线!$G$5:$G$310,1)))</f>
        <v>20.16</v>
      </c>
      <c r="F28" s="44" t="n">
        <f aca="false">IF($A28="","",SUMIFS(日线!$F$5:$F$310,日线!$G$5:$G$310,$A28))</f>
        <v>19556000</v>
      </c>
      <c r="G28" s="40" t="n">
        <f aca="false">IF($A28="","",2/(p_EmaF+1)*E28+(1-2/(p_EmaF+1))*G27)</f>
        <v>22.4916052587237</v>
      </c>
      <c r="H28" s="40" t="n">
        <f aca="false">IF($A28="","",2/(p_EmaS+1)*E28+(1-2/(p_EmaS+1))*H27)</f>
        <v>22.5302334706308</v>
      </c>
      <c r="I28" s="41" t="n">
        <f aca="false">IF($A28="","",2/(p_MacdF+1)*E28+(1-2/(p_MacdF+1))*I27)</f>
        <v>22.4255848571175</v>
      </c>
      <c r="J28" s="41" t="n">
        <f aca="false">IF($A28="","",2/(p_MacdS+1)*E28+(1-2/(p_MacdS+1))*J27)</f>
        <v>22.5302334706308</v>
      </c>
      <c r="K28" s="41" t="n">
        <f aca="false">IF($A28="","",I28-J28)</f>
        <v>-0.104648613513302</v>
      </c>
      <c r="L28" s="41" t="n">
        <f aca="false">IF($A28="","",2/(p_MacdSig+1)*K28+(1-2/(p_MacdSig+1))*L27)</f>
        <v>0.554756081959358</v>
      </c>
      <c r="M28" s="41" t="n">
        <f aca="false">IF($A28="","",K28-L28)</f>
        <v>-0.65940469547266</v>
      </c>
      <c r="N28" s="42" t="n">
        <f aca="false">IF($A28="","",IF(G28&gt;G27,1,0))</f>
        <v>0</v>
      </c>
      <c r="O28" s="42" t="n">
        <f aca="false">IF($A28="","",IF(G28&lt;G27,1,0))</f>
        <v>1</v>
      </c>
      <c r="P28" s="42" t="n">
        <f aca="false">IF($A28="","",IF(M28&gt;M27,1,0))</f>
        <v>0</v>
      </c>
      <c r="Q28" s="42" t="n">
        <f aca="false">IF($A28="","",IF(M28&lt;M27,1,0))</f>
        <v>1</v>
      </c>
      <c r="R28" s="42" t="n">
        <f aca="false">IF($A28="","",IF(H28&gt;H27,1,0))</f>
        <v>0</v>
      </c>
      <c r="S28" s="42" t="n">
        <f aca="false">IF($A28="","",IF(M28&gt;M27,1,0))</f>
        <v>0</v>
      </c>
      <c r="T28" s="42" t="n">
        <f aca="false">IF($A28="","",IF(M28&lt;M27,1,0))</f>
        <v>1</v>
      </c>
      <c r="U28" s="42" t="n">
        <f aca="false">IF($A28="","",IF(AND(N28=1,P28=1),1,IF(AND(O28=1,Q28=1),-1,0)))</f>
        <v>-1</v>
      </c>
    </row>
    <row r="29" customFormat="false" ht="15" hidden="false" customHeight="false" outlineLevel="0" collapsed="false">
      <c r="A29" s="39" t="n">
        <f aca="false">IF(A28="","",IF(_xlfn.MINIFS(日线!$G$5:$G$310,日线!$G$5:$G$310,"&gt;"&amp;A28)=0,"",_xlfn.MINIFS(日线!$G$5:$G$310,日线!$G$5:$G$310,"&gt;"&amp;A28)))</f>
        <v>45824</v>
      </c>
      <c r="B29" s="40" t="n">
        <f aca="false">IF($A29="","",INDEX(日线!$B$5:$B$310,MATCH($A29,日线!$G$5:$G$310,0)))</f>
        <v>20.11</v>
      </c>
      <c r="C29" s="40" t="n">
        <f aca="false">IF($A29="","",_xlfn.MAXIFS(日线!$C$5:$C$310,日线!$G$5:$G$310,$A29))</f>
        <v>20.33</v>
      </c>
      <c r="D29" s="40" t="n">
        <f aca="false">IF($A29="","",_xlfn.MINIFS(日线!$D$5:$D$310,日线!$G$5:$G$310,$A29))</f>
        <v>19.27</v>
      </c>
      <c r="E29" s="40" t="n">
        <f aca="false">IF($A29="","",INDEX(日线!$E$5:$E$310,MATCH($A29,日线!$G$5:$G$310,1)))</f>
        <v>19.79</v>
      </c>
      <c r="F29" s="44" t="n">
        <f aca="false">IF($A29="","",SUMIFS(日线!$F$5:$F$310,日线!$G$5:$G$310,$A29))</f>
        <v>19104900</v>
      </c>
      <c r="G29" s="40" t="n">
        <f aca="false">IF($A29="","",2/(p_EmaF+1)*E29+(1-2/(p_EmaF+1))*G28)</f>
        <v>22.1056616503346</v>
      </c>
      <c r="H29" s="40" t="n">
        <f aca="false">IF($A29="","",2/(p_EmaS+1)*E29+(1-2/(p_EmaS+1))*H28)</f>
        <v>22.327253213547</v>
      </c>
      <c r="I29" s="41" t="n">
        <f aca="false">IF($A29="","",2/(p_MacdF+1)*E29+(1-2/(p_MacdF+1))*I28)</f>
        <v>22.0201102637148</v>
      </c>
      <c r="J29" s="41" t="n">
        <f aca="false">IF($A29="","",2/(p_MacdS+1)*E29+(1-2/(p_MacdS+1))*J28)</f>
        <v>22.327253213547</v>
      </c>
      <c r="K29" s="41" t="n">
        <f aca="false">IF($A29="","",I29-J29)</f>
        <v>-0.30714294983223</v>
      </c>
      <c r="L29" s="41" t="n">
        <f aca="false">IF($A29="","",2/(p_MacdSig+1)*K29+(1-2/(p_MacdSig+1))*L28)</f>
        <v>0.382376275601041</v>
      </c>
      <c r="M29" s="41" t="n">
        <f aca="false">IF($A29="","",K29-L29)</f>
        <v>-0.68951922543327</v>
      </c>
      <c r="N29" s="42" t="n">
        <f aca="false">IF($A29="","",IF(G29&gt;G28,1,0))</f>
        <v>0</v>
      </c>
      <c r="O29" s="42" t="n">
        <f aca="false">IF($A29="","",IF(G29&lt;G28,1,0))</f>
        <v>1</v>
      </c>
      <c r="P29" s="42" t="n">
        <f aca="false">IF($A29="","",IF(M29&gt;M28,1,0))</f>
        <v>0</v>
      </c>
      <c r="Q29" s="42" t="n">
        <f aca="false">IF($A29="","",IF(M29&lt;M28,1,0))</f>
        <v>1</v>
      </c>
      <c r="R29" s="42" t="n">
        <f aca="false">IF($A29="","",IF(H29&gt;H28,1,0))</f>
        <v>0</v>
      </c>
      <c r="S29" s="42" t="n">
        <f aca="false">IF($A29="","",IF(M29&gt;M28,1,0))</f>
        <v>0</v>
      </c>
      <c r="T29" s="42" t="n">
        <f aca="false">IF($A29="","",IF(M29&lt;M28,1,0))</f>
        <v>1</v>
      </c>
      <c r="U29" s="42" t="n">
        <f aca="false">IF($A29="","",IF(AND(N29=1,P29=1),1,IF(AND(O29=1,Q29=1),-1,0)))</f>
        <v>-1</v>
      </c>
    </row>
    <row r="30" customFormat="false" ht="15" hidden="false" customHeight="false" outlineLevel="0" collapsed="false">
      <c r="A30" s="39" t="n">
        <f aca="false">IF(A29="","",IF(_xlfn.MINIFS(日线!$G$5:$G$310,日线!$G$5:$G$310,"&gt;"&amp;A29)=0,"",_xlfn.MINIFS(日线!$G$5:$G$310,日线!$G$5:$G$310,"&gt;"&amp;A29)))</f>
        <v>45831</v>
      </c>
      <c r="B30" s="40" t="n">
        <f aca="false">IF($A30="","",INDEX(日线!$B$5:$B$310,MATCH($A30,日线!$G$5:$G$310,0)))</f>
        <v>19.87</v>
      </c>
      <c r="C30" s="40" t="n">
        <f aca="false">IF($A30="","",_xlfn.MAXIFS(日线!$C$5:$C$310,日线!$G$5:$G$310,$A30))</f>
        <v>20.62</v>
      </c>
      <c r="D30" s="40" t="n">
        <f aca="false">IF($A30="","",_xlfn.MINIFS(日线!$D$5:$D$310,日线!$G$5:$G$310,$A30))</f>
        <v>19.59</v>
      </c>
      <c r="E30" s="40" t="n">
        <f aca="false">IF($A30="","",INDEX(日线!$E$5:$E$310,MATCH($A30,日线!$G$5:$G$310,1)))</f>
        <v>20.44</v>
      </c>
      <c r="F30" s="44" t="n">
        <f aca="false">IF($A30="","",SUMIFS(日线!$F$5:$F$310,日线!$G$5:$G$310,$A30))</f>
        <v>17744600</v>
      </c>
      <c r="G30" s="40" t="n">
        <f aca="false">IF($A30="","",2/(p_EmaF+1)*E30+(1-2/(p_EmaF+1))*G29)</f>
        <v>21.8677099860011</v>
      </c>
      <c r="H30" s="40" t="n">
        <f aca="false">IF($A30="","",2/(p_EmaS+1)*E30+(1-2/(p_EmaS+1))*H29)</f>
        <v>22.1874566792102</v>
      </c>
      <c r="I30" s="41" t="n">
        <f aca="false">IF($A30="","",2/(p_MacdF+1)*E30+(1-2/(p_MacdF+1))*I29)</f>
        <v>21.7770163769894</v>
      </c>
      <c r="J30" s="41" t="n">
        <f aca="false">IF($A30="","",2/(p_MacdS+1)*E30+(1-2/(p_MacdS+1))*J29)</f>
        <v>22.1874566792102</v>
      </c>
      <c r="K30" s="41" t="n">
        <f aca="false">IF($A30="","",I30-J30)</f>
        <v>-0.410440302220767</v>
      </c>
      <c r="L30" s="41" t="n">
        <f aca="false">IF($A30="","",2/(p_MacdSig+1)*K30+(1-2/(p_MacdSig+1))*L29)</f>
        <v>0.223812960036679</v>
      </c>
      <c r="M30" s="41" t="n">
        <f aca="false">IF($A30="","",K30-L30)</f>
        <v>-0.634253262257446</v>
      </c>
      <c r="N30" s="42" t="n">
        <f aca="false">IF($A30="","",IF(G30&gt;G29,1,0))</f>
        <v>0</v>
      </c>
      <c r="O30" s="42" t="n">
        <f aca="false">IF($A30="","",IF(G30&lt;G29,1,0))</f>
        <v>1</v>
      </c>
      <c r="P30" s="42" t="n">
        <f aca="false">IF($A30="","",IF(M30&gt;M29,1,0))</f>
        <v>1</v>
      </c>
      <c r="Q30" s="42" t="n">
        <f aca="false">IF($A30="","",IF(M30&lt;M29,1,0))</f>
        <v>0</v>
      </c>
      <c r="R30" s="42" t="n">
        <f aca="false">IF($A30="","",IF(H30&gt;H29,1,0))</f>
        <v>0</v>
      </c>
      <c r="S30" s="42" t="n">
        <f aca="false">IF($A30="","",IF(M30&gt;M29,1,0))</f>
        <v>1</v>
      </c>
      <c r="T30" s="42" t="n">
        <f aca="false">IF($A30="","",IF(M30&lt;M29,1,0))</f>
        <v>0</v>
      </c>
      <c r="U30" s="42" t="n">
        <f aca="false">IF($A30="","",IF(AND(N30=1,P30=1),1,IF(AND(O30=1,Q30=1),-1,0)))</f>
        <v>0</v>
      </c>
    </row>
    <row r="31" customFormat="false" ht="15" hidden="false" customHeight="false" outlineLevel="0" collapsed="false">
      <c r="A31" s="39" t="n">
        <f aca="false">IF(A30="","",IF(_xlfn.MINIFS(日线!$G$5:$G$310,日线!$G$5:$G$310,"&gt;"&amp;A30)=0,"",_xlfn.MINIFS(日线!$G$5:$G$310,日线!$G$5:$G$310,"&gt;"&amp;A30)))</f>
        <v>45838</v>
      </c>
      <c r="B31" s="40" t="n">
        <f aca="false">IF($A31="","",INDEX(日线!$B$5:$B$310,MATCH($A31,日线!$G$5:$G$310,0)))</f>
        <v>20.29</v>
      </c>
      <c r="C31" s="40" t="n">
        <f aca="false">IF($A31="","",_xlfn.MAXIFS(日线!$C$5:$C$310,日线!$G$5:$G$310,$A31))</f>
        <v>21.08</v>
      </c>
      <c r="D31" s="40" t="n">
        <f aca="false">IF($A31="","",_xlfn.MINIFS(日线!$D$5:$D$310,日线!$G$5:$G$310,$A31))</f>
        <v>20.21</v>
      </c>
      <c r="E31" s="40" t="n">
        <f aca="false">IF($A31="","",INDEX(日线!$E$5:$E$310,MATCH($A31,日线!$G$5:$G$310,1)))</f>
        <v>20.88</v>
      </c>
      <c r="F31" s="44" t="n">
        <f aca="false">IF($A31="","",SUMIFS(日线!$F$5:$F$310,日线!$G$5:$G$310,$A31))</f>
        <v>17704400</v>
      </c>
      <c r="G31" s="40" t="n">
        <f aca="false">IF($A31="","",2/(p_EmaF+1)*E31+(1-2/(p_EmaF+1))*G30)</f>
        <v>21.7266085594295</v>
      </c>
      <c r="H31" s="40" t="n">
        <f aca="false">IF($A31="","",2/(p_EmaS+1)*E31+(1-2/(p_EmaS+1))*H30)</f>
        <v>22.0906080363057</v>
      </c>
      <c r="I31" s="41" t="n">
        <f aca="false">IF($A31="","",2/(p_MacdF+1)*E31+(1-2/(p_MacdF+1))*I30)</f>
        <v>21.6390138574526</v>
      </c>
      <c r="J31" s="41" t="n">
        <f aca="false">IF($A31="","",2/(p_MacdS+1)*E31+(1-2/(p_MacdS+1))*J30)</f>
        <v>22.0906080363057</v>
      </c>
      <c r="K31" s="41" t="n">
        <f aca="false">IF($A31="","",I31-J31)</f>
        <v>-0.451594178853142</v>
      </c>
      <c r="L31" s="41" t="n">
        <f aca="false">IF($A31="","",2/(p_MacdSig+1)*K31+(1-2/(p_MacdSig+1))*L30)</f>
        <v>0.0887315322587149</v>
      </c>
      <c r="M31" s="41" t="n">
        <f aca="false">IF($A31="","",K31-L31)</f>
        <v>-0.540325711111857</v>
      </c>
      <c r="N31" s="42" t="n">
        <f aca="false">IF($A31="","",IF(G31&gt;G30,1,0))</f>
        <v>0</v>
      </c>
      <c r="O31" s="42" t="n">
        <f aca="false">IF($A31="","",IF(G31&lt;G30,1,0))</f>
        <v>1</v>
      </c>
      <c r="P31" s="42" t="n">
        <f aca="false">IF($A31="","",IF(M31&gt;M30,1,0))</f>
        <v>1</v>
      </c>
      <c r="Q31" s="42" t="n">
        <f aca="false">IF($A31="","",IF(M31&lt;M30,1,0))</f>
        <v>0</v>
      </c>
      <c r="R31" s="42" t="n">
        <f aca="false">IF($A31="","",IF(H31&gt;H30,1,0))</f>
        <v>0</v>
      </c>
      <c r="S31" s="42" t="n">
        <f aca="false">IF($A31="","",IF(M31&gt;M30,1,0))</f>
        <v>1</v>
      </c>
      <c r="T31" s="42" t="n">
        <f aca="false">IF($A31="","",IF(M31&lt;M30,1,0))</f>
        <v>0</v>
      </c>
      <c r="U31" s="42" t="n">
        <f aca="false">IF($A31="","",IF(AND(N31=1,P31=1),1,IF(AND(O31=1,Q31=1),-1,0)))</f>
        <v>0</v>
      </c>
    </row>
    <row r="32" customFormat="false" ht="15" hidden="false" customHeight="false" outlineLevel="0" collapsed="false">
      <c r="A32" s="39" t="n">
        <f aca="false">IF(A31="","",IF(_xlfn.MINIFS(日线!$G$5:$G$310,日线!$G$5:$G$310,"&gt;"&amp;A31)=0,"",_xlfn.MINIFS(日线!$G$5:$G$310,日线!$G$5:$G$310,"&gt;"&amp;A31)))</f>
        <v>45845</v>
      </c>
      <c r="B32" s="40" t="n">
        <f aca="false">IF($A32="","",INDEX(日线!$B$5:$B$310,MATCH($A32,日线!$G$5:$G$310,0)))</f>
        <v>20.93</v>
      </c>
      <c r="C32" s="40" t="n">
        <f aca="false">IF($A32="","",_xlfn.MAXIFS(日线!$C$5:$C$310,日线!$G$5:$G$310,$A32))</f>
        <v>21.5</v>
      </c>
      <c r="D32" s="40" t="n">
        <f aca="false">IF($A32="","",_xlfn.MINIFS(日线!$D$5:$D$310,日线!$G$5:$G$310,$A32))</f>
        <v>20.65</v>
      </c>
      <c r="E32" s="40" t="n">
        <f aca="false">IF($A32="","",INDEX(日线!$E$5:$E$310,MATCH($A32,日线!$G$5:$G$310,1)))</f>
        <v>21.13</v>
      </c>
      <c r="F32" s="44" t="n">
        <f aca="false">IF($A32="","",SUMIFS(日线!$F$5:$F$310,日线!$G$5:$G$310,$A32))</f>
        <v>15921500</v>
      </c>
      <c r="G32" s="40" t="n">
        <f aca="false">IF($A32="","",2/(p_EmaF+1)*E32+(1-2/(p_EmaF+1))*G31)</f>
        <v>21.6413787652253</v>
      </c>
      <c r="H32" s="40" t="n">
        <f aca="false">IF($A32="","",2/(p_EmaS+1)*E32+(1-2/(p_EmaS+1))*H31)</f>
        <v>22.0194518854683</v>
      </c>
      <c r="I32" s="41" t="n">
        <f aca="false">IF($A32="","",2/(p_MacdF+1)*E32+(1-2/(p_MacdF+1))*I31)</f>
        <v>21.5607040332291</v>
      </c>
      <c r="J32" s="41" t="n">
        <f aca="false">IF($A32="","",2/(p_MacdS+1)*E32+(1-2/(p_MacdS+1))*J31)</f>
        <v>22.0194518854683</v>
      </c>
      <c r="K32" s="41" t="n">
        <f aca="false">IF($A32="","",I32-J32)</f>
        <v>-0.45874785223916</v>
      </c>
      <c r="L32" s="41" t="n">
        <f aca="false">IF($A32="","",2/(p_MacdSig+1)*K32+(1-2/(p_MacdSig+1))*L31)</f>
        <v>-0.02076434464086</v>
      </c>
      <c r="M32" s="41" t="n">
        <f aca="false">IF($A32="","",K32-L32)</f>
        <v>-0.4379835075983</v>
      </c>
      <c r="N32" s="42" t="n">
        <f aca="false">IF($A32="","",IF(G32&gt;G31,1,0))</f>
        <v>0</v>
      </c>
      <c r="O32" s="42" t="n">
        <f aca="false">IF($A32="","",IF(G32&lt;G31,1,0))</f>
        <v>1</v>
      </c>
      <c r="P32" s="42" t="n">
        <f aca="false">IF($A32="","",IF(M32&gt;M31,1,0))</f>
        <v>1</v>
      </c>
      <c r="Q32" s="42" t="n">
        <f aca="false">IF($A32="","",IF(M32&lt;M31,1,0))</f>
        <v>0</v>
      </c>
      <c r="R32" s="42" t="n">
        <f aca="false">IF($A32="","",IF(H32&gt;H31,1,0))</f>
        <v>0</v>
      </c>
      <c r="S32" s="42" t="n">
        <f aca="false">IF($A32="","",IF(M32&gt;M31,1,0))</f>
        <v>1</v>
      </c>
      <c r="T32" s="42" t="n">
        <f aca="false">IF($A32="","",IF(M32&lt;M31,1,0))</f>
        <v>0</v>
      </c>
      <c r="U32" s="42" t="n">
        <f aca="false">IF($A32="","",IF(AND(N32=1,P32=1),1,IF(AND(O32=1,Q32=1),-1,0)))</f>
        <v>0</v>
      </c>
    </row>
    <row r="33" customFormat="false" ht="15" hidden="false" customHeight="false" outlineLevel="0" collapsed="false">
      <c r="A33" s="39" t="n">
        <f aca="false">IF(A32="","",IF(_xlfn.MINIFS(日线!$G$5:$G$310,日线!$G$5:$G$310,"&gt;"&amp;A32)=0,"",_xlfn.MINIFS(日线!$G$5:$G$310,日线!$G$5:$G$310,"&gt;"&amp;A32)))</f>
        <v>45852</v>
      </c>
      <c r="B33" s="40" t="n">
        <f aca="false">IF($A33="","",INDEX(日线!$B$5:$B$310,MATCH($A33,日线!$G$5:$G$310,0)))</f>
        <v>21.21</v>
      </c>
      <c r="C33" s="40" t="n">
        <f aca="false">IF($A33="","",_xlfn.MAXIFS(日线!$C$5:$C$310,日线!$G$5:$G$310,$A33))</f>
        <v>22.05</v>
      </c>
      <c r="D33" s="40" t="n">
        <f aca="false">IF($A33="","",_xlfn.MINIFS(日线!$D$5:$D$310,日线!$G$5:$G$310,$A33))</f>
        <v>20.71</v>
      </c>
      <c r="E33" s="40" t="n">
        <f aca="false">IF($A33="","",INDEX(日线!$E$5:$E$310,MATCH($A33,日线!$G$5:$G$310,1)))</f>
        <v>21.69</v>
      </c>
      <c r="F33" s="44" t="n">
        <f aca="false">IF($A33="","",SUMIFS(日线!$F$5:$F$310,日线!$G$5:$G$310,$A33))</f>
        <v>19325000</v>
      </c>
      <c r="G33" s="40" t="n">
        <f aca="false">IF($A33="","",2/(p_EmaF+1)*E33+(1-2/(p_EmaF+1))*G32)</f>
        <v>21.6483246559074</v>
      </c>
      <c r="H33" s="40" t="n">
        <f aca="false">IF($A33="","",2/(p_EmaS+1)*E33+(1-2/(p_EmaS+1))*H32)</f>
        <v>21.9950480421002</v>
      </c>
      <c r="I33" s="41" t="n">
        <f aca="false">IF($A33="","",2/(p_MacdF+1)*E33+(1-2/(p_MacdF+1))*I32)</f>
        <v>21.5805957204246</v>
      </c>
      <c r="J33" s="41" t="n">
        <f aca="false">IF($A33="","",2/(p_MacdS+1)*E33+(1-2/(p_MacdS+1))*J32)</f>
        <v>21.9950480421002</v>
      </c>
      <c r="K33" s="41" t="n">
        <f aca="false">IF($A33="","",I33-J33)</f>
        <v>-0.414452321675618</v>
      </c>
      <c r="L33" s="41" t="n">
        <f aca="false">IF($A33="","",2/(p_MacdSig+1)*K33+(1-2/(p_MacdSig+1))*L32)</f>
        <v>-0.0995019400478117</v>
      </c>
      <c r="M33" s="41" t="n">
        <f aca="false">IF($A33="","",K33-L33)</f>
        <v>-0.314950381627807</v>
      </c>
      <c r="N33" s="42" t="n">
        <f aca="false">IF($A33="","",IF(G33&gt;G32,1,0))</f>
        <v>1</v>
      </c>
      <c r="O33" s="42" t="n">
        <f aca="false">IF($A33="","",IF(G33&lt;G32,1,0))</f>
        <v>0</v>
      </c>
      <c r="P33" s="42" t="n">
        <f aca="false">IF($A33="","",IF(M33&gt;M32,1,0))</f>
        <v>1</v>
      </c>
      <c r="Q33" s="42" t="n">
        <f aca="false">IF($A33="","",IF(M33&lt;M32,1,0))</f>
        <v>0</v>
      </c>
      <c r="R33" s="42" t="n">
        <f aca="false">IF($A33="","",IF(H33&gt;H32,1,0))</f>
        <v>0</v>
      </c>
      <c r="S33" s="42" t="n">
        <f aca="false">IF($A33="","",IF(M33&gt;M32,1,0))</f>
        <v>1</v>
      </c>
      <c r="T33" s="42" t="n">
        <f aca="false">IF($A33="","",IF(M33&lt;M32,1,0))</f>
        <v>0</v>
      </c>
      <c r="U33" s="42" t="n">
        <f aca="false">IF($A33="","",IF(AND(N33=1,P33=1),1,IF(AND(O33=1,Q33=1),-1,0)))</f>
        <v>1</v>
      </c>
    </row>
    <row r="34" customFormat="false" ht="15" hidden="false" customHeight="false" outlineLevel="0" collapsed="false">
      <c r="A34" s="39" t="n">
        <f aca="false">IF(A33="","",IF(_xlfn.MINIFS(日线!$G$5:$G$310,日线!$G$5:$G$310,"&gt;"&amp;A33)=0,"",_xlfn.MINIFS(日线!$G$5:$G$310,日线!$G$5:$G$310,"&gt;"&amp;A33)))</f>
        <v>45859</v>
      </c>
      <c r="B34" s="40" t="n">
        <f aca="false">IF($A34="","",INDEX(日线!$B$5:$B$310,MATCH($A34,日线!$G$5:$G$310,0)))</f>
        <v>21.69</v>
      </c>
      <c r="C34" s="40" t="n">
        <f aca="false">IF($A34="","",_xlfn.MAXIFS(日线!$C$5:$C$310,日线!$G$5:$G$310,$A34))</f>
        <v>23.15</v>
      </c>
      <c r="D34" s="40" t="n">
        <f aca="false">IF($A34="","",_xlfn.MINIFS(日线!$D$5:$D$310,日线!$G$5:$G$310,$A34))</f>
        <v>21.38</v>
      </c>
      <c r="E34" s="40" t="n">
        <f aca="false">IF($A34="","",INDEX(日线!$E$5:$E$310,MATCH($A34,日线!$G$5:$G$310,1)))</f>
        <v>22.76</v>
      </c>
      <c r="F34" s="44" t="n">
        <f aca="false">IF($A34="","",SUMIFS(日线!$F$5:$F$310,日线!$G$5:$G$310,$A34))</f>
        <v>21231200</v>
      </c>
      <c r="G34" s="40" t="n">
        <f aca="false">IF($A34="","",2/(p_EmaF+1)*E34+(1-2/(p_EmaF+1))*G33)</f>
        <v>21.8071354193492</v>
      </c>
      <c r="H34" s="40" t="n">
        <f aca="false">IF($A34="","",2/(p_EmaS+1)*E34+(1-2/(p_EmaS+1))*H33)</f>
        <v>22.0517111500928</v>
      </c>
      <c r="I34" s="41" t="n">
        <f aca="false">IF($A34="","",2/(p_MacdF+1)*E34+(1-2/(p_MacdF+1))*I33)</f>
        <v>21.762042532667</v>
      </c>
      <c r="J34" s="41" t="n">
        <f aca="false">IF($A34="","",2/(p_MacdS+1)*E34+(1-2/(p_MacdS+1))*J33)</f>
        <v>22.0517111500928</v>
      </c>
      <c r="K34" s="41" t="n">
        <f aca="false">IF($A34="","",I34-J34)</f>
        <v>-0.289668617425825</v>
      </c>
      <c r="L34" s="41" t="n">
        <f aca="false">IF($A34="","",2/(p_MacdSig+1)*K34+(1-2/(p_MacdSig+1))*L33)</f>
        <v>-0.137535275523414</v>
      </c>
      <c r="M34" s="41" t="n">
        <f aca="false">IF($A34="","",K34-L34)</f>
        <v>-0.152133341902411</v>
      </c>
      <c r="N34" s="42" t="n">
        <f aca="false">IF($A34="","",IF(G34&gt;G33,1,0))</f>
        <v>1</v>
      </c>
      <c r="O34" s="42" t="n">
        <f aca="false">IF($A34="","",IF(G34&lt;G33,1,0))</f>
        <v>0</v>
      </c>
      <c r="P34" s="42" t="n">
        <f aca="false">IF($A34="","",IF(M34&gt;M33,1,0))</f>
        <v>1</v>
      </c>
      <c r="Q34" s="42" t="n">
        <f aca="false">IF($A34="","",IF(M34&lt;M33,1,0))</f>
        <v>0</v>
      </c>
      <c r="R34" s="42" t="n">
        <f aca="false">IF($A34="","",IF(H34&gt;H33,1,0))</f>
        <v>1</v>
      </c>
      <c r="S34" s="42" t="n">
        <f aca="false">IF($A34="","",IF(M34&gt;M33,1,0))</f>
        <v>1</v>
      </c>
      <c r="T34" s="42" t="n">
        <f aca="false">IF($A34="","",IF(M34&lt;M33,1,0))</f>
        <v>0</v>
      </c>
      <c r="U34" s="42" t="n">
        <f aca="false">IF($A34="","",IF(AND(N34=1,P34=1),1,IF(AND(O34=1,Q34=1),-1,0)))</f>
        <v>1</v>
      </c>
    </row>
    <row r="35" customFormat="false" ht="15" hidden="false" customHeight="false" outlineLevel="0" collapsed="false">
      <c r="A35" s="39" t="n">
        <f aca="false">IF(A34="","",IF(_xlfn.MINIFS(日线!$G$5:$G$310,日线!$G$5:$G$310,"&gt;"&amp;A34)=0,"",_xlfn.MINIFS(日线!$G$5:$G$310,日线!$G$5:$G$310,"&gt;"&amp;A34)))</f>
        <v>45866</v>
      </c>
      <c r="B35" s="40" t="n">
        <f aca="false">IF($A35="","",INDEX(日线!$B$5:$B$310,MATCH($A35,日线!$G$5:$G$310,0)))</f>
        <v>22.71</v>
      </c>
      <c r="C35" s="40" t="n">
        <f aca="false">IF($A35="","",_xlfn.MAXIFS(日线!$C$5:$C$310,日线!$G$5:$G$310,$A35))</f>
        <v>23.67</v>
      </c>
      <c r="D35" s="40" t="n">
        <f aca="false">IF($A35="","",_xlfn.MINIFS(日线!$D$5:$D$310,日线!$G$5:$G$310,$A35))</f>
        <v>22.63</v>
      </c>
      <c r="E35" s="40" t="n">
        <f aca="false">IF($A35="","",INDEX(日线!$E$5:$E$310,MATCH($A35,日线!$G$5:$G$310,1)))</f>
        <v>22.75</v>
      </c>
      <c r="F35" s="44" t="n">
        <f aca="false">IF($A35="","",SUMIFS(日线!$F$5:$F$310,日线!$G$5:$G$310,$A35))</f>
        <v>23134100</v>
      </c>
      <c r="G35" s="40" t="n">
        <f aca="false">IF($A35="","",2/(p_EmaF+1)*E35+(1-2/(p_EmaF+1))*G34)</f>
        <v>21.9418303594422</v>
      </c>
      <c r="H35" s="40" t="n">
        <f aca="false">IF($A35="","",2/(p_EmaS+1)*E35+(1-2/(p_EmaS+1))*H34)</f>
        <v>22.103436250086</v>
      </c>
      <c r="I35" s="41" t="n">
        <f aca="false">IF($A35="","",2/(p_MacdF+1)*E35+(1-2/(p_MacdF+1))*I34)</f>
        <v>21.9140359891798</v>
      </c>
      <c r="J35" s="41" t="n">
        <f aca="false">IF($A35="","",2/(p_MacdS+1)*E35+(1-2/(p_MacdS+1))*J34)</f>
        <v>22.103436250086</v>
      </c>
      <c r="K35" s="41" t="n">
        <f aca="false">IF($A35="","",I35-J35)</f>
        <v>-0.189400260906183</v>
      </c>
      <c r="L35" s="41" t="n">
        <f aca="false">IF($A35="","",2/(p_MacdSig+1)*K35+(1-2/(p_MacdSig+1))*L34)</f>
        <v>-0.147908272599968</v>
      </c>
      <c r="M35" s="41" t="n">
        <f aca="false">IF($A35="","",K35-L35)</f>
        <v>-0.0414919883062148</v>
      </c>
      <c r="N35" s="42" t="n">
        <f aca="false">IF($A35="","",IF(G35&gt;G34,1,0))</f>
        <v>1</v>
      </c>
      <c r="O35" s="42" t="n">
        <f aca="false">IF($A35="","",IF(G35&lt;G34,1,0))</f>
        <v>0</v>
      </c>
      <c r="P35" s="42" t="n">
        <f aca="false">IF($A35="","",IF(M35&gt;M34,1,0))</f>
        <v>1</v>
      </c>
      <c r="Q35" s="42" t="n">
        <f aca="false">IF($A35="","",IF(M35&lt;M34,1,0))</f>
        <v>0</v>
      </c>
      <c r="R35" s="42" t="n">
        <f aca="false">IF($A35="","",IF(H35&gt;H34,1,0))</f>
        <v>1</v>
      </c>
      <c r="S35" s="42" t="n">
        <f aca="false">IF($A35="","",IF(M35&gt;M34,1,0))</f>
        <v>1</v>
      </c>
      <c r="T35" s="42" t="n">
        <f aca="false">IF($A35="","",IF(M35&lt;M34,1,0))</f>
        <v>0</v>
      </c>
      <c r="U35" s="42" t="n">
        <f aca="false">IF($A35="","",IF(AND(N35=1,P35=1),1,IF(AND(O35=1,Q35=1),-1,0)))</f>
        <v>1</v>
      </c>
    </row>
    <row r="36" customFormat="false" ht="15" hidden="false" customHeight="false" outlineLevel="0" collapsed="false">
      <c r="A36" s="39" t="n">
        <f aca="false">IF(A35="","",IF(_xlfn.MINIFS(日线!$G$5:$G$310,日线!$G$5:$G$310,"&gt;"&amp;A35)=0,"",_xlfn.MINIFS(日线!$G$5:$G$310,日线!$G$5:$G$310,"&gt;"&amp;A35)))</f>
        <v>45873</v>
      </c>
      <c r="B36" s="40" t="n">
        <f aca="false">IF($A36="","",INDEX(日线!$B$5:$B$310,MATCH($A36,日线!$G$5:$G$310,0)))</f>
        <v>22.74</v>
      </c>
      <c r="C36" s="40" t="n">
        <f aca="false">IF($A36="","",_xlfn.MAXIFS(日线!$C$5:$C$310,日线!$G$5:$G$310,$A36))</f>
        <v>23.68</v>
      </c>
      <c r="D36" s="40" t="n">
        <f aca="false">IF($A36="","",_xlfn.MINIFS(日线!$D$5:$D$310,日线!$G$5:$G$310,$A36))</f>
        <v>22.61</v>
      </c>
      <c r="E36" s="40" t="n">
        <f aca="false">IF($A36="","",INDEX(日线!$E$5:$E$310,MATCH($A36,日线!$G$5:$G$310,1)))</f>
        <v>23.56</v>
      </c>
      <c r="F36" s="44" t="n">
        <f aca="false">IF($A36="","",SUMIFS(日线!$F$5:$F$310,日线!$G$5:$G$310,$A36))</f>
        <v>16703800</v>
      </c>
      <c r="G36" s="40" t="n">
        <f aca="false">IF($A36="","",2/(p_EmaF+1)*E36+(1-2/(p_EmaF+1))*G35)</f>
        <v>22.1729974509504</v>
      </c>
      <c r="H36" s="40" t="n">
        <f aca="false">IF($A36="","",2/(p_EmaS+1)*E36+(1-2/(p_EmaS+1))*H35)</f>
        <v>22.2113298611907</v>
      </c>
      <c r="I36" s="41" t="n">
        <f aca="false">IF($A36="","",2/(p_MacdF+1)*E36+(1-2/(p_MacdF+1))*I35)</f>
        <v>22.1672612216137</v>
      </c>
      <c r="J36" s="41" t="n">
        <f aca="false">IF($A36="","",2/(p_MacdS+1)*E36+(1-2/(p_MacdS+1))*J35)</f>
        <v>22.2113298611907</v>
      </c>
      <c r="K36" s="41" t="n">
        <f aca="false">IF($A36="","",I36-J36)</f>
        <v>-0.0440686395770449</v>
      </c>
      <c r="L36" s="41" t="n">
        <f aca="false">IF($A36="","",2/(p_MacdSig+1)*K36+(1-2/(p_MacdSig+1))*L35)</f>
        <v>-0.127140345995383</v>
      </c>
      <c r="M36" s="41" t="n">
        <f aca="false">IF($A36="","",K36-L36)</f>
        <v>0.0830717064183386</v>
      </c>
      <c r="N36" s="42" t="n">
        <f aca="false">IF($A36="","",IF(G36&gt;G35,1,0))</f>
        <v>1</v>
      </c>
      <c r="O36" s="42" t="n">
        <f aca="false">IF($A36="","",IF(G36&lt;G35,1,0))</f>
        <v>0</v>
      </c>
      <c r="P36" s="42" t="n">
        <f aca="false">IF($A36="","",IF(M36&gt;M35,1,0))</f>
        <v>1</v>
      </c>
      <c r="Q36" s="42" t="n">
        <f aca="false">IF($A36="","",IF(M36&lt;M35,1,0))</f>
        <v>0</v>
      </c>
      <c r="R36" s="42" t="n">
        <f aca="false">IF($A36="","",IF(H36&gt;H35,1,0))</f>
        <v>1</v>
      </c>
      <c r="S36" s="42" t="n">
        <f aca="false">IF($A36="","",IF(M36&gt;M35,1,0))</f>
        <v>1</v>
      </c>
      <c r="T36" s="42" t="n">
        <f aca="false">IF($A36="","",IF(M36&lt;M35,1,0))</f>
        <v>0</v>
      </c>
      <c r="U36" s="42" t="n">
        <f aca="false">IF($A36="","",IF(AND(N36=1,P36=1),1,IF(AND(O36=1,Q36=1),-1,0)))</f>
        <v>1</v>
      </c>
    </row>
    <row r="37" customFormat="false" ht="15" hidden="false" customHeight="false" outlineLevel="0" collapsed="false">
      <c r="A37" s="39" t="n">
        <f aca="false">IF(A36="","",IF(_xlfn.MINIFS(日线!$G$5:$G$310,日线!$G$5:$G$310,"&gt;"&amp;A36)=0,"",_xlfn.MINIFS(日线!$G$5:$G$310,日线!$G$5:$G$310,"&gt;"&amp;A36)))</f>
        <v>45880</v>
      </c>
      <c r="B37" s="40" t="n">
        <f aca="false">IF($A37="","",INDEX(日线!$B$5:$B$310,MATCH($A37,日线!$G$5:$G$310,0)))</f>
        <v>23.47</v>
      </c>
      <c r="C37" s="40" t="n">
        <f aca="false">IF($A37="","",_xlfn.MAXIFS(日线!$C$5:$C$310,日线!$G$5:$G$310,$A37))</f>
        <v>24.18</v>
      </c>
      <c r="D37" s="40" t="n">
        <f aca="false">IF($A37="","",_xlfn.MINIFS(日线!$D$5:$D$310,日线!$G$5:$G$310,$A37))</f>
        <v>23.08</v>
      </c>
      <c r="E37" s="40" t="n">
        <f aca="false">IF($A37="","",INDEX(日线!$E$5:$E$310,MATCH($A37,日线!$G$5:$G$310,1)))</f>
        <v>24.1</v>
      </c>
      <c r="F37" s="44" t="n">
        <f aca="false">IF($A37="","",SUMIFS(日线!$F$5:$F$310,日线!$G$5:$G$310,$A37))</f>
        <v>22088000</v>
      </c>
      <c r="G37" s="40" t="n">
        <f aca="false">IF($A37="","",2/(p_EmaF+1)*E37+(1-2/(p_EmaF+1))*G36)</f>
        <v>22.4482835293861</v>
      </c>
      <c r="H37" s="40" t="n">
        <f aca="false">IF($A37="","",2/(p_EmaS+1)*E37+(1-2/(p_EmaS+1))*H36)</f>
        <v>22.3512313529543</v>
      </c>
      <c r="I37" s="41" t="n">
        <f aca="false">IF($A37="","",2/(p_MacdF+1)*E37+(1-2/(p_MacdF+1))*I36)</f>
        <v>22.4646056490577</v>
      </c>
      <c r="J37" s="41" t="n">
        <f aca="false">IF($A37="","",2/(p_MacdS+1)*E37+(1-2/(p_MacdS+1))*J36)</f>
        <v>22.3512313529543</v>
      </c>
      <c r="K37" s="41" t="n">
        <f aca="false">IF($A37="","",I37-J37)</f>
        <v>0.113374296103359</v>
      </c>
      <c r="L37" s="41" t="n">
        <f aca="false">IF($A37="","",2/(p_MacdSig+1)*K37+(1-2/(p_MacdSig+1))*L36)</f>
        <v>-0.0790374175756349</v>
      </c>
      <c r="M37" s="41" t="n">
        <f aca="false">IF($A37="","",K37-L37)</f>
        <v>0.192411713678994</v>
      </c>
      <c r="N37" s="42" t="n">
        <f aca="false">IF($A37="","",IF(G37&gt;G36,1,0))</f>
        <v>1</v>
      </c>
      <c r="O37" s="42" t="n">
        <f aca="false">IF($A37="","",IF(G37&lt;G36,1,0))</f>
        <v>0</v>
      </c>
      <c r="P37" s="42" t="n">
        <f aca="false">IF($A37="","",IF(M37&gt;M36,1,0))</f>
        <v>1</v>
      </c>
      <c r="Q37" s="42" t="n">
        <f aca="false">IF($A37="","",IF(M37&lt;M36,1,0))</f>
        <v>0</v>
      </c>
      <c r="R37" s="42" t="n">
        <f aca="false">IF($A37="","",IF(H37&gt;H36,1,0))</f>
        <v>1</v>
      </c>
      <c r="S37" s="42" t="n">
        <f aca="false">IF($A37="","",IF(M37&gt;M36,1,0))</f>
        <v>1</v>
      </c>
      <c r="T37" s="42" t="n">
        <f aca="false">IF($A37="","",IF(M37&lt;M36,1,0))</f>
        <v>0</v>
      </c>
      <c r="U37" s="42" t="n">
        <f aca="false">IF($A37="","",IF(AND(N37=1,P37=1),1,IF(AND(O37=1,Q37=1),-1,0)))</f>
        <v>1</v>
      </c>
    </row>
    <row r="38" customFormat="false" ht="15" hidden="false" customHeight="false" outlineLevel="0" collapsed="false">
      <c r="A38" s="39" t="n">
        <f aca="false">IF(A37="","",IF(_xlfn.MINIFS(日线!$G$5:$G$310,日线!$G$5:$G$310,"&gt;"&amp;A37)=0,"",_xlfn.MINIFS(日线!$G$5:$G$310,日线!$G$5:$G$310,"&gt;"&amp;A37)))</f>
        <v>45887</v>
      </c>
      <c r="B38" s="40" t="n">
        <f aca="false">IF($A38="","",INDEX(日线!$B$5:$B$310,MATCH($A38,日线!$G$5:$G$310,0)))</f>
        <v>24.09</v>
      </c>
      <c r="C38" s="40" t="n">
        <f aca="false">IF($A38="","",_xlfn.MAXIFS(日线!$C$5:$C$310,日线!$G$5:$G$310,$A38))</f>
        <v>24.98</v>
      </c>
      <c r="D38" s="40" t="n">
        <f aca="false">IF($A38="","",_xlfn.MINIFS(日线!$D$5:$D$310,日线!$G$5:$G$310,$A38))</f>
        <v>23.86</v>
      </c>
      <c r="E38" s="40" t="n">
        <f aca="false">IF($A38="","",INDEX(日线!$E$5:$E$310,MATCH($A38,日线!$G$5:$G$310,1)))</f>
        <v>24.84</v>
      </c>
      <c r="F38" s="44" t="n">
        <f aca="false">IF($A38="","",SUMIFS(日线!$F$5:$F$310,日线!$G$5:$G$310,$A38))</f>
        <v>20798200</v>
      </c>
      <c r="G38" s="40" t="n">
        <f aca="false">IF($A38="","",2/(p_EmaF+1)*E38+(1-2/(p_EmaF+1))*G37)</f>
        <v>22.7899573109024</v>
      </c>
      <c r="H38" s="40" t="n">
        <f aca="false">IF($A38="","",2/(p_EmaS+1)*E38+(1-2/(p_EmaS+1))*H37)</f>
        <v>22.5355845860688</v>
      </c>
      <c r="I38" s="41" t="n">
        <f aca="false">IF($A38="","",2/(p_MacdF+1)*E38+(1-2/(p_MacdF+1))*I37)</f>
        <v>22.8300509338181</v>
      </c>
      <c r="J38" s="41" t="n">
        <f aca="false">IF($A38="","",2/(p_MacdS+1)*E38+(1-2/(p_MacdS+1))*J37)</f>
        <v>22.5355845860688</v>
      </c>
      <c r="K38" s="41" t="n">
        <f aca="false">IF($A38="","",I38-J38)</f>
        <v>0.294466347749221</v>
      </c>
      <c r="L38" s="41" t="n">
        <f aca="false">IF($A38="","",2/(p_MacdSig+1)*K38+(1-2/(p_MacdSig+1))*L37)</f>
        <v>-0.0043366645106637</v>
      </c>
      <c r="M38" s="41" t="n">
        <f aca="false">IF($A38="","",K38-L38)</f>
        <v>0.298803012259885</v>
      </c>
      <c r="N38" s="42" t="n">
        <f aca="false">IF($A38="","",IF(G38&gt;G37,1,0))</f>
        <v>1</v>
      </c>
      <c r="O38" s="42" t="n">
        <f aca="false">IF($A38="","",IF(G38&lt;G37,1,0))</f>
        <v>0</v>
      </c>
      <c r="P38" s="42" t="n">
        <f aca="false">IF($A38="","",IF(M38&gt;M37,1,0))</f>
        <v>1</v>
      </c>
      <c r="Q38" s="42" t="n">
        <f aca="false">IF($A38="","",IF(M38&lt;M37,1,0))</f>
        <v>0</v>
      </c>
      <c r="R38" s="42" t="n">
        <f aca="false">IF($A38="","",IF(H38&gt;H37,1,0))</f>
        <v>1</v>
      </c>
      <c r="S38" s="42" t="n">
        <f aca="false">IF($A38="","",IF(M38&gt;M37,1,0))</f>
        <v>1</v>
      </c>
      <c r="T38" s="42" t="n">
        <f aca="false">IF($A38="","",IF(M38&lt;M37,1,0))</f>
        <v>0</v>
      </c>
      <c r="U38" s="42" t="n">
        <f aca="false">IF($A38="","",IF(AND(N38=1,P38=1),1,IF(AND(O38=1,Q38=1),-1,0)))</f>
        <v>1</v>
      </c>
    </row>
    <row r="39" customFormat="false" ht="15" hidden="false" customHeight="false" outlineLevel="0" collapsed="false">
      <c r="A39" s="39" t="n">
        <f aca="false">IF(A38="","",IF(_xlfn.MINIFS(日线!$G$5:$G$310,日线!$G$5:$G$310,"&gt;"&amp;A38)=0,"",_xlfn.MINIFS(日线!$G$5:$G$310,日线!$G$5:$G$310,"&gt;"&amp;A38)))</f>
        <v>45894</v>
      </c>
      <c r="B39" s="40" t="n">
        <f aca="false">IF($A39="","",INDEX(日线!$B$5:$B$310,MATCH($A39,日线!$G$5:$G$310,0)))</f>
        <v>24.64</v>
      </c>
      <c r="C39" s="40" t="n">
        <f aca="false">IF($A39="","",_xlfn.MAXIFS(日线!$C$5:$C$310,日线!$G$5:$G$310,$A39))</f>
        <v>24.77</v>
      </c>
      <c r="D39" s="40" t="n">
        <f aca="false">IF($A39="","",_xlfn.MINIFS(日线!$D$5:$D$310,日线!$G$5:$G$310,$A39))</f>
        <v>23.68</v>
      </c>
      <c r="E39" s="40" t="n">
        <f aca="false">IF($A39="","",INDEX(日线!$E$5:$E$310,MATCH($A39,日线!$G$5:$G$310,1)))</f>
        <v>23.88</v>
      </c>
      <c r="F39" s="44" t="n">
        <f aca="false">IF($A39="","",SUMIFS(日线!$F$5:$F$310,日线!$G$5:$G$310,$A39))</f>
        <v>18479100</v>
      </c>
      <c r="G39" s="40" t="n">
        <f aca="false">IF($A39="","",2/(p_EmaF+1)*E39+(1-2/(p_EmaF+1))*G38)</f>
        <v>22.9456776950592</v>
      </c>
      <c r="H39" s="40" t="n">
        <f aca="false">IF($A39="","",2/(p_EmaS+1)*E39+(1-2/(p_EmaS+1))*H38)</f>
        <v>22.6351709130267</v>
      </c>
      <c r="I39" s="41" t="n">
        <f aca="false">IF($A39="","",2/(p_MacdF+1)*E39+(1-2/(p_MacdF+1))*I38)</f>
        <v>22.9915815593845</v>
      </c>
      <c r="J39" s="41" t="n">
        <f aca="false">IF($A39="","",2/(p_MacdS+1)*E39+(1-2/(p_MacdS+1))*J38)</f>
        <v>22.6351709130267</v>
      </c>
      <c r="K39" s="41" t="n">
        <f aca="false">IF($A39="","",I39-J39)</f>
        <v>0.356410646357809</v>
      </c>
      <c r="L39" s="41" t="n">
        <f aca="false">IF($A39="","",2/(p_MacdSig+1)*K39+(1-2/(p_MacdSig+1))*L38)</f>
        <v>0.0678127976630308</v>
      </c>
      <c r="M39" s="41" t="n">
        <f aca="false">IF($A39="","",K39-L39)</f>
        <v>0.288597848694778</v>
      </c>
      <c r="N39" s="42" t="n">
        <f aca="false">IF($A39="","",IF(G39&gt;G38,1,0))</f>
        <v>1</v>
      </c>
      <c r="O39" s="42" t="n">
        <f aca="false">IF($A39="","",IF(G39&lt;G38,1,0))</f>
        <v>0</v>
      </c>
      <c r="P39" s="42" t="n">
        <f aca="false">IF($A39="","",IF(M39&gt;M38,1,0))</f>
        <v>0</v>
      </c>
      <c r="Q39" s="42" t="n">
        <f aca="false">IF($A39="","",IF(M39&lt;M38,1,0))</f>
        <v>1</v>
      </c>
      <c r="R39" s="42" t="n">
        <f aca="false">IF($A39="","",IF(H39&gt;H38,1,0))</f>
        <v>1</v>
      </c>
      <c r="S39" s="42" t="n">
        <f aca="false">IF($A39="","",IF(M39&gt;M38,1,0))</f>
        <v>0</v>
      </c>
      <c r="T39" s="42" t="n">
        <f aca="false">IF($A39="","",IF(M39&lt;M38,1,0))</f>
        <v>1</v>
      </c>
      <c r="U39" s="42" t="n">
        <f aca="false">IF($A39="","",IF(AND(N39=1,P39=1),1,IF(AND(O39=1,Q39=1),-1,0)))</f>
        <v>0</v>
      </c>
    </row>
    <row r="40" customFormat="false" ht="15" hidden="false" customHeight="false" outlineLevel="0" collapsed="false">
      <c r="A40" s="39" t="n">
        <f aca="false">IF(A39="","",IF(_xlfn.MINIFS(日线!$G$5:$G$310,日线!$G$5:$G$310,"&gt;"&amp;A39)=0,"",_xlfn.MINIFS(日线!$G$5:$G$310,日线!$G$5:$G$310,"&gt;"&amp;A39)))</f>
        <v>45901</v>
      </c>
      <c r="B40" s="40" t="n">
        <f aca="false">IF($A40="","",INDEX(日线!$B$5:$B$310,MATCH($A40,日线!$G$5:$G$310,0)))</f>
        <v>23.73</v>
      </c>
      <c r="C40" s="40" t="n">
        <f aca="false">IF($A40="","",_xlfn.MAXIFS(日线!$C$5:$C$310,日线!$G$5:$G$310,$A40))</f>
        <v>24.47</v>
      </c>
      <c r="D40" s="40" t="n">
        <f aca="false">IF($A40="","",_xlfn.MINIFS(日线!$D$5:$D$310,日线!$G$5:$G$310,$A40))</f>
        <v>23.54</v>
      </c>
      <c r="E40" s="40" t="n">
        <f aca="false">IF($A40="","",INDEX(日线!$E$5:$E$310,MATCH($A40,日线!$G$5:$G$310,1)))</f>
        <v>23.83</v>
      </c>
      <c r="F40" s="44" t="n">
        <f aca="false">IF($A40="","",SUMIFS(日线!$F$5:$F$310,日线!$G$5:$G$310,$A40))</f>
        <v>17595000</v>
      </c>
      <c r="G40" s="40" t="n">
        <f aca="false">IF($A40="","",2/(p_EmaF+1)*E40+(1-2/(p_EmaF+1))*G39)</f>
        <v>23.0720094529079</v>
      </c>
      <c r="H40" s="40" t="n">
        <f aca="false">IF($A40="","",2/(p_EmaS+1)*E40+(1-2/(p_EmaS+1))*H39)</f>
        <v>22.723676771321</v>
      </c>
      <c r="I40" s="41" t="n">
        <f aca="false">IF($A40="","",2/(p_MacdF+1)*E40+(1-2/(p_MacdF+1))*I39)</f>
        <v>23.1205690117869</v>
      </c>
      <c r="J40" s="41" t="n">
        <f aca="false">IF($A40="","",2/(p_MacdS+1)*E40+(1-2/(p_MacdS+1))*J39)</f>
        <v>22.723676771321</v>
      </c>
      <c r="K40" s="41" t="n">
        <f aca="false">IF($A40="","",I40-J40)</f>
        <v>0.396892240465874</v>
      </c>
      <c r="L40" s="41" t="n">
        <f aca="false">IF($A40="","",2/(p_MacdSig+1)*K40+(1-2/(p_MacdSig+1))*L39)</f>
        <v>0.133628686223599</v>
      </c>
      <c r="M40" s="41" t="n">
        <f aca="false">IF($A40="","",K40-L40)</f>
        <v>0.263263554242275</v>
      </c>
      <c r="N40" s="42" t="n">
        <f aca="false">IF($A40="","",IF(G40&gt;G39,1,0))</f>
        <v>1</v>
      </c>
      <c r="O40" s="42" t="n">
        <f aca="false">IF($A40="","",IF(G40&lt;G39,1,0))</f>
        <v>0</v>
      </c>
      <c r="P40" s="42" t="n">
        <f aca="false">IF($A40="","",IF(M40&gt;M39,1,0))</f>
        <v>0</v>
      </c>
      <c r="Q40" s="42" t="n">
        <f aca="false">IF($A40="","",IF(M40&lt;M39,1,0))</f>
        <v>1</v>
      </c>
      <c r="R40" s="42" t="n">
        <f aca="false">IF($A40="","",IF(H40&gt;H39,1,0))</f>
        <v>1</v>
      </c>
      <c r="S40" s="42" t="n">
        <f aca="false">IF($A40="","",IF(M40&gt;M39,1,0))</f>
        <v>0</v>
      </c>
      <c r="T40" s="42" t="n">
        <f aca="false">IF($A40="","",IF(M40&lt;M39,1,0))</f>
        <v>1</v>
      </c>
      <c r="U40" s="42" t="n">
        <f aca="false">IF($A40="","",IF(AND(N40=1,P40=1),1,IF(AND(O40=1,Q40=1),-1,0)))</f>
        <v>0</v>
      </c>
    </row>
    <row r="41" customFormat="false" ht="15" hidden="false" customHeight="false" outlineLevel="0" collapsed="false">
      <c r="A41" s="39" t="n">
        <f aca="false">IF(A40="","",IF(_xlfn.MINIFS(日线!$G$5:$G$310,日线!$G$5:$G$310,"&gt;"&amp;A40)=0,"",_xlfn.MINIFS(日线!$G$5:$G$310,日线!$G$5:$G$310,"&gt;"&amp;A40)))</f>
        <v>45908</v>
      </c>
      <c r="B41" s="40" t="n">
        <f aca="false">IF($A41="","",INDEX(日线!$B$5:$B$310,MATCH($A41,日线!$G$5:$G$310,0)))</f>
        <v>23.73</v>
      </c>
      <c r="C41" s="40" t="n">
        <f aca="false">IF($A41="","",_xlfn.MAXIFS(日线!$C$5:$C$310,日线!$G$5:$G$310,$A41))</f>
        <v>25.07</v>
      </c>
      <c r="D41" s="40" t="n">
        <f aca="false">IF($A41="","",_xlfn.MINIFS(日线!$D$5:$D$310,日线!$G$5:$G$310,$A41))</f>
        <v>23.49</v>
      </c>
      <c r="E41" s="40" t="n">
        <f aca="false">IF($A41="","",INDEX(日线!$E$5:$E$310,MATCH($A41,日线!$G$5:$G$310,1)))</f>
        <v>24.58</v>
      </c>
      <c r="F41" s="44" t="n">
        <f aca="false">IF($A41="","",SUMIFS(日线!$F$5:$F$310,日线!$G$5:$G$310,$A41))</f>
        <v>18046300</v>
      </c>
      <c r="G41" s="40" t="n">
        <f aca="false">IF($A41="","",2/(p_EmaF+1)*E41+(1-2/(p_EmaF+1))*G40)</f>
        <v>23.287436673921</v>
      </c>
      <c r="H41" s="40" t="n">
        <f aca="false">IF($A41="","",2/(p_EmaS+1)*E41+(1-2/(p_EmaS+1))*H40)</f>
        <v>22.8611821956676</v>
      </c>
      <c r="I41" s="41" t="n">
        <f aca="false">IF($A41="","",2/(p_MacdF+1)*E41+(1-2/(p_MacdF+1))*I40)</f>
        <v>23.3450968561274</v>
      </c>
      <c r="J41" s="41" t="n">
        <f aca="false">IF($A41="","",2/(p_MacdS+1)*E41+(1-2/(p_MacdS+1))*J40)</f>
        <v>22.8611821956676</v>
      </c>
      <c r="K41" s="41" t="n">
        <f aca="false">IF($A41="","",I41-J41)</f>
        <v>0.48391466045976</v>
      </c>
      <c r="L41" s="41" t="n">
        <f aca="false">IF($A41="","",2/(p_MacdSig+1)*K41+(1-2/(p_MacdSig+1))*L40)</f>
        <v>0.203685881070832</v>
      </c>
      <c r="M41" s="41" t="n">
        <f aca="false">IF($A41="","",K41-L41)</f>
        <v>0.280228779388929</v>
      </c>
      <c r="N41" s="42" t="n">
        <f aca="false">IF($A41="","",IF(G41&gt;G40,1,0))</f>
        <v>1</v>
      </c>
      <c r="O41" s="42" t="n">
        <f aca="false">IF($A41="","",IF(G41&lt;G40,1,0))</f>
        <v>0</v>
      </c>
      <c r="P41" s="42" t="n">
        <f aca="false">IF($A41="","",IF(M41&gt;M40,1,0))</f>
        <v>1</v>
      </c>
      <c r="Q41" s="42" t="n">
        <f aca="false">IF($A41="","",IF(M41&lt;M40,1,0))</f>
        <v>0</v>
      </c>
      <c r="R41" s="42" t="n">
        <f aca="false">IF($A41="","",IF(H41&gt;H40,1,0))</f>
        <v>1</v>
      </c>
      <c r="S41" s="42" t="n">
        <f aca="false">IF($A41="","",IF(M41&gt;M40,1,0))</f>
        <v>1</v>
      </c>
      <c r="T41" s="42" t="n">
        <f aca="false">IF($A41="","",IF(M41&lt;M40,1,0))</f>
        <v>0</v>
      </c>
      <c r="U41" s="42" t="n">
        <f aca="false">IF($A41="","",IF(AND(N41=1,P41=1),1,IF(AND(O41=1,Q41=1),-1,0)))</f>
        <v>1</v>
      </c>
    </row>
    <row r="42" customFormat="false" ht="15" hidden="false" customHeight="false" outlineLevel="0" collapsed="false">
      <c r="A42" s="39" t="n">
        <f aca="false">IF(A41="","",IF(_xlfn.MINIFS(日线!$G$5:$G$310,日线!$G$5:$G$310,"&gt;"&amp;A41)=0,"",_xlfn.MINIFS(日线!$G$5:$G$310,日线!$G$5:$G$310,"&gt;"&amp;A41)))</f>
        <v>45915</v>
      </c>
      <c r="B42" s="40" t="n">
        <f aca="false">IF($A42="","",INDEX(日线!$B$5:$B$310,MATCH($A42,日线!$G$5:$G$310,0)))</f>
        <v>24.69</v>
      </c>
      <c r="C42" s="40" t="n">
        <f aca="false">IF($A42="","",_xlfn.MAXIFS(日线!$C$5:$C$310,日线!$G$5:$G$310,$A42))</f>
        <v>25.15</v>
      </c>
      <c r="D42" s="40" t="n">
        <f aca="false">IF($A42="","",_xlfn.MINIFS(日线!$D$5:$D$310,日线!$G$5:$G$310,$A42))</f>
        <v>23.33</v>
      </c>
      <c r="E42" s="40" t="n">
        <f aca="false">IF($A42="","",INDEX(日线!$E$5:$E$310,MATCH($A42,日线!$G$5:$G$310,1)))</f>
        <v>24.8</v>
      </c>
      <c r="F42" s="44" t="n">
        <f aca="false">IF($A42="","",SUMIFS(日线!$F$5:$F$310,日线!$G$5:$G$310,$A42))</f>
        <v>21559500</v>
      </c>
      <c r="G42" s="40" t="n">
        <f aca="false">IF($A42="","",2/(p_EmaF+1)*E42+(1-2/(p_EmaF+1))*G41)</f>
        <v>23.5035171490752</v>
      </c>
      <c r="H42" s="40" t="n">
        <f aca="false">IF($A42="","",2/(p_EmaS+1)*E42+(1-2/(p_EmaS+1))*H41)</f>
        <v>23.0047983293219</v>
      </c>
      <c r="I42" s="41" t="n">
        <f aca="false">IF($A42="","",2/(p_MacdF+1)*E42+(1-2/(p_MacdF+1))*I41)</f>
        <v>23.5689281090309</v>
      </c>
      <c r="J42" s="41" t="n">
        <f aca="false">IF($A42="","",2/(p_MacdS+1)*E42+(1-2/(p_MacdS+1))*J41)</f>
        <v>23.0047983293219</v>
      </c>
      <c r="K42" s="41" t="n">
        <f aca="false">IF($A42="","",I42-J42)</f>
        <v>0.564129779708996</v>
      </c>
      <c r="L42" s="41" t="n">
        <f aca="false">IF($A42="","",2/(p_MacdSig+1)*K42+(1-2/(p_MacdSig+1))*L41)</f>
        <v>0.275774660798464</v>
      </c>
      <c r="M42" s="41" t="n">
        <f aca="false">IF($A42="","",K42-L42)</f>
        <v>0.288355118910531</v>
      </c>
      <c r="N42" s="42" t="n">
        <f aca="false">IF($A42="","",IF(G42&gt;G41,1,0))</f>
        <v>1</v>
      </c>
      <c r="O42" s="42" t="n">
        <f aca="false">IF($A42="","",IF(G42&lt;G41,1,0))</f>
        <v>0</v>
      </c>
      <c r="P42" s="42" t="n">
        <f aca="false">IF($A42="","",IF(M42&gt;M41,1,0))</f>
        <v>1</v>
      </c>
      <c r="Q42" s="42" t="n">
        <f aca="false">IF($A42="","",IF(M42&lt;M41,1,0))</f>
        <v>0</v>
      </c>
      <c r="R42" s="42" t="n">
        <f aca="false">IF($A42="","",IF(H42&gt;H41,1,0))</f>
        <v>1</v>
      </c>
      <c r="S42" s="42" t="n">
        <f aca="false">IF($A42="","",IF(M42&gt;M41,1,0))</f>
        <v>1</v>
      </c>
      <c r="T42" s="42" t="n">
        <f aca="false">IF($A42="","",IF(M42&lt;M41,1,0))</f>
        <v>0</v>
      </c>
      <c r="U42" s="42" t="n">
        <f aca="false">IF($A42="","",IF(AND(N42=1,P42=1),1,IF(AND(O42=1,Q42=1),-1,0)))</f>
        <v>1</v>
      </c>
    </row>
    <row r="43" customFormat="false" ht="15" hidden="false" customHeight="false" outlineLevel="0" collapsed="false">
      <c r="A43" s="39" t="n">
        <f aca="false">IF(A42="","",IF(_xlfn.MINIFS(日线!$G$5:$G$310,日线!$G$5:$G$310,"&gt;"&amp;A42)=0,"",_xlfn.MINIFS(日线!$G$5:$G$310,日线!$G$5:$G$310,"&gt;"&amp;A42)))</f>
        <v>45922</v>
      </c>
      <c r="B43" s="40" t="n">
        <f aca="false">IF($A43="","",INDEX(日线!$B$5:$B$310,MATCH($A43,日线!$G$5:$G$310,0)))</f>
        <v>24.95</v>
      </c>
      <c r="C43" s="40" t="n">
        <f aca="false">IF($A43="","",_xlfn.MAXIFS(日线!$C$5:$C$310,日线!$G$5:$G$310,$A43))</f>
        <v>26.3</v>
      </c>
      <c r="D43" s="40" t="n">
        <f aca="false">IF($A43="","",_xlfn.MINIFS(日线!$D$5:$D$310,日线!$G$5:$G$310,$A43))</f>
        <v>24.78</v>
      </c>
      <c r="E43" s="40" t="n">
        <f aca="false">IF($A43="","",INDEX(日线!$E$5:$E$310,MATCH($A43,日线!$G$5:$G$310,1)))</f>
        <v>26.1</v>
      </c>
      <c r="F43" s="44" t="n">
        <f aca="false">IF($A43="","",SUMIFS(日线!$F$5:$F$310,日线!$G$5:$G$310,$A43))</f>
        <v>18645200</v>
      </c>
      <c r="G43" s="40" t="n">
        <f aca="false">IF($A43="","",2/(p_EmaF+1)*E43+(1-2/(p_EmaF+1))*G42)</f>
        <v>23.8744432706359</v>
      </c>
      <c r="H43" s="40" t="n">
        <f aca="false">IF($A43="","",2/(p_EmaS+1)*E43+(1-2/(p_EmaS+1))*H42)</f>
        <v>23.2340725271499</v>
      </c>
      <c r="I43" s="41" t="n">
        <f aca="false">IF($A43="","",2/(p_MacdF+1)*E43+(1-2/(p_MacdF+1))*I42)</f>
        <v>23.9583237845646</v>
      </c>
      <c r="J43" s="41" t="n">
        <f aca="false">IF($A43="","",2/(p_MacdS+1)*E43+(1-2/(p_MacdS+1))*J42)</f>
        <v>23.2340725271499</v>
      </c>
      <c r="K43" s="41" t="n">
        <f aca="false">IF($A43="","",I43-J43)</f>
        <v>0.724251257414696</v>
      </c>
      <c r="L43" s="41" t="n">
        <f aca="false">IF($A43="","",2/(p_MacdSig+1)*K43+(1-2/(p_MacdSig+1))*L42)</f>
        <v>0.365469980121711</v>
      </c>
      <c r="M43" s="41" t="n">
        <f aca="false">IF($A43="","",K43-L43)</f>
        <v>0.358781277292986</v>
      </c>
      <c r="N43" s="42" t="n">
        <f aca="false">IF($A43="","",IF(G43&gt;G42,1,0))</f>
        <v>1</v>
      </c>
      <c r="O43" s="42" t="n">
        <f aca="false">IF($A43="","",IF(G43&lt;G42,1,0))</f>
        <v>0</v>
      </c>
      <c r="P43" s="42" t="n">
        <f aca="false">IF($A43="","",IF(M43&gt;M42,1,0))</f>
        <v>1</v>
      </c>
      <c r="Q43" s="42" t="n">
        <f aca="false">IF($A43="","",IF(M43&lt;M42,1,0))</f>
        <v>0</v>
      </c>
      <c r="R43" s="42" t="n">
        <f aca="false">IF($A43="","",IF(H43&gt;H42,1,0))</f>
        <v>1</v>
      </c>
      <c r="S43" s="42" t="n">
        <f aca="false">IF($A43="","",IF(M43&gt;M42,1,0))</f>
        <v>1</v>
      </c>
      <c r="T43" s="42" t="n">
        <f aca="false">IF($A43="","",IF(M43&lt;M42,1,0))</f>
        <v>0</v>
      </c>
      <c r="U43" s="42" t="n">
        <f aca="false">IF($A43="","",IF(AND(N43=1,P43=1),1,IF(AND(O43=1,Q43=1),-1,0)))</f>
        <v>1</v>
      </c>
    </row>
    <row r="44" customFormat="false" ht="15" hidden="false" customHeight="false" outlineLevel="0" collapsed="false">
      <c r="A44" s="39" t="n">
        <f aca="false">IF(A43="","",IF(_xlfn.MINIFS(日线!$G$5:$G$310,日线!$G$5:$G$310,"&gt;"&amp;A43)=0,"",_xlfn.MINIFS(日线!$G$5:$G$310,日线!$G$5:$G$310,"&gt;"&amp;A43)))</f>
        <v>45929</v>
      </c>
      <c r="B44" s="40" t="n">
        <f aca="false">IF($A44="","",INDEX(日线!$B$5:$B$310,MATCH($A44,日线!$G$5:$G$310,0)))</f>
        <v>26.15</v>
      </c>
      <c r="C44" s="40" t="n">
        <f aca="false">IF($A44="","",_xlfn.MAXIFS(日线!$C$5:$C$310,日线!$G$5:$G$310,$A44))</f>
        <v>27.36</v>
      </c>
      <c r="D44" s="40" t="n">
        <f aca="false">IF($A44="","",_xlfn.MINIFS(日线!$D$5:$D$310,日线!$G$5:$G$310,$A44))</f>
        <v>25.69</v>
      </c>
      <c r="E44" s="40" t="n">
        <f aca="false">IF($A44="","",INDEX(日线!$E$5:$E$310,MATCH($A44,日线!$G$5:$G$310,1)))</f>
        <v>27.19</v>
      </c>
      <c r="F44" s="44" t="n">
        <f aca="false">IF($A44="","",SUMIFS(日线!$F$5:$F$310,日线!$G$5:$G$310,$A44))</f>
        <v>22005800</v>
      </c>
      <c r="G44" s="40" t="n">
        <f aca="false">IF($A44="","",2/(p_EmaF+1)*E44+(1-2/(p_EmaF+1))*G43)</f>
        <v>24.3480942319736</v>
      </c>
      <c r="H44" s="40" t="n">
        <f aca="false">IF($A44="","",2/(p_EmaS+1)*E44+(1-2/(p_EmaS+1))*H43)</f>
        <v>23.5271041918054</v>
      </c>
      <c r="I44" s="41" t="n">
        <f aca="false">IF($A44="","",2/(p_MacdF+1)*E44+(1-2/(p_MacdF+1))*I43)</f>
        <v>24.4555047407854</v>
      </c>
      <c r="J44" s="41" t="n">
        <f aca="false">IF($A44="","",2/(p_MacdS+1)*E44+(1-2/(p_MacdS+1))*J43)</f>
        <v>23.5271041918054</v>
      </c>
      <c r="K44" s="41" t="n">
        <f aca="false">IF($A44="","",I44-J44)</f>
        <v>0.928400548979965</v>
      </c>
      <c r="L44" s="41" t="n">
        <f aca="false">IF($A44="","",2/(p_MacdSig+1)*K44+(1-2/(p_MacdSig+1))*L43)</f>
        <v>0.478056093893362</v>
      </c>
      <c r="M44" s="41" t="n">
        <f aca="false">IF($A44="","",K44-L44)</f>
        <v>0.450344455086604</v>
      </c>
      <c r="N44" s="42" t="n">
        <f aca="false">IF($A44="","",IF(G44&gt;G43,1,0))</f>
        <v>1</v>
      </c>
      <c r="O44" s="42" t="n">
        <f aca="false">IF($A44="","",IF(G44&lt;G43,1,0))</f>
        <v>0</v>
      </c>
      <c r="P44" s="42" t="n">
        <f aca="false">IF($A44="","",IF(M44&gt;M43,1,0))</f>
        <v>1</v>
      </c>
      <c r="Q44" s="42" t="n">
        <f aca="false">IF($A44="","",IF(M44&lt;M43,1,0))</f>
        <v>0</v>
      </c>
      <c r="R44" s="42" t="n">
        <f aca="false">IF($A44="","",IF(H44&gt;H43,1,0))</f>
        <v>1</v>
      </c>
      <c r="S44" s="42" t="n">
        <f aca="false">IF($A44="","",IF(M44&gt;M43,1,0))</f>
        <v>1</v>
      </c>
      <c r="T44" s="42" t="n">
        <f aca="false">IF($A44="","",IF(M44&lt;M43,1,0))</f>
        <v>0</v>
      </c>
      <c r="U44" s="42" t="n">
        <f aca="false">IF($A44="","",IF(AND(N44=1,P44=1),1,IF(AND(O44=1,Q44=1),-1,0)))</f>
        <v>1</v>
      </c>
    </row>
    <row r="45" customFormat="false" ht="15" hidden="false" customHeight="false" outlineLevel="0" collapsed="false">
      <c r="A45" s="39" t="n">
        <f aca="false">IF(A44="","",IF(_xlfn.MINIFS(日线!$G$5:$G$310,日线!$G$5:$G$310,"&gt;"&amp;A44)=0,"",_xlfn.MINIFS(日线!$G$5:$G$310,日线!$G$5:$G$310,"&gt;"&amp;A44)))</f>
        <v>45936</v>
      </c>
      <c r="B45" s="40" t="n">
        <f aca="false">IF($A45="","",INDEX(日线!$B$5:$B$310,MATCH($A45,日线!$G$5:$G$310,0)))</f>
        <v>27.22</v>
      </c>
      <c r="C45" s="40" t="n">
        <f aca="false">IF($A45="","",_xlfn.MAXIFS(日线!$C$5:$C$310,日线!$G$5:$G$310,$A45))</f>
        <v>28.05</v>
      </c>
      <c r="D45" s="40" t="n">
        <f aca="false">IF($A45="","",_xlfn.MINIFS(日线!$D$5:$D$310,日线!$G$5:$G$310,$A45))</f>
        <v>26.67</v>
      </c>
      <c r="E45" s="40" t="n">
        <f aca="false">IF($A45="","",INDEX(日线!$E$5:$E$310,MATCH($A45,日线!$G$5:$G$310,1)))</f>
        <v>26.86</v>
      </c>
      <c r="F45" s="44" t="n">
        <f aca="false">IF($A45="","",SUMIFS(日线!$F$5:$F$310,日线!$G$5:$G$310,$A45))</f>
        <v>19068200</v>
      </c>
      <c r="G45" s="40" t="n">
        <f aca="false">IF($A45="","",2/(p_EmaF+1)*E45+(1-2/(p_EmaF+1))*G44)</f>
        <v>24.7069379131202</v>
      </c>
      <c r="H45" s="40" t="n">
        <f aca="false">IF($A45="","",2/(p_EmaS+1)*E45+(1-2/(p_EmaS+1))*H44)</f>
        <v>23.7739853627828</v>
      </c>
      <c r="I45" s="41" t="n">
        <f aca="false">IF($A45="","",2/(p_MacdF+1)*E45+(1-2/(p_MacdF+1))*I44)</f>
        <v>24.8254270883569</v>
      </c>
      <c r="J45" s="41" t="n">
        <f aca="false">IF($A45="","",2/(p_MacdS+1)*E45+(1-2/(p_MacdS+1))*J44)</f>
        <v>23.7739853627828</v>
      </c>
      <c r="K45" s="41" t="n">
        <f aca="false">IF($A45="","",I45-J45)</f>
        <v>1.05144172557407</v>
      </c>
      <c r="L45" s="41" t="n">
        <f aca="false">IF($A45="","",2/(p_MacdSig+1)*K45+(1-2/(p_MacdSig+1))*L44)</f>
        <v>0.592733220229503</v>
      </c>
      <c r="M45" s="41" t="n">
        <f aca="false">IF($A45="","",K45-L45)</f>
        <v>0.458708505344563</v>
      </c>
      <c r="N45" s="42" t="n">
        <f aca="false">IF($A45="","",IF(G45&gt;G44,1,0))</f>
        <v>1</v>
      </c>
      <c r="O45" s="42" t="n">
        <f aca="false">IF($A45="","",IF(G45&lt;G44,1,0))</f>
        <v>0</v>
      </c>
      <c r="P45" s="42" t="n">
        <f aca="false">IF($A45="","",IF(M45&gt;M44,1,0))</f>
        <v>1</v>
      </c>
      <c r="Q45" s="42" t="n">
        <f aca="false">IF($A45="","",IF(M45&lt;M44,1,0))</f>
        <v>0</v>
      </c>
      <c r="R45" s="42" t="n">
        <f aca="false">IF($A45="","",IF(H45&gt;H44,1,0))</f>
        <v>1</v>
      </c>
      <c r="S45" s="42" t="n">
        <f aca="false">IF($A45="","",IF(M45&gt;M44,1,0))</f>
        <v>1</v>
      </c>
      <c r="T45" s="42" t="n">
        <f aca="false">IF($A45="","",IF(M45&lt;M44,1,0))</f>
        <v>0</v>
      </c>
      <c r="U45" s="42" t="n">
        <f aca="false">IF($A45="","",IF(AND(N45=1,P45=1),1,IF(AND(O45=1,Q45=1),-1,0)))</f>
        <v>1</v>
      </c>
    </row>
    <row r="46" customFormat="false" ht="15" hidden="false" customHeight="false" outlineLevel="0" collapsed="false">
      <c r="A46" s="39" t="n">
        <f aca="false">IF(A45="","",IF(_xlfn.MINIFS(日线!$G$5:$G$310,日线!$G$5:$G$310,"&gt;"&amp;A45)=0,"",_xlfn.MINIFS(日线!$G$5:$G$310,日线!$G$5:$G$310,"&gt;"&amp;A45)))</f>
        <v>45943</v>
      </c>
      <c r="B46" s="40" t="n">
        <f aca="false">IF($A46="","",INDEX(日线!$B$5:$B$310,MATCH($A46,日线!$G$5:$G$310,0)))</f>
        <v>26.84</v>
      </c>
      <c r="C46" s="40" t="n">
        <f aca="false">IF($A46="","",_xlfn.MAXIFS(日线!$C$5:$C$310,日线!$G$5:$G$310,$A46))</f>
        <v>28.05</v>
      </c>
      <c r="D46" s="40" t="n">
        <f aca="false">IF($A46="","",_xlfn.MINIFS(日线!$D$5:$D$310,日线!$G$5:$G$310,$A46))</f>
        <v>26.71</v>
      </c>
      <c r="E46" s="40" t="n">
        <f aca="false">IF($A46="","",INDEX(日线!$E$5:$E$310,MATCH($A46,日线!$G$5:$G$310,1)))</f>
        <v>27.43</v>
      </c>
      <c r="F46" s="44" t="n">
        <f aca="false">IF($A46="","",SUMIFS(日线!$F$5:$F$310,日线!$G$5:$G$310,$A46))</f>
        <v>18111400</v>
      </c>
      <c r="G46" s="40" t="n">
        <f aca="false">IF($A46="","",2/(p_EmaF+1)*E46+(1-2/(p_EmaF+1))*G45)</f>
        <v>25.0959467826745</v>
      </c>
      <c r="H46" s="40" t="n">
        <f aca="false">IF($A46="","",2/(p_EmaS+1)*E46+(1-2/(p_EmaS+1))*H45)</f>
        <v>24.0448012618359</v>
      </c>
      <c r="I46" s="41" t="n">
        <f aca="false">IF($A46="","",2/(p_MacdF+1)*E46+(1-2/(p_MacdF+1))*I45)</f>
        <v>25.226130613225</v>
      </c>
      <c r="J46" s="41" t="n">
        <f aca="false">IF($A46="","",2/(p_MacdS+1)*E46+(1-2/(p_MacdS+1))*J45)</f>
        <v>24.0448012618359</v>
      </c>
      <c r="K46" s="41" t="n">
        <f aca="false">IF($A46="","",I46-J46)</f>
        <v>1.18132935138911</v>
      </c>
      <c r="L46" s="41" t="n">
        <f aca="false">IF($A46="","",2/(p_MacdSig+1)*K46+(1-2/(p_MacdSig+1))*L45)</f>
        <v>0.710452446461424</v>
      </c>
      <c r="M46" s="41" t="n">
        <f aca="false">IF($A46="","",K46-L46)</f>
        <v>0.470876904927686</v>
      </c>
      <c r="N46" s="42" t="n">
        <f aca="false">IF($A46="","",IF(G46&gt;G45,1,0))</f>
        <v>1</v>
      </c>
      <c r="O46" s="42" t="n">
        <f aca="false">IF($A46="","",IF(G46&lt;G45,1,0))</f>
        <v>0</v>
      </c>
      <c r="P46" s="42" t="n">
        <f aca="false">IF($A46="","",IF(M46&gt;M45,1,0))</f>
        <v>1</v>
      </c>
      <c r="Q46" s="42" t="n">
        <f aca="false">IF($A46="","",IF(M46&lt;M45,1,0))</f>
        <v>0</v>
      </c>
      <c r="R46" s="42" t="n">
        <f aca="false">IF($A46="","",IF(H46&gt;H45,1,0))</f>
        <v>1</v>
      </c>
      <c r="S46" s="42" t="n">
        <f aca="false">IF($A46="","",IF(M46&gt;M45,1,0))</f>
        <v>1</v>
      </c>
      <c r="T46" s="42" t="n">
        <f aca="false">IF($A46="","",IF(M46&lt;M45,1,0))</f>
        <v>0</v>
      </c>
      <c r="U46" s="42" t="n">
        <f aca="false">IF($A46="","",IF(AND(N46=1,P46=1),1,IF(AND(O46=1,Q46=1),-1,0)))</f>
        <v>1</v>
      </c>
    </row>
    <row r="47" customFormat="false" ht="15" hidden="false" customHeight="false" outlineLevel="0" collapsed="false">
      <c r="A47" s="39" t="n">
        <f aca="false">IF(A46="","",IF(_xlfn.MINIFS(日线!$G$5:$G$310,日线!$G$5:$G$310,"&gt;"&amp;A46)=0,"",_xlfn.MINIFS(日线!$G$5:$G$310,日线!$G$5:$G$310,"&gt;"&amp;A46)))</f>
        <v>45950</v>
      </c>
      <c r="B47" s="40" t="n">
        <f aca="false">IF($A47="","",INDEX(日线!$B$5:$B$310,MATCH($A47,日线!$G$5:$G$310,0)))</f>
        <v>27.39</v>
      </c>
      <c r="C47" s="40" t="n">
        <f aca="false">IF($A47="","",_xlfn.MAXIFS(日线!$C$5:$C$310,日线!$G$5:$G$310,$A47))</f>
        <v>28.92</v>
      </c>
      <c r="D47" s="40" t="n">
        <f aca="false">IF($A47="","",_xlfn.MINIFS(日线!$D$5:$D$310,日线!$G$5:$G$310,$A47))</f>
        <v>26.79</v>
      </c>
      <c r="E47" s="40" t="n">
        <f aca="false">IF($A47="","",INDEX(日线!$E$5:$E$310,MATCH($A47,日线!$G$5:$G$310,1)))</f>
        <v>28.7</v>
      </c>
      <c r="F47" s="44" t="n">
        <f aca="false">IF($A47="","",SUMIFS(日线!$F$5:$F$310,日线!$G$5:$G$310,$A47))</f>
        <v>19229500</v>
      </c>
      <c r="G47" s="40" t="n">
        <f aca="false">IF($A47="","",2/(p_EmaF+1)*E47+(1-2/(p_EmaF+1))*G46)</f>
        <v>25.6108115280067</v>
      </c>
      <c r="H47" s="40" t="n">
        <f aca="false">IF($A47="","",2/(p_EmaS+1)*E47+(1-2/(p_EmaS+1))*H46)</f>
        <v>24.3896307979962</v>
      </c>
      <c r="I47" s="41" t="n">
        <f aca="false">IF($A47="","",2/(p_MacdF+1)*E47+(1-2/(p_MacdF+1))*I46)</f>
        <v>25.7605720573443</v>
      </c>
      <c r="J47" s="41" t="n">
        <f aca="false">IF($A47="","",2/(p_MacdS+1)*E47+(1-2/(p_MacdS+1))*J46)</f>
        <v>24.3896307979962</v>
      </c>
      <c r="K47" s="41" t="n">
        <f aca="false">IF($A47="","",I47-J47)</f>
        <v>1.37094125934803</v>
      </c>
      <c r="L47" s="41" t="n">
        <f aca="false">IF($A47="","",2/(p_MacdSig+1)*K47+(1-2/(p_MacdSig+1))*L46)</f>
        <v>0.842550209038746</v>
      </c>
      <c r="M47" s="41" t="n">
        <f aca="false">IF($A47="","",K47-L47)</f>
        <v>0.528391050309287</v>
      </c>
      <c r="N47" s="42" t="n">
        <f aca="false">IF($A47="","",IF(G47&gt;G46,1,0))</f>
        <v>1</v>
      </c>
      <c r="O47" s="42" t="n">
        <f aca="false">IF($A47="","",IF(G47&lt;G46,1,0))</f>
        <v>0</v>
      </c>
      <c r="P47" s="42" t="n">
        <f aca="false">IF($A47="","",IF(M47&gt;M46,1,0))</f>
        <v>1</v>
      </c>
      <c r="Q47" s="42" t="n">
        <f aca="false">IF($A47="","",IF(M47&lt;M46,1,0))</f>
        <v>0</v>
      </c>
      <c r="R47" s="42" t="n">
        <f aca="false">IF($A47="","",IF(H47&gt;H46,1,0))</f>
        <v>1</v>
      </c>
      <c r="S47" s="42" t="n">
        <f aca="false">IF($A47="","",IF(M47&gt;M46,1,0))</f>
        <v>1</v>
      </c>
      <c r="T47" s="42" t="n">
        <f aca="false">IF($A47="","",IF(M47&lt;M46,1,0))</f>
        <v>0</v>
      </c>
      <c r="U47" s="42" t="n">
        <f aca="false">IF($A47="","",IF(AND(N47=1,P47=1),1,IF(AND(O47=1,Q47=1),-1,0)))</f>
        <v>1</v>
      </c>
    </row>
    <row r="48" customFormat="false" ht="15" hidden="false" customHeight="false" outlineLevel="0" collapsed="false">
      <c r="A48" s="39" t="n">
        <f aca="false">IF(A47="","",IF(_xlfn.MINIFS(日线!$G$5:$G$310,日线!$G$5:$G$310,"&gt;"&amp;A47)=0,"",_xlfn.MINIFS(日线!$G$5:$G$310,日线!$G$5:$G$310,"&gt;"&amp;A47)))</f>
        <v>45957</v>
      </c>
      <c r="B48" s="40" t="n">
        <f aca="false">IF($A48="","",INDEX(日线!$B$5:$B$310,MATCH($A48,日线!$G$5:$G$310,0)))</f>
        <v>28.74</v>
      </c>
      <c r="C48" s="40" t="n">
        <f aca="false">IF($A48="","",_xlfn.MAXIFS(日线!$C$5:$C$310,日线!$G$5:$G$310,$A48))</f>
        <v>29.26</v>
      </c>
      <c r="D48" s="40" t="n">
        <f aca="false">IF($A48="","",_xlfn.MINIFS(日线!$D$5:$D$310,日线!$G$5:$G$310,$A48))</f>
        <v>28.07</v>
      </c>
      <c r="E48" s="40" t="n">
        <f aca="false">IF($A48="","",INDEX(日线!$E$5:$E$310,MATCH($A48,日线!$G$5:$G$310,1)))</f>
        <v>28.95</v>
      </c>
      <c r="F48" s="44" t="n">
        <f aca="false">IF($A48="","",SUMIFS(日线!$F$5:$F$310,日线!$G$5:$G$310,$A48))</f>
        <v>21418000</v>
      </c>
      <c r="G48" s="40" t="n">
        <f aca="false">IF($A48="","",2/(p_EmaF+1)*E48+(1-2/(p_EmaF+1))*G47)</f>
        <v>26.0878384525772</v>
      </c>
      <c r="H48" s="40" t="n">
        <f aca="false">IF($A48="","",2/(p_EmaS+1)*E48+(1-2/(p_EmaS+1))*H47)</f>
        <v>24.7274359240706</v>
      </c>
      <c r="I48" s="41" t="n">
        <f aca="false">IF($A48="","",2/(p_MacdF+1)*E48+(1-2/(p_MacdF+1))*I47)</f>
        <v>26.2512532792913</v>
      </c>
      <c r="J48" s="41" t="n">
        <f aca="false">IF($A48="","",2/(p_MacdS+1)*E48+(1-2/(p_MacdS+1))*J47)</f>
        <v>24.7274359240706</v>
      </c>
      <c r="K48" s="41" t="n">
        <f aca="false">IF($A48="","",I48-J48)</f>
        <v>1.52381735522071</v>
      </c>
      <c r="L48" s="41" t="n">
        <f aca="false">IF($A48="","",2/(p_MacdSig+1)*K48+(1-2/(p_MacdSig+1))*L47)</f>
        <v>0.97880363827514</v>
      </c>
      <c r="M48" s="41" t="n">
        <f aca="false">IF($A48="","",K48-L48)</f>
        <v>0.545013716945575</v>
      </c>
      <c r="N48" s="42" t="n">
        <f aca="false">IF($A48="","",IF(G48&gt;G47,1,0))</f>
        <v>1</v>
      </c>
      <c r="O48" s="42" t="n">
        <f aca="false">IF($A48="","",IF(G48&lt;G47,1,0))</f>
        <v>0</v>
      </c>
      <c r="P48" s="42" t="n">
        <f aca="false">IF($A48="","",IF(M48&gt;M47,1,0))</f>
        <v>1</v>
      </c>
      <c r="Q48" s="42" t="n">
        <f aca="false">IF($A48="","",IF(M48&lt;M47,1,0))</f>
        <v>0</v>
      </c>
      <c r="R48" s="42" t="n">
        <f aca="false">IF($A48="","",IF(H48&gt;H47,1,0))</f>
        <v>1</v>
      </c>
      <c r="S48" s="42" t="n">
        <f aca="false">IF($A48="","",IF(M48&gt;M47,1,0))</f>
        <v>1</v>
      </c>
      <c r="T48" s="42" t="n">
        <f aca="false">IF($A48="","",IF(M48&lt;M47,1,0))</f>
        <v>0</v>
      </c>
      <c r="U48" s="42" t="n">
        <f aca="false">IF($A48="","",IF(AND(N48=1,P48=1),1,IF(AND(O48=1,Q48=1),-1,0)))</f>
        <v>1</v>
      </c>
    </row>
    <row r="49" customFormat="false" ht="15" hidden="false" customHeight="false" outlineLevel="0" collapsed="false">
      <c r="A49" s="39" t="n">
        <f aca="false">IF(A48="","",IF(_xlfn.MINIFS(日线!$G$5:$G$310,日线!$G$5:$G$310,"&gt;"&amp;A48)=0,"",_xlfn.MINIFS(日线!$G$5:$G$310,日线!$G$5:$G$310,"&gt;"&amp;A48)))</f>
        <v>45964</v>
      </c>
      <c r="B49" s="40" t="n">
        <f aca="false">IF($A49="","",INDEX(日线!$B$5:$B$310,MATCH($A49,日线!$G$5:$G$310,0)))</f>
        <v>29</v>
      </c>
      <c r="C49" s="40" t="n">
        <f aca="false">IF($A49="","",_xlfn.MAXIFS(日线!$C$5:$C$310,日线!$G$5:$G$310,$A49))</f>
        <v>29.67</v>
      </c>
      <c r="D49" s="40" t="n">
        <f aca="false">IF($A49="","",_xlfn.MINIFS(日线!$D$5:$D$310,日线!$G$5:$G$310,$A49))</f>
        <v>27.9</v>
      </c>
      <c r="E49" s="40" t="n">
        <f aca="false">IF($A49="","",INDEX(日线!$E$5:$E$310,MATCH($A49,日线!$G$5:$G$310,1)))</f>
        <v>28.09</v>
      </c>
      <c r="F49" s="44" t="n">
        <f aca="false">IF($A49="","",SUMIFS(日线!$F$5:$F$310,日线!$G$5:$G$310,$A49))</f>
        <v>20533300</v>
      </c>
      <c r="G49" s="40" t="n">
        <f aca="false">IF($A49="","",2/(p_EmaF+1)*E49+(1-2/(p_EmaF+1))*G48)</f>
        <v>26.3738615307804</v>
      </c>
      <c r="H49" s="40" t="n">
        <f aca="false">IF($A49="","",2/(p_EmaS+1)*E49+(1-2/(p_EmaS+1))*H48)</f>
        <v>24.9765147445098</v>
      </c>
      <c r="I49" s="41" t="n">
        <f aca="false">IF($A49="","",2/(p_MacdF+1)*E49+(1-2/(p_MacdF+1))*I48)</f>
        <v>26.5341373901696</v>
      </c>
      <c r="J49" s="41" t="n">
        <f aca="false">IF($A49="","",2/(p_MacdS+1)*E49+(1-2/(p_MacdS+1))*J48)</f>
        <v>24.9765147445098</v>
      </c>
      <c r="K49" s="41" t="n">
        <f aca="false">IF($A49="","",I49-J49)</f>
        <v>1.55762264565976</v>
      </c>
      <c r="L49" s="41" t="n">
        <f aca="false">IF($A49="","",2/(p_MacdSig+1)*K49+(1-2/(p_MacdSig+1))*L48)</f>
        <v>1.09456743975206</v>
      </c>
      <c r="M49" s="41" t="n">
        <f aca="false">IF($A49="","",K49-L49)</f>
        <v>0.463055205907695</v>
      </c>
      <c r="N49" s="42" t="n">
        <f aca="false">IF($A49="","",IF(G49&gt;G48,1,0))</f>
        <v>1</v>
      </c>
      <c r="O49" s="42" t="n">
        <f aca="false">IF($A49="","",IF(G49&lt;G48,1,0))</f>
        <v>0</v>
      </c>
      <c r="P49" s="42" t="n">
        <f aca="false">IF($A49="","",IF(M49&gt;M48,1,0))</f>
        <v>0</v>
      </c>
      <c r="Q49" s="42" t="n">
        <f aca="false">IF($A49="","",IF(M49&lt;M48,1,0))</f>
        <v>1</v>
      </c>
      <c r="R49" s="42" t="n">
        <f aca="false">IF($A49="","",IF(H49&gt;H48,1,0))</f>
        <v>1</v>
      </c>
      <c r="S49" s="42" t="n">
        <f aca="false">IF($A49="","",IF(M49&gt;M48,1,0))</f>
        <v>0</v>
      </c>
      <c r="T49" s="42" t="n">
        <f aca="false">IF($A49="","",IF(M49&lt;M48,1,0))</f>
        <v>1</v>
      </c>
      <c r="U49" s="42" t="n">
        <f aca="false">IF($A49="","",IF(AND(N49=1,P49=1),1,IF(AND(O49=1,Q49=1),-1,0)))</f>
        <v>0</v>
      </c>
    </row>
    <row r="50" customFormat="false" ht="15" hidden="false" customHeight="false" outlineLevel="0" collapsed="false">
      <c r="A50" s="39" t="n">
        <f aca="false">IF(A49="","",IF(_xlfn.MINIFS(日线!$G$5:$G$310,日线!$G$5:$G$310,"&gt;"&amp;A49)=0,"",_xlfn.MINIFS(日线!$G$5:$G$310,日线!$G$5:$G$310,"&gt;"&amp;A49)))</f>
        <v>45971</v>
      </c>
      <c r="B50" s="40" t="n">
        <f aca="false">IF($A50="","",INDEX(日线!$B$5:$B$310,MATCH($A50,日线!$G$5:$G$310,0)))</f>
        <v>28.17</v>
      </c>
      <c r="C50" s="40" t="n">
        <f aca="false">IF($A50="","",_xlfn.MAXIFS(日线!$C$5:$C$310,日线!$G$5:$G$310,$A50))</f>
        <v>29.16</v>
      </c>
      <c r="D50" s="40" t="n">
        <f aca="false">IF($A50="","",_xlfn.MINIFS(日线!$D$5:$D$310,日线!$G$5:$G$310,$A50))</f>
        <v>28.04</v>
      </c>
      <c r="E50" s="40" t="n">
        <f aca="false">IF($A50="","",INDEX(日线!$E$5:$E$310,MATCH($A50,日线!$G$5:$G$310,1)))</f>
        <v>28.86</v>
      </c>
      <c r="F50" s="44" t="n">
        <f aca="false">IF($A50="","",SUMIFS(日线!$F$5:$F$310,日线!$G$5:$G$310,$A50))</f>
        <v>20455000</v>
      </c>
      <c r="G50" s="40" t="n">
        <f aca="false">IF($A50="","",2/(p_EmaF+1)*E50+(1-2/(p_EmaF+1))*G49)</f>
        <v>26.7290241692404</v>
      </c>
      <c r="H50" s="40" t="n">
        <f aca="false">IF($A50="","",2/(p_EmaS+1)*E50+(1-2/(p_EmaS+1))*H49)</f>
        <v>25.2641803189906</v>
      </c>
      <c r="I50" s="41" t="n">
        <f aca="false">IF($A50="","",2/(p_MacdF+1)*E50+(1-2/(p_MacdF+1))*I49)</f>
        <v>26.8919624070666</v>
      </c>
      <c r="J50" s="41" t="n">
        <f aca="false">IF($A50="","",2/(p_MacdS+1)*E50+(1-2/(p_MacdS+1))*J49)</f>
        <v>25.2641803189906</v>
      </c>
      <c r="K50" s="41" t="n">
        <f aca="false">IF($A50="","",I50-J50)</f>
        <v>1.627782088076</v>
      </c>
      <c r="L50" s="41" t="n">
        <f aca="false">IF($A50="","",2/(p_MacdSig+1)*K50+(1-2/(p_MacdSig+1))*L49)</f>
        <v>1.20121036941685</v>
      </c>
      <c r="M50" s="41" t="n">
        <f aca="false">IF($A50="","",K50-L50)</f>
        <v>0.426571718659146</v>
      </c>
      <c r="N50" s="42" t="n">
        <f aca="false">IF($A50="","",IF(G50&gt;G49,1,0))</f>
        <v>1</v>
      </c>
      <c r="O50" s="42" t="n">
        <f aca="false">IF($A50="","",IF(G50&lt;G49,1,0))</f>
        <v>0</v>
      </c>
      <c r="P50" s="42" t="n">
        <f aca="false">IF($A50="","",IF(M50&gt;M49,1,0))</f>
        <v>0</v>
      </c>
      <c r="Q50" s="42" t="n">
        <f aca="false">IF($A50="","",IF(M50&lt;M49,1,0))</f>
        <v>1</v>
      </c>
      <c r="R50" s="42" t="n">
        <f aca="false">IF($A50="","",IF(H50&gt;H49,1,0))</f>
        <v>1</v>
      </c>
      <c r="S50" s="42" t="n">
        <f aca="false">IF($A50="","",IF(M50&gt;M49,1,0))</f>
        <v>0</v>
      </c>
      <c r="T50" s="42" t="n">
        <f aca="false">IF($A50="","",IF(M50&lt;M49,1,0))</f>
        <v>1</v>
      </c>
      <c r="U50" s="42" t="n">
        <f aca="false">IF($A50="","",IF(AND(N50=1,P50=1),1,IF(AND(O50=1,Q50=1),-1,0)))</f>
        <v>0</v>
      </c>
    </row>
    <row r="51" customFormat="false" ht="15" hidden="false" customHeight="false" outlineLevel="0" collapsed="false">
      <c r="A51" s="39" t="n">
        <f aca="false">IF(A50="","",IF(_xlfn.MINIFS(日线!$G$5:$G$310,日线!$G$5:$G$310,"&gt;"&amp;A50)=0,"",_xlfn.MINIFS(日线!$G$5:$G$310,日线!$G$5:$G$310,"&gt;"&amp;A50)))</f>
        <v>45978</v>
      </c>
      <c r="B51" s="40" t="n">
        <f aca="false">IF($A51="","",INDEX(日线!$B$5:$B$310,MATCH($A51,日线!$G$5:$G$310,0)))</f>
        <v>29.03</v>
      </c>
      <c r="C51" s="40" t="n">
        <f aca="false">IF($A51="","",_xlfn.MAXIFS(日线!$C$5:$C$310,日线!$G$5:$G$310,$A51))</f>
        <v>30.52</v>
      </c>
      <c r="D51" s="40" t="n">
        <f aca="false">IF($A51="","",_xlfn.MINIFS(日线!$D$5:$D$310,日线!$G$5:$G$310,$A51))</f>
        <v>28.49</v>
      </c>
      <c r="E51" s="40" t="n">
        <f aca="false">IF($A51="","",INDEX(日线!$E$5:$E$310,MATCH($A51,日线!$G$5:$G$310,1)))</f>
        <v>30.32</v>
      </c>
      <c r="F51" s="44" t="n">
        <f aca="false">IF($A51="","",SUMIFS(日线!$F$5:$F$310,日线!$G$5:$G$310,$A51))</f>
        <v>19305200</v>
      </c>
      <c r="G51" s="40" t="n">
        <f aca="false">IF($A51="","",2/(p_EmaF+1)*E51+(1-2/(p_EmaF+1))*G50)</f>
        <v>27.2420207164918</v>
      </c>
      <c r="H51" s="40" t="n">
        <f aca="false">IF($A51="","",2/(p_EmaS+1)*E51+(1-2/(p_EmaS+1))*H50)</f>
        <v>25.6386854805468</v>
      </c>
      <c r="I51" s="41" t="n">
        <f aca="false">IF($A51="","",2/(p_MacdF+1)*E51+(1-2/(p_MacdF+1))*I50)</f>
        <v>27.4193528059794</v>
      </c>
      <c r="J51" s="41" t="n">
        <f aca="false">IF($A51="","",2/(p_MacdS+1)*E51+(1-2/(p_MacdS+1))*J50)</f>
        <v>25.6386854805468</v>
      </c>
      <c r="K51" s="41" t="n">
        <f aca="false">IF($A51="","",I51-J51)</f>
        <v>1.78066732543257</v>
      </c>
      <c r="L51" s="41" t="n">
        <f aca="false">IF($A51="","",2/(p_MacdSig+1)*K51+(1-2/(p_MacdSig+1))*L50)</f>
        <v>1.31710176062</v>
      </c>
      <c r="M51" s="41" t="n">
        <f aca="false">IF($A51="","",K51-L51)</f>
        <v>0.463565564812579</v>
      </c>
      <c r="N51" s="42" t="n">
        <f aca="false">IF($A51="","",IF(G51&gt;G50,1,0))</f>
        <v>1</v>
      </c>
      <c r="O51" s="42" t="n">
        <f aca="false">IF($A51="","",IF(G51&lt;G50,1,0))</f>
        <v>0</v>
      </c>
      <c r="P51" s="42" t="n">
        <f aca="false">IF($A51="","",IF(M51&gt;M50,1,0))</f>
        <v>1</v>
      </c>
      <c r="Q51" s="42" t="n">
        <f aca="false">IF($A51="","",IF(M51&lt;M50,1,0))</f>
        <v>0</v>
      </c>
      <c r="R51" s="42" t="n">
        <f aca="false">IF($A51="","",IF(H51&gt;H50,1,0))</f>
        <v>1</v>
      </c>
      <c r="S51" s="42" t="n">
        <f aca="false">IF($A51="","",IF(M51&gt;M50,1,0))</f>
        <v>1</v>
      </c>
      <c r="T51" s="42" t="n">
        <f aca="false">IF($A51="","",IF(M51&lt;M50,1,0))</f>
        <v>0</v>
      </c>
      <c r="U51" s="42" t="n">
        <f aca="false">IF($A51="","",IF(AND(N51=1,P51=1),1,IF(AND(O51=1,Q51=1),-1,0)))</f>
        <v>1</v>
      </c>
    </row>
    <row r="52" customFormat="false" ht="15" hidden="false" customHeight="false" outlineLevel="0" collapsed="false">
      <c r="A52" s="39" t="n">
        <f aca="false">IF(A51="","",IF(_xlfn.MINIFS(日线!$G$5:$G$310,日线!$G$5:$G$310,"&gt;"&amp;A51)=0,"",_xlfn.MINIFS(日线!$G$5:$G$310,日线!$G$5:$G$310,"&gt;"&amp;A51)))</f>
        <v>45985</v>
      </c>
      <c r="B52" s="40" t="n">
        <f aca="false">IF($A52="","",INDEX(日线!$B$5:$B$310,MATCH($A52,日线!$G$5:$G$310,0)))</f>
        <v>30.42</v>
      </c>
      <c r="C52" s="40" t="n">
        <f aca="false">IF($A52="","",_xlfn.MAXIFS(日线!$C$5:$C$310,日线!$G$5:$G$310,$A52))</f>
        <v>33.08</v>
      </c>
      <c r="D52" s="40" t="n">
        <f aca="false">IF($A52="","",_xlfn.MINIFS(日线!$D$5:$D$310,日线!$G$5:$G$310,$A52))</f>
        <v>30.29</v>
      </c>
      <c r="E52" s="40" t="n">
        <f aca="false">IF($A52="","",INDEX(日线!$E$5:$E$310,MATCH($A52,日线!$G$5:$G$310,1)))</f>
        <v>32.64</v>
      </c>
      <c r="F52" s="44" t="n">
        <f aca="false">IF($A52="","",SUMIFS(日线!$F$5:$F$310,日线!$G$5:$G$310,$A52))</f>
        <v>20577100</v>
      </c>
      <c r="G52" s="40" t="n">
        <f aca="false">IF($A52="","",2/(p_EmaF+1)*E52+(1-2/(p_EmaF+1))*G51)</f>
        <v>28.0131606141358</v>
      </c>
      <c r="H52" s="40" t="n">
        <f aca="false">IF($A52="","",2/(p_EmaS+1)*E52+(1-2/(p_EmaS+1))*H51)</f>
        <v>26.1573013708767</v>
      </c>
      <c r="I52" s="41" t="n">
        <f aca="false">IF($A52="","",2/(p_MacdF+1)*E52+(1-2/(p_MacdF+1))*I51)</f>
        <v>28.2225292973672</v>
      </c>
      <c r="J52" s="41" t="n">
        <f aca="false">IF($A52="","",2/(p_MacdS+1)*E52+(1-2/(p_MacdS+1))*J51)</f>
        <v>26.1573013708767</v>
      </c>
      <c r="K52" s="41" t="n">
        <f aca="false">IF($A52="","",I52-J52)</f>
        <v>2.06522792649049</v>
      </c>
      <c r="L52" s="41" t="n">
        <f aca="false">IF($A52="","",2/(p_MacdSig+1)*K52+(1-2/(p_MacdSig+1))*L51)</f>
        <v>1.46672699379409</v>
      </c>
      <c r="M52" s="41" t="n">
        <f aca="false">IF($A52="","",K52-L52)</f>
        <v>0.598500932696399</v>
      </c>
      <c r="N52" s="42" t="n">
        <f aca="false">IF($A52="","",IF(G52&gt;G51,1,0))</f>
        <v>1</v>
      </c>
      <c r="O52" s="42" t="n">
        <f aca="false">IF($A52="","",IF(G52&lt;G51,1,0))</f>
        <v>0</v>
      </c>
      <c r="P52" s="42" t="n">
        <f aca="false">IF($A52="","",IF(M52&gt;M51,1,0))</f>
        <v>1</v>
      </c>
      <c r="Q52" s="42" t="n">
        <f aca="false">IF($A52="","",IF(M52&lt;M51,1,0))</f>
        <v>0</v>
      </c>
      <c r="R52" s="42" t="n">
        <f aca="false">IF($A52="","",IF(H52&gt;H51,1,0))</f>
        <v>1</v>
      </c>
      <c r="S52" s="42" t="n">
        <f aca="false">IF($A52="","",IF(M52&gt;M51,1,0))</f>
        <v>1</v>
      </c>
      <c r="T52" s="42" t="n">
        <f aca="false">IF($A52="","",IF(M52&lt;M51,1,0))</f>
        <v>0</v>
      </c>
      <c r="U52" s="42" t="n">
        <f aca="false">IF($A52="","",IF(AND(N52=1,P52=1),1,IF(AND(O52=1,Q52=1),-1,0)))</f>
        <v>1</v>
      </c>
    </row>
    <row r="53" customFormat="false" ht="15" hidden="false" customHeight="false" outlineLevel="0" collapsed="false">
      <c r="A53" s="39" t="n">
        <f aca="false">IF(A52="","",IF(_xlfn.MINIFS(日线!$G$5:$G$310,日线!$G$5:$G$310,"&gt;"&amp;A52)=0,"",_xlfn.MINIFS(日线!$G$5:$G$310,日线!$G$5:$G$310,"&gt;"&amp;A52)))</f>
        <v>45992</v>
      </c>
      <c r="B53" s="40" t="n">
        <f aca="false">IF($A53="","",INDEX(日线!$B$5:$B$310,MATCH($A53,日线!$G$5:$G$310,0)))</f>
        <v>32.72</v>
      </c>
      <c r="C53" s="40" t="n">
        <f aca="false">IF($A53="","",_xlfn.MAXIFS(日线!$C$5:$C$310,日线!$G$5:$G$310,$A53))</f>
        <v>32.89</v>
      </c>
      <c r="D53" s="40" t="n">
        <f aca="false">IF($A53="","",_xlfn.MINIFS(日线!$D$5:$D$310,日线!$G$5:$G$310,$A53))</f>
        <v>30.79</v>
      </c>
      <c r="E53" s="40" t="n">
        <f aca="false">IF($A53="","",INDEX(日线!$E$5:$E$310,MATCH($A53,日线!$G$5:$G$310,1)))</f>
        <v>31.04</v>
      </c>
      <c r="F53" s="44" t="n">
        <f aca="false">IF($A53="","",SUMIFS(日线!$F$5:$F$310,日线!$G$5:$G$310,$A53))</f>
        <v>19201100</v>
      </c>
      <c r="G53" s="40" t="n">
        <f aca="false">IF($A53="","",2/(p_EmaF+1)*E53+(1-2/(p_EmaF+1))*G52)</f>
        <v>28.4455662406878</v>
      </c>
      <c r="H53" s="40" t="n">
        <f aca="false">IF($A53="","",2/(p_EmaS+1)*E53+(1-2/(p_EmaS+1))*H52)</f>
        <v>26.5189827508117</v>
      </c>
      <c r="I53" s="41" t="n">
        <f aca="false">IF($A53="","",2/(p_MacdF+1)*E53+(1-2/(p_MacdF+1))*I52)</f>
        <v>28.6559863285415</v>
      </c>
      <c r="J53" s="41" t="n">
        <f aca="false">IF($A53="","",2/(p_MacdS+1)*E53+(1-2/(p_MacdS+1))*J52)</f>
        <v>26.5189827508117</v>
      </c>
      <c r="K53" s="41" t="n">
        <f aca="false">IF($A53="","",I53-J53)</f>
        <v>2.13700357772971</v>
      </c>
      <c r="L53" s="41" t="n">
        <f aca="false">IF($A53="","",2/(p_MacdSig+1)*K53+(1-2/(p_MacdSig+1))*L52)</f>
        <v>1.60078231058122</v>
      </c>
      <c r="M53" s="41" t="n">
        <f aca="false">IF($A53="","",K53-L53)</f>
        <v>0.536221267148496</v>
      </c>
      <c r="N53" s="42" t="n">
        <f aca="false">IF($A53="","",IF(G53&gt;G52,1,0))</f>
        <v>1</v>
      </c>
      <c r="O53" s="42" t="n">
        <f aca="false">IF($A53="","",IF(G53&lt;G52,1,0))</f>
        <v>0</v>
      </c>
      <c r="P53" s="42" t="n">
        <f aca="false">IF($A53="","",IF(M53&gt;M52,1,0))</f>
        <v>0</v>
      </c>
      <c r="Q53" s="42" t="n">
        <f aca="false">IF($A53="","",IF(M53&lt;M52,1,0))</f>
        <v>1</v>
      </c>
      <c r="R53" s="42" t="n">
        <f aca="false">IF($A53="","",IF(H53&gt;H52,1,0))</f>
        <v>1</v>
      </c>
      <c r="S53" s="42" t="n">
        <f aca="false">IF($A53="","",IF(M53&gt;M52,1,0))</f>
        <v>0</v>
      </c>
      <c r="T53" s="42" t="n">
        <f aca="false">IF($A53="","",IF(M53&lt;M52,1,0))</f>
        <v>1</v>
      </c>
      <c r="U53" s="42" t="n">
        <f aca="false">IF($A53="","",IF(AND(N53=1,P53=1),1,IF(AND(O53=1,Q53=1),-1,0)))</f>
        <v>0</v>
      </c>
    </row>
    <row r="54" customFormat="false" ht="15" hidden="false" customHeight="false" outlineLevel="0" collapsed="false">
      <c r="A54" s="39" t="n">
        <f aca="false">IF(A53="","",IF(_xlfn.MINIFS(日线!$G$5:$G$310,日线!$G$5:$G$310,"&gt;"&amp;A53)=0,"",_xlfn.MINIFS(日线!$G$5:$G$310,日线!$G$5:$G$310,"&gt;"&amp;A53)))</f>
        <v>45999</v>
      </c>
      <c r="B54" s="40" t="n">
        <f aca="false">IF($A54="","",INDEX(日线!$B$5:$B$310,MATCH($A54,日线!$G$5:$G$310,0)))</f>
        <v>31.15</v>
      </c>
      <c r="C54" s="40" t="n">
        <f aca="false">IF($A54="","",_xlfn.MAXIFS(日线!$C$5:$C$310,日线!$G$5:$G$310,$A54))</f>
        <v>31.85</v>
      </c>
      <c r="D54" s="40" t="n">
        <f aca="false">IF($A54="","",_xlfn.MINIFS(日线!$D$5:$D$310,日线!$G$5:$G$310,$A54))</f>
        <v>30.78</v>
      </c>
      <c r="E54" s="40" t="n">
        <f aca="false">IF($A54="","",INDEX(日线!$E$5:$E$310,MATCH($A54,日线!$G$5:$G$310,1)))</f>
        <v>31.47</v>
      </c>
      <c r="F54" s="44" t="n">
        <f aca="false">IF($A54="","",SUMIFS(日线!$F$5:$F$310,日线!$G$5:$G$310,$A54))</f>
        <v>18010600</v>
      </c>
      <c r="G54" s="40" t="n">
        <f aca="false">IF($A54="","",2/(p_EmaF+1)*E54+(1-2/(p_EmaF+1))*G53)</f>
        <v>28.8776282063039</v>
      </c>
      <c r="H54" s="40" t="n">
        <f aca="false">IF($A54="","",2/(p_EmaS+1)*E54+(1-2/(p_EmaS+1))*H53)</f>
        <v>26.8857247692701</v>
      </c>
      <c r="I54" s="41" t="n">
        <f aca="false">IF($A54="","",2/(p_MacdF+1)*E54+(1-2/(p_MacdF+1))*I53)</f>
        <v>29.0889115087659</v>
      </c>
      <c r="J54" s="41" t="n">
        <f aca="false">IF($A54="","",2/(p_MacdS+1)*E54+(1-2/(p_MacdS+1))*J53)</f>
        <v>26.8857247692701</v>
      </c>
      <c r="K54" s="41" t="n">
        <f aca="false">IF($A54="","",I54-J54)</f>
        <v>2.20318673949572</v>
      </c>
      <c r="L54" s="41" t="n">
        <f aca="false">IF($A54="","",2/(p_MacdSig+1)*K54+(1-2/(p_MacdSig+1))*L53)</f>
        <v>1.72126319636412</v>
      </c>
      <c r="M54" s="41" t="n">
        <f aca="false">IF($A54="","",K54-L54)</f>
        <v>0.481923543131598</v>
      </c>
      <c r="N54" s="42" t="n">
        <f aca="false">IF($A54="","",IF(G54&gt;G53,1,0))</f>
        <v>1</v>
      </c>
      <c r="O54" s="42" t="n">
        <f aca="false">IF($A54="","",IF(G54&lt;G53,1,0))</f>
        <v>0</v>
      </c>
      <c r="P54" s="42" t="n">
        <f aca="false">IF($A54="","",IF(M54&gt;M53,1,0))</f>
        <v>0</v>
      </c>
      <c r="Q54" s="42" t="n">
        <f aca="false">IF($A54="","",IF(M54&lt;M53,1,0))</f>
        <v>1</v>
      </c>
      <c r="R54" s="42" t="n">
        <f aca="false">IF($A54="","",IF(H54&gt;H53,1,0))</f>
        <v>1</v>
      </c>
      <c r="S54" s="42" t="n">
        <f aca="false">IF($A54="","",IF(M54&gt;M53,1,0))</f>
        <v>0</v>
      </c>
      <c r="T54" s="42" t="n">
        <f aca="false">IF($A54="","",IF(M54&lt;M53,1,0))</f>
        <v>1</v>
      </c>
      <c r="U54" s="42" t="n">
        <f aca="false">IF($A54="","",IF(AND(N54=1,P54=1),1,IF(AND(O54=1,Q54=1),-1,0)))</f>
        <v>0</v>
      </c>
    </row>
    <row r="55" customFormat="false" ht="15" hidden="false" customHeight="false" outlineLevel="0" collapsed="false">
      <c r="A55" s="39" t="n">
        <f aca="false">IF(A54="","",IF(_xlfn.MINIFS(日线!$G$5:$G$310,日线!$G$5:$G$310,"&gt;"&amp;A54)=0,"",_xlfn.MINIFS(日线!$G$5:$G$310,日线!$G$5:$G$310,"&gt;"&amp;A54)))</f>
        <v>46006</v>
      </c>
      <c r="B55" s="40" t="n">
        <f aca="false">IF($A55="","",INDEX(日线!$B$5:$B$310,MATCH($A55,日线!$G$5:$G$310,0)))</f>
        <v>31.75</v>
      </c>
      <c r="C55" s="40" t="n">
        <f aca="false">IF($A55="","",_xlfn.MAXIFS(日线!$C$5:$C$310,日线!$G$5:$G$310,$A55))</f>
        <v>31.96</v>
      </c>
      <c r="D55" s="40" t="n">
        <f aca="false">IF($A55="","",_xlfn.MINIFS(日线!$D$5:$D$310,日线!$G$5:$G$310,$A55))</f>
        <v>29.85</v>
      </c>
      <c r="E55" s="40" t="n">
        <f aca="false">IF($A55="","",INDEX(日线!$E$5:$E$310,MATCH($A55,日线!$G$5:$G$310,1)))</f>
        <v>30.08</v>
      </c>
      <c r="F55" s="44" t="n">
        <f aca="false">IF($A55="","",SUMIFS(日线!$F$5:$F$310,日线!$G$5:$G$310,$A55))</f>
        <v>19113000</v>
      </c>
      <c r="G55" s="40" t="n">
        <f aca="false">IF($A55="","",2/(p_EmaF+1)*E55+(1-2/(p_EmaF+1))*G54)</f>
        <v>29.0493956054033</v>
      </c>
      <c r="H55" s="40" t="n">
        <f aca="false">IF($A55="","",2/(p_EmaS+1)*E55+(1-2/(p_EmaS+1))*H54)</f>
        <v>27.1223377493242</v>
      </c>
      <c r="I55" s="41" t="n">
        <f aca="false">IF($A55="","",2/(p_MacdF+1)*E55+(1-2/(p_MacdF+1))*I54)</f>
        <v>29.2413866612634</v>
      </c>
      <c r="J55" s="41" t="n">
        <f aca="false">IF($A55="","",2/(p_MacdS+1)*E55+(1-2/(p_MacdS+1))*J54)</f>
        <v>27.1223377493242</v>
      </c>
      <c r="K55" s="41" t="n">
        <f aca="false">IF($A55="","",I55-J55)</f>
        <v>2.11904891193922</v>
      </c>
      <c r="L55" s="41" t="n">
        <f aca="false">IF($A55="","",2/(p_MacdSig+1)*K55+(1-2/(p_MacdSig+1))*L54)</f>
        <v>1.80082033947914</v>
      </c>
      <c r="M55" s="41" t="n">
        <f aca="false">IF($A55="","",K55-L55)</f>
        <v>0.318228572460078</v>
      </c>
      <c r="N55" s="42" t="n">
        <f aca="false">IF($A55="","",IF(G55&gt;G54,1,0))</f>
        <v>1</v>
      </c>
      <c r="O55" s="42" t="n">
        <f aca="false">IF($A55="","",IF(G55&lt;G54,1,0))</f>
        <v>0</v>
      </c>
      <c r="P55" s="42" t="n">
        <f aca="false">IF($A55="","",IF(M55&gt;M54,1,0))</f>
        <v>0</v>
      </c>
      <c r="Q55" s="42" t="n">
        <f aca="false">IF($A55="","",IF(M55&lt;M54,1,0))</f>
        <v>1</v>
      </c>
      <c r="R55" s="42" t="n">
        <f aca="false">IF($A55="","",IF(H55&gt;H54,1,0))</f>
        <v>1</v>
      </c>
      <c r="S55" s="42" t="n">
        <f aca="false">IF($A55="","",IF(M55&gt;M54,1,0))</f>
        <v>0</v>
      </c>
      <c r="T55" s="42" t="n">
        <f aca="false">IF($A55="","",IF(M55&lt;M54,1,0))</f>
        <v>1</v>
      </c>
      <c r="U55" s="42" t="n">
        <f aca="false">IF($A55="","",IF(AND(N55=1,P55=1),1,IF(AND(O55=1,Q55=1),-1,0)))</f>
        <v>0</v>
      </c>
    </row>
    <row r="56" customFormat="false" ht="15" hidden="false" customHeight="false" outlineLevel="0" collapsed="false">
      <c r="A56" s="39" t="n">
        <f aca="false">IF(A55="","",IF(_xlfn.MINIFS(日线!$G$5:$G$310,日线!$G$5:$G$310,"&gt;"&amp;A55)=0,"",_xlfn.MINIFS(日线!$G$5:$G$310,日线!$G$5:$G$310,"&gt;"&amp;A55)))</f>
        <v>46013</v>
      </c>
      <c r="B56" s="40" t="n">
        <f aca="false">IF($A56="","",INDEX(日线!$B$5:$B$310,MATCH($A56,日线!$G$5:$G$310,0)))</f>
        <v>30.04</v>
      </c>
      <c r="C56" s="40" t="n">
        <f aca="false">IF($A56="","",_xlfn.MAXIFS(日线!$C$5:$C$310,日线!$G$5:$G$310,$A56))</f>
        <v>31.03</v>
      </c>
      <c r="D56" s="40" t="n">
        <f aca="false">IF($A56="","",_xlfn.MINIFS(日线!$D$5:$D$310,日线!$G$5:$G$310,$A56))</f>
        <v>28.48</v>
      </c>
      <c r="E56" s="40" t="n">
        <f aca="false">IF($A56="","",INDEX(日线!$E$5:$E$310,MATCH($A56,日线!$G$5:$G$310,1)))</f>
        <v>28.66</v>
      </c>
      <c r="F56" s="44" t="n">
        <f aca="false">IF($A56="","",SUMIFS(日线!$F$5:$F$310,日线!$G$5:$G$310,$A56))</f>
        <v>21390500</v>
      </c>
      <c r="G56" s="40" t="n">
        <f aca="false">IF($A56="","",2/(p_EmaF+1)*E56+(1-2/(p_EmaF+1))*G55)</f>
        <v>28.9937676617743</v>
      </c>
      <c r="H56" s="40" t="n">
        <f aca="false">IF($A56="","",2/(p_EmaS+1)*E56+(1-2/(p_EmaS+1))*H55)</f>
        <v>27.2362386567817</v>
      </c>
      <c r="I56" s="41" t="n">
        <f aca="false">IF($A56="","",2/(p_MacdF+1)*E56+(1-2/(p_MacdF+1))*I55)</f>
        <v>29.1519425595306</v>
      </c>
      <c r="J56" s="41" t="n">
        <f aca="false">IF($A56="","",2/(p_MacdS+1)*E56+(1-2/(p_MacdS+1))*J55)</f>
        <v>27.2362386567817</v>
      </c>
      <c r="K56" s="41" t="n">
        <f aca="false">IF($A56="","",I56-J56)</f>
        <v>1.91570390274892</v>
      </c>
      <c r="L56" s="41" t="n">
        <f aca="false">IF($A56="","",2/(p_MacdSig+1)*K56+(1-2/(p_MacdSig+1))*L55)</f>
        <v>1.82379705213309</v>
      </c>
      <c r="M56" s="41" t="n">
        <f aca="false">IF($A56="","",K56-L56)</f>
        <v>0.0919068506158249</v>
      </c>
      <c r="N56" s="42" t="n">
        <f aca="false">IF($A56="","",IF(G56&gt;G55,1,0))</f>
        <v>0</v>
      </c>
      <c r="O56" s="42" t="n">
        <f aca="false">IF($A56="","",IF(G56&lt;G55,1,0))</f>
        <v>1</v>
      </c>
      <c r="P56" s="42" t="n">
        <f aca="false">IF($A56="","",IF(M56&gt;M55,1,0))</f>
        <v>0</v>
      </c>
      <c r="Q56" s="42" t="n">
        <f aca="false">IF($A56="","",IF(M56&lt;M55,1,0))</f>
        <v>1</v>
      </c>
      <c r="R56" s="42" t="n">
        <f aca="false">IF($A56="","",IF(H56&gt;H55,1,0))</f>
        <v>1</v>
      </c>
      <c r="S56" s="42" t="n">
        <f aca="false">IF($A56="","",IF(M56&gt;M55,1,0))</f>
        <v>0</v>
      </c>
      <c r="T56" s="42" t="n">
        <f aca="false">IF($A56="","",IF(M56&lt;M55,1,0))</f>
        <v>1</v>
      </c>
      <c r="U56" s="42" t="n">
        <f aca="false">IF($A56="","",IF(AND(N56=1,P56=1),1,IF(AND(O56=1,Q56=1),-1,0)))</f>
        <v>-1</v>
      </c>
    </row>
    <row r="57" customFormat="false" ht="15" hidden="false" customHeight="false" outlineLevel="0" collapsed="false">
      <c r="A57" s="39" t="n">
        <f aca="false">IF(A56="","",IF(_xlfn.MINIFS(日线!$G$5:$G$310,日线!$G$5:$G$310,"&gt;"&amp;A56)=0,"",_xlfn.MINIFS(日线!$G$5:$G$310,日线!$G$5:$G$310,"&gt;"&amp;A56)))</f>
        <v>46020</v>
      </c>
      <c r="B57" s="40" t="n">
        <f aca="false">IF($A57="","",INDEX(日线!$B$5:$B$310,MATCH($A57,日线!$G$5:$G$310,0)))</f>
        <v>28.76</v>
      </c>
      <c r="C57" s="40" t="n">
        <f aca="false">IF($A57="","",_xlfn.MAXIFS(日线!$C$5:$C$310,日线!$G$5:$G$310,$A57))</f>
        <v>29.45</v>
      </c>
      <c r="D57" s="40" t="n">
        <f aca="false">IF($A57="","",_xlfn.MINIFS(日线!$D$5:$D$310,日线!$G$5:$G$310,$A57))</f>
        <v>28.38</v>
      </c>
      <c r="E57" s="40" t="n">
        <f aca="false">IF($A57="","",INDEX(日线!$E$5:$E$310,MATCH($A57,日线!$G$5:$G$310,1)))</f>
        <v>28.54</v>
      </c>
      <c r="F57" s="44" t="n">
        <f aca="false">IF($A57="","",SUMIFS(日线!$F$5:$F$310,日线!$G$5:$G$310,$A57))</f>
        <v>15519200</v>
      </c>
      <c r="G57" s="40" t="n">
        <f aca="false">IF($A57="","",2/(p_EmaF+1)*E57+(1-2/(p_EmaF+1))*G56)</f>
        <v>28.9289437100922</v>
      </c>
      <c r="H57" s="40" t="n">
        <f aca="false">IF($A57="","",2/(p_EmaS+1)*E57+(1-2/(p_EmaS+1))*H56)</f>
        <v>27.3328135710941</v>
      </c>
      <c r="I57" s="41" t="n">
        <f aca="false">IF($A57="","",2/(p_MacdF+1)*E57+(1-2/(p_MacdF+1))*I56)</f>
        <v>29.057797550372</v>
      </c>
      <c r="J57" s="41" t="n">
        <f aca="false">IF($A57="","",2/(p_MacdS+1)*E57+(1-2/(p_MacdS+1))*J56)</f>
        <v>27.3328135710941</v>
      </c>
      <c r="K57" s="41" t="n">
        <f aca="false">IF($A57="","",I57-J57)</f>
        <v>1.7249839792779</v>
      </c>
      <c r="L57" s="41" t="n">
        <f aca="false">IF($A57="","",2/(p_MacdSig+1)*K57+(1-2/(p_MacdSig+1))*L56)</f>
        <v>1.80403443756206</v>
      </c>
      <c r="M57" s="41" t="n">
        <f aca="false">IF($A57="","",K57-L57)</f>
        <v>-0.0790504582841576</v>
      </c>
      <c r="N57" s="42" t="n">
        <f aca="false">IF($A57="","",IF(G57&gt;G56,1,0))</f>
        <v>0</v>
      </c>
      <c r="O57" s="42" t="n">
        <f aca="false">IF($A57="","",IF(G57&lt;G56,1,0))</f>
        <v>1</v>
      </c>
      <c r="P57" s="42" t="n">
        <f aca="false">IF($A57="","",IF(M57&gt;M56,1,0))</f>
        <v>0</v>
      </c>
      <c r="Q57" s="42" t="n">
        <f aca="false">IF($A57="","",IF(M57&lt;M56,1,0))</f>
        <v>1</v>
      </c>
      <c r="R57" s="42" t="n">
        <f aca="false">IF($A57="","",IF(H57&gt;H56,1,0))</f>
        <v>1</v>
      </c>
      <c r="S57" s="42" t="n">
        <f aca="false">IF($A57="","",IF(M57&gt;M56,1,0))</f>
        <v>0</v>
      </c>
      <c r="T57" s="42" t="n">
        <f aca="false">IF($A57="","",IF(M57&lt;M56,1,0))</f>
        <v>1</v>
      </c>
      <c r="U57" s="42" t="n">
        <f aca="false">IF($A57="","",IF(AND(N57=1,P57=1),1,IF(AND(O57=1,Q57=1),-1,0)))</f>
        <v>-1</v>
      </c>
    </row>
    <row r="58" customFormat="false" ht="15" hidden="false" customHeight="false" outlineLevel="0" collapsed="false">
      <c r="A58" s="39" t="n">
        <f aca="false">IF(A57="","",IF(_xlfn.MINIFS(日线!$G$5:$G$310,日线!$G$5:$G$310,"&gt;"&amp;A57)=0,"",_xlfn.MINIFS(日线!$G$5:$G$310,日线!$G$5:$G$310,"&gt;"&amp;A57)))</f>
        <v>46027</v>
      </c>
      <c r="B58" s="40" t="n">
        <f aca="false">IF($A58="","",INDEX(日线!$B$5:$B$310,MATCH($A58,日线!$G$5:$G$310,0)))</f>
        <v>28.5</v>
      </c>
      <c r="C58" s="40" t="n">
        <f aca="false">IF($A58="","",_xlfn.MAXIFS(日线!$C$5:$C$310,日线!$G$5:$G$310,$A58))</f>
        <v>28.98</v>
      </c>
      <c r="D58" s="40" t="n">
        <f aca="false">IF($A58="","",_xlfn.MINIFS(日线!$D$5:$D$310,日线!$G$5:$G$310,$A58))</f>
        <v>26.51</v>
      </c>
      <c r="E58" s="40" t="n">
        <f aca="false">IF($A58="","",INDEX(日线!$E$5:$E$310,MATCH($A58,日线!$G$5:$G$310,1)))</f>
        <v>26.87</v>
      </c>
      <c r="F58" s="44" t="n">
        <f aca="false">IF($A58="","",SUMIFS(日线!$F$5:$F$310,日线!$G$5:$G$310,$A58))</f>
        <v>20838700</v>
      </c>
      <c r="G58" s="40" t="n">
        <f aca="false">IF($A58="","",2/(p_EmaF+1)*E58+(1-2/(p_EmaF+1))*G57)</f>
        <v>28.6348088943648</v>
      </c>
      <c r="H58" s="40" t="n">
        <f aca="false">IF($A58="","",2/(p_EmaS+1)*E58+(1-2/(p_EmaS+1))*H57)</f>
        <v>27.2985310843464</v>
      </c>
      <c r="I58" s="41" t="n">
        <f aca="false">IF($A58="","",2/(p_MacdF+1)*E58+(1-2/(p_MacdF+1))*I57)</f>
        <v>28.7212133118533</v>
      </c>
      <c r="J58" s="41" t="n">
        <f aca="false">IF($A58="","",2/(p_MacdS+1)*E58+(1-2/(p_MacdS+1))*J57)</f>
        <v>27.2985310843464</v>
      </c>
      <c r="K58" s="41" t="n">
        <f aca="false">IF($A58="","",I58-J58)</f>
        <v>1.42268222750684</v>
      </c>
      <c r="L58" s="41" t="n">
        <f aca="false">IF($A58="","",2/(p_MacdSig+1)*K58+(1-2/(p_MacdSig+1))*L57)</f>
        <v>1.72776399555101</v>
      </c>
      <c r="M58" s="41" t="n">
        <f aca="false">IF($A58="","",K58-L58)</f>
        <v>-0.305081768044175</v>
      </c>
      <c r="N58" s="42" t="n">
        <f aca="false">IF($A58="","",IF(G58&gt;G57,1,0))</f>
        <v>0</v>
      </c>
      <c r="O58" s="42" t="n">
        <f aca="false">IF($A58="","",IF(G58&lt;G57,1,0))</f>
        <v>1</v>
      </c>
      <c r="P58" s="42" t="n">
        <f aca="false">IF($A58="","",IF(M58&gt;M57,1,0))</f>
        <v>0</v>
      </c>
      <c r="Q58" s="42" t="n">
        <f aca="false">IF($A58="","",IF(M58&lt;M57,1,0))</f>
        <v>1</v>
      </c>
      <c r="R58" s="42" t="n">
        <f aca="false">IF($A58="","",IF(H58&gt;H57,1,0))</f>
        <v>0</v>
      </c>
      <c r="S58" s="42" t="n">
        <f aca="false">IF($A58="","",IF(M58&gt;M57,1,0))</f>
        <v>0</v>
      </c>
      <c r="T58" s="42" t="n">
        <f aca="false">IF($A58="","",IF(M58&lt;M57,1,0))</f>
        <v>1</v>
      </c>
      <c r="U58" s="42" t="n">
        <f aca="false">IF($A58="","",IF(AND(N58=1,P58=1),1,IF(AND(O58=1,Q58=1),-1,0)))</f>
        <v>-1</v>
      </c>
    </row>
    <row r="59" customFormat="false" ht="15" hidden="false" customHeight="false" outlineLevel="0" collapsed="false">
      <c r="A59" s="39" t="n">
        <f aca="false">IF(A58="","",IF(_xlfn.MINIFS(日线!$G$5:$G$310,日线!$G$5:$G$310,"&gt;"&amp;A58)=0,"",_xlfn.MINIFS(日线!$G$5:$G$310,日线!$G$5:$G$310,"&gt;"&amp;A58)))</f>
        <v>46034</v>
      </c>
      <c r="B59" s="40" t="n">
        <f aca="false">IF($A59="","",INDEX(日线!$B$5:$B$310,MATCH($A59,日线!$G$5:$G$310,0)))</f>
        <v>26.86</v>
      </c>
      <c r="C59" s="40" t="n">
        <f aca="false">IF($A59="","",_xlfn.MAXIFS(日线!$C$5:$C$310,日线!$G$5:$G$310,$A59))</f>
        <v>27.13</v>
      </c>
      <c r="D59" s="40" t="n">
        <f aca="false">IF($A59="","",_xlfn.MINIFS(日线!$D$5:$D$310,日线!$G$5:$G$310,$A59))</f>
        <v>25.91</v>
      </c>
      <c r="E59" s="40" t="n">
        <f aca="false">IF($A59="","",INDEX(日线!$E$5:$E$310,MATCH($A59,日线!$G$5:$G$310,1)))</f>
        <v>26.93</v>
      </c>
      <c r="F59" s="44" t="n">
        <f aca="false">IF($A59="","",SUMIFS(日线!$F$5:$F$310,日线!$G$5:$G$310,$A59))</f>
        <v>18408300</v>
      </c>
      <c r="G59" s="40" t="n">
        <f aca="false">IF($A59="","",2/(p_EmaF+1)*E59+(1-2/(p_EmaF+1))*G58)</f>
        <v>28.3912647665984</v>
      </c>
      <c r="H59" s="40" t="n">
        <f aca="false">IF($A59="","",2/(p_EmaS+1)*E59+(1-2/(p_EmaS+1))*H58)</f>
        <v>27.2712324855059</v>
      </c>
      <c r="I59" s="41" t="n">
        <f aca="false">IF($A59="","",2/(p_MacdF+1)*E59+(1-2/(p_MacdF+1))*I58)</f>
        <v>28.4456420331066</v>
      </c>
      <c r="J59" s="41" t="n">
        <f aca="false">IF($A59="","",2/(p_MacdS+1)*E59+(1-2/(p_MacdS+1))*J58)</f>
        <v>27.2712324855059</v>
      </c>
      <c r="K59" s="41" t="n">
        <f aca="false">IF($A59="","",I59-J59)</f>
        <v>1.17440954760066</v>
      </c>
      <c r="L59" s="41" t="n">
        <f aca="false">IF($A59="","",2/(p_MacdSig+1)*K59+(1-2/(p_MacdSig+1))*L58)</f>
        <v>1.61709310596094</v>
      </c>
      <c r="M59" s="41" t="n">
        <f aca="false">IF($A59="","",K59-L59)</f>
        <v>-0.442683558360284</v>
      </c>
      <c r="N59" s="42" t="n">
        <f aca="false">IF($A59="","",IF(G59&gt;G58,1,0))</f>
        <v>0</v>
      </c>
      <c r="O59" s="42" t="n">
        <f aca="false">IF($A59="","",IF(G59&lt;G58,1,0))</f>
        <v>1</v>
      </c>
      <c r="P59" s="42" t="n">
        <f aca="false">IF($A59="","",IF(M59&gt;M58,1,0))</f>
        <v>0</v>
      </c>
      <c r="Q59" s="42" t="n">
        <f aca="false">IF($A59="","",IF(M59&lt;M58,1,0))</f>
        <v>1</v>
      </c>
      <c r="R59" s="42" t="n">
        <f aca="false">IF($A59="","",IF(H59&gt;H58,1,0))</f>
        <v>0</v>
      </c>
      <c r="S59" s="42" t="n">
        <f aca="false">IF($A59="","",IF(M59&gt;M58,1,0))</f>
        <v>0</v>
      </c>
      <c r="T59" s="42" t="n">
        <f aca="false">IF($A59="","",IF(M59&lt;M58,1,0))</f>
        <v>1</v>
      </c>
      <c r="U59" s="42" t="n">
        <f aca="false">IF($A59="","",IF(AND(N59=1,P59=1),1,IF(AND(O59=1,Q59=1),-1,0)))</f>
        <v>-1</v>
      </c>
    </row>
    <row r="60" customFormat="false" ht="15" hidden="false" customHeight="false" outlineLevel="0" collapsed="false">
      <c r="A60" s="39" t="n">
        <f aca="false">IF(A59="","",IF(_xlfn.MINIFS(日线!$G$5:$G$310,日线!$G$5:$G$310,"&gt;"&amp;A59)=0,"",_xlfn.MINIFS(日线!$G$5:$G$310,日线!$G$5:$G$310,"&gt;"&amp;A59)))</f>
        <v>46041</v>
      </c>
      <c r="B60" s="40" t="n">
        <f aca="false">IF($A60="","",INDEX(日线!$B$5:$B$310,MATCH($A60,日线!$G$5:$G$310,0)))</f>
        <v>27.03</v>
      </c>
      <c r="C60" s="40" t="n">
        <f aca="false">IF($A60="","",_xlfn.MAXIFS(日线!$C$5:$C$310,日线!$G$5:$G$310,$A60))</f>
        <v>27.63</v>
      </c>
      <c r="D60" s="40" t="n">
        <f aca="false">IF($A60="","",_xlfn.MINIFS(日线!$D$5:$D$310,日线!$G$5:$G$310,$A60))</f>
        <v>26.53</v>
      </c>
      <c r="E60" s="40" t="n">
        <f aca="false">IF($A60="","",INDEX(日线!$E$5:$E$310,MATCH($A60,日线!$G$5:$G$310,1)))</f>
        <v>27.4</v>
      </c>
      <c r="F60" s="44" t="n">
        <f aca="false">IF($A60="","",SUMIFS(日线!$F$5:$F$310,日线!$G$5:$G$310,$A60))</f>
        <v>18898700</v>
      </c>
      <c r="G60" s="40" t="n">
        <f aca="false">IF($A60="","",2/(p_EmaF+1)*E60+(1-2/(p_EmaF+1))*G59)</f>
        <v>28.2496555142272</v>
      </c>
      <c r="H60" s="40" t="n">
        <f aca="false">IF($A60="","",2/(p_EmaS+1)*E60+(1-2/(p_EmaS+1))*H59)</f>
        <v>27.2807708199129</v>
      </c>
      <c r="I60" s="41" t="n">
        <f aca="false">IF($A60="","",2/(p_MacdF+1)*E60+(1-2/(p_MacdF+1))*I59)</f>
        <v>28.2847740280133</v>
      </c>
      <c r="J60" s="41" t="n">
        <f aca="false">IF($A60="","",2/(p_MacdS+1)*E60+(1-2/(p_MacdS+1))*J59)</f>
        <v>27.2807708199129</v>
      </c>
      <c r="K60" s="41" t="n">
        <f aca="false">IF($A60="","",I60-J60)</f>
        <v>1.00400320810037</v>
      </c>
      <c r="L60" s="41" t="n">
        <f aca="false">IF($A60="","",2/(p_MacdSig+1)*K60+(1-2/(p_MacdSig+1))*L59)</f>
        <v>1.49447512638883</v>
      </c>
      <c r="M60" s="41" t="n">
        <f aca="false">IF($A60="","",K60-L60)</f>
        <v>-0.490471918288458</v>
      </c>
      <c r="N60" s="42" t="n">
        <f aca="false">IF($A60="","",IF(G60&gt;G59,1,0))</f>
        <v>0</v>
      </c>
      <c r="O60" s="42" t="n">
        <f aca="false">IF($A60="","",IF(G60&lt;G59,1,0))</f>
        <v>1</v>
      </c>
      <c r="P60" s="42" t="n">
        <f aca="false">IF($A60="","",IF(M60&gt;M59,1,0))</f>
        <v>0</v>
      </c>
      <c r="Q60" s="42" t="n">
        <f aca="false">IF($A60="","",IF(M60&lt;M59,1,0))</f>
        <v>1</v>
      </c>
      <c r="R60" s="42" t="n">
        <f aca="false">IF($A60="","",IF(H60&gt;H59,1,0))</f>
        <v>1</v>
      </c>
      <c r="S60" s="42" t="n">
        <f aca="false">IF($A60="","",IF(M60&gt;M59,1,0))</f>
        <v>0</v>
      </c>
      <c r="T60" s="42" t="n">
        <f aca="false">IF($A60="","",IF(M60&lt;M59,1,0))</f>
        <v>1</v>
      </c>
      <c r="U60" s="42" t="n">
        <f aca="false">IF($A60="","",IF(AND(N60=1,P60=1),1,IF(AND(O60=1,Q60=1),-1,0)))</f>
        <v>-1</v>
      </c>
    </row>
    <row r="61" customFormat="false" ht="15" hidden="false" customHeight="false" outlineLevel="0" collapsed="false">
      <c r="A61" s="39" t="n">
        <f aca="false">IF(A60="","",IF(_xlfn.MINIFS(日线!$G$5:$G$310,日线!$G$5:$G$310,"&gt;"&amp;A60)=0,"",_xlfn.MINIFS(日线!$G$5:$G$310,日线!$G$5:$G$310,"&gt;"&amp;A60)))</f>
        <v>46048</v>
      </c>
      <c r="B61" s="40" t="n">
        <f aca="false">IF($A61="","",INDEX(日线!$B$5:$B$310,MATCH($A61,日线!$G$5:$G$310,0)))</f>
        <v>27.47</v>
      </c>
      <c r="C61" s="40" t="n">
        <f aca="false">IF($A61="","",_xlfn.MAXIFS(日线!$C$5:$C$310,日线!$G$5:$G$310,$A61))</f>
        <v>27.97</v>
      </c>
      <c r="D61" s="40" t="n">
        <f aca="false">IF($A61="","",_xlfn.MINIFS(日线!$D$5:$D$310,日线!$G$5:$G$310,$A61))</f>
        <v>26.6</v>
      </c>
      <c r="E61" s="40" t="n">
        <f aca="false">IF($A61="","",INDEX(日线!$E$5:$E$310,MATCH($A61,日线!$G$5:$G$310,1)))</f>
        <v>27.92</v>
      </c>
      <c r="F61" s="44" t="n">
        <f aca="false">IF($A61="","",SUMIFS(日线!$F$5:$F$310,日线!$G$5:$G$310,$A61))</f>
        <v>19773000</v>
      </c>
      <c r="G61" s="40" t="n">
        <f aca="false">IF($A61="","",2/(p_EmaF+1)*E61+(1-2/(p_EmaF+1))*G60)</f>
        <v>28.2025618693376</v>
      </c>
      <c r="H61" s="40" t="n">
        <f aca="false">IF($A61="","",2/(p_EmaS+1)*E61+(1-2/(p_EmaS+1))*H60)</f>
        <v>27.328121129549</v>
      </c>
      <c r="I61" s="41" t="n">
        <f aca="false">IF($A61="","",2/(p_MacdF+1)*E61+(1-2/(p_MacdF+1))*I60)</f>
        <v>28.2286549467805</v>
      </c>
      <c r="J61" s="41" t="n">
        <f aca="false">IF($A61="","",2/(p_MacdS+1)*E61+(1-2/(p_MacdS+1))*J60)</f>
        <v>27.328121129549</v>
      </c>
      <c r="K61" s="41" t="n">
        <f aca="false">IF($A61="","",I61-J61)</f>
        <v>0.900533817231477</v>
      </c>
      <c r="L61" s="41" t="n">
        <f aca="false">IF($A61="","",2/(p_MacdSig+1)*K61+(1-2/(p_MacdSig+1))*L60)</f>
        <v>1.37568686455736</v>
      </c>
      <c r="M61" s="41" t="n">
        <f aca="false">IF($A61="","",K61-L61)</f>
        <v>-0.47515304732588</v>
      </c>
      <c r="N61" s="42" t="n">
        <f aca="false">IF($A61="","",IF(G61&gt;G60,1,0))</f>
        <v>0</v>
      </c>
      <c r="O61" s="42" t="n">
        <f aca="false">IF($A61="","",IF(G61&lt;G60,1,0))</f>
        <v>1</v>
      </c>
      <c r="P61" s="42" t="n">
        <f aca="false">IF($A61="","",IF(M61&gt;M60,1,0))</f>
        <v>1</v>
      </c>
      <c r="Q61" s="42" t="n">
        <f aca="false">IF($A61="","",IF(M61&lt;M60,1,0))</f>
        <v>0</v>
      </c>
      <c r="R61" s="42" t="n">
        <f aca="false">IF($A61="","",IF(H61&gt;H60,1,0))</f>
        <v>1</v>
      </c>
      <c r="S61" s="42" t="n">
        <f aca="false">IF($A61="","",IF(M61&gt;M60,1,0))</f>
        <v>1</v>
      </c>
      <c r="T61" s="42" t="n">
        <f aca="false">IF($A61="","",IF(M61&lt;M60,1,0))</f>
        <v>0</v>
      </c>
      <c r="U61" s="42" t="n">
        <f aca="false">IF($A61="","",IF(AND(N61=1,P61=1),1,IF(AND(O61=1,Q61=1),-1,0)))</f>
        <v>0</v>
      </c>
    </row>
    <row r="62" customFormat="false" ht="15" hidden="false" customHeight="false" outlineLevel="0" collapsed="false">
      <c r="A62" s="39" t="n">
        <f aca="false">IF(A61="","",IF(_xlfn.MINIFS(日线!$G$5:$G$310,日线!$G$5:$G$310,"&gt;"&amp;A61)=0,"",_xlfn.MINIFS(日线!$G$5:$G$310,日线!$G$5:$G$310,"&gt;"&amp;A61)))</f>
        <v>46055</v>
      </c>
      <c r="B62" s="40" t="n">
        <f aca="false">IF($A62="","",INDEX(日线!$B$5:$B$310,MATCH($A62,日线!$G$5:$G$310,0)))</f>
        <v>27.9</v>
      </c>
      <c r="C62" s="40" t="n">
        <f aca="false">IF($A62="","",_xlfn.MAXIFS(日线!$C$5:$C$310,日线!$G$5:$G$310,$A62))</f>
        <v>29.5</v>
      </c>
      <c r="D62" s="40" t="n">
        <f aca="false">IF($A62="","",_xlfn.MINIFS(日线!$D$5:$D$310,日线!$G$5:$G$310,$A62))</f>
        <v>27.8</v>
      </c>
      <c r="E62" s="40" t="n">
        <f aca="false">IF($A62="","",INDEX(日线!$E$5:$E$310,MATCH($A62,日线!$G$5:$G$310,1)))</f>
        <v>29.17</v>
      </c>
      <c r="F62" s="44" t="n">
        <f aca="false">IF($A62="","",SUMIFS(日线!$F$5:$F$310,日线!$G$5:$G$310,$A62))</f>
        <v>19373200</v>
      </c>
      <c r="G62" s="40" t="n">
        <f aca="false">IF($A62="","",2/(p_EmaF+1)*E62+(1-2/(p_EmaF+1))*G61)</f>
        <v>28.3407673165751</v>
      </c>
      <c r="H62" s="40" t="n">
        <f aca="false">IF($A62="","",2/(p_EmaS+1)*E62+(1-2/(p_EmaS+1))*H61)</f>
        <v>27.4645566014342</v>
      </c>
      <c r="I62" s="41" t="n">
        <f aca="false">IF($A62="","",2/(p_MacdF+1)*E62+(1-2/(p_MacdF+1))*I61)</f>
        <v>28.3734772626604</v>
      </c>
      <c r="J62" s="41" t="n">
        <f aca="false">IF($A62="","",2/(p_MacdS+1)*E62+(1-2/(p_MacdS+1))*J61)</f>
        <v>27.4645566014342</v>
      </c>
      <c r="K62" s="41" t="n">
        <f aca="false">IF($A62="","",I62-J62)</f>
        <v>0.908920661226148</v>
      </c>
      <c r="L62" s="41" t="n">
        <f aca="false">IF($A62="","",2/(p_MacdSig+1)*K62+(1-2/(p_MacdSig+1))*L61)</f>
        <v>1.28233362389111</v>
      </c>
      <c r="M62" s="41" t="n">
        <f aca="false">IF($A62="","",K62-L62)</f>
        <v>-0.373412962664967</v>
      </c>
      <c r="N62" s="42" t="n">
        <f aca="false">IF($A62="","",IF(G62&gt;G61,1,0))</f>
        <v>1</v>
      </c>
      <c r="O62" s="42" t="n">
        <f aca="false">IF($A62="","",IF(G62&lt;G61,1,0))</f>
        <v>0</v>
      </c>
      <c r="P62" s="42" t="n">
        <f aca="false">IF($A62="","",IF(M62&gt;M61,1,0))</f>
        <v>1</v>
      </c>
      <c r="Q62" s="42" t="n">
        <f aca="false">IF($A62="","",IF(M62&lt;M61,1,0))</f>
        <v>0</v>
      </c>
      <c r="R62" s="42" t="n">
        <f aca="false">IF($A62="","",IF(H62&gt;H61,1,0))</f>
        <v>1</v>
      </c>
      <c r="S62" s="42" t="n">
        <f aca="false">IF($A62="","",IF(M62&gt;M61,1,0))</f>
        <v>1</v>
      </c>
      <c r="T62" s="42" t="n">
        <f aca="false">IF($A62="","",IF(M62&lt;M61,1,0))</f>
        <v>0</v>
      </c>
      <c r="U62" s="42" t="n">
        <f aca="false">IF($A62="","",IF(AND(N62=1,P62=1),1,IF(AND(O62=1,Q62=1),-1,0)))</f>
        <v>1</v>
      </c>
    </row>
    <row r="63" customFormat="false" ht="15" hidden="false" customHeight="false" outlineLevel="0" collapsed="false">
      <c r="A63" s="39" t="n">
        <f aca="false">IF(A62="","",IF(_xlfn.MINIFS(日线!$G$5:$G$310,日线!$G$5:$G$310,"&gt;"&amp;A62)=0,"",_xlfn.MINIFS(日线!$G$5:$G$310,日线!$G$5:$G$310,"&gt;"&amp;A62)))</f>
        <v>46062</v>
      </c>
      <c r="B63" s="40" t="n">
        <f aca="false">IF($A63="","",INDEX(日线!$B$5:$B$310,MATCH($A63,日线!$G$5:$G$310,0)))</f>
        <v>29.14</v>
      </c>
      <c r="C63" s="40" t="n">
        <f aca="false">IF($A63="","",_xlfn.MAXIFS(日线!$C$5:$C$310,日线!$G$5:$G$310,$A63))</f>
        <v>31.54</v>
      </c>
      <c r="D63" s="40" t="n">
        <f aca="false">IF($A63="","",_xlfn.MINIFS(日线!$D$5:$D$310,日线!$G$5:$G$310,$A63))</f>
        <v>29.04</v>
      </c>
      <c r="E63" s="40" t="n">
        <f aca="false">IF($A63="","",INDEX(日线!$E$5:$E$310,MATCH($A63,日线!$G$5:$G$310,1)))</f>
        <v>31.21</v>
      </c>
      <c r="F63" s="44" t="n">
        <f aca="false">IF($A63="","",SUMIFS(日线!$F$5:$F$310,日线!$G$5:$G$310,$A63))</f>
        <v>19719500</v>
      </c>
      <c r="G63" s="40" t="n">
        <f aca="false">IF($A63="","",2/(p_EmaF+1)*E63+(1-2/(p_EmaF+1))*G62)</f>
        <v>28.7506576999215</v>
      </c>
      <c r="H63" s="40" t="n">
        <f aca="false">IF($A63="","",2/(p_EmaS+1)*E63+(1-2/(p_EmaS+1))*H62)</f>
        <v>27.7419968531799</v>
      </c>
      <c r="I63" s="41" t="n">
        <f aca="false">IF($A63="","",2/(p_MacdF+1)*E63+(1-2/(p_MacdF+1))*I62)</f>
        <v>28.8098653760973</v>
      </c>
      <c r="J63" s="41" t="n">
        <f aca="false">IF($A63="","",2/(p_MacdS+1)*E63+(1-2/(p_MacdS+1))*J62)</f>
        <v>27.7419968531799</v>
      </c>
      <c r="K63" s="41" t="n">
        <f aca="false">IF($A63="","",I63-J63)</f>
        <v>1.0678685229174</v>
      </c>
      <c r="L63" s="41" t="n">
        <f aca="false">IF($A63="","",2/(p_MacdSig+1)*K63+(1-2/(p_MacdSig+1))*L62)</f>
        <v>1.23944060369637</v>
      </c>
      <c r="M63" s="41" t="n">
        <f aca="false">IF($A63="","",K63-L63)</f>
        <v>-0.171572080778974</v>
      </c>
      <c r="N63" s="42" t="n">
        <f aca="false">IF($A63="","",IF(G63&gt;G62,1,0))</f>
        <v>1</v>
      </c>
      <c r="O63" s="42" t="n">
        <f aca="false">IF($A63="","",IF(G63&lt;G62,1,0))</f>
        <v>0</v>
      </c>
      <c r="P63" s="42" t="n">
        <f aca="false">IF($A63="","",IF(M63&gt;M62,1,0))</f>
        <v>1</v>
      </c>
      <c r="Q63" s="42" t="n">
        <f aca="false">IF($A63="","",IF(M63&lt;M62,1,0))</f>
        <v>0</v>
      </c>
      <c r="R63" s="42" t="n">
        <f aca="false">IF($A63="","",IF(H63&gt;H62,1,0))</f>
        <v>1</v>
      </c>
      <c r="S63" s="42" t="n">
        <f aca="false">IF($A63="","",IF(M63&gt;M62,1,0))</f>
        <v>1</v>
      </c>
      <c r="T63" s="42" t="n">
        <f aca="false">IF($A63="","",IF(M63&lt;M62,1,0))</f>
        <v>0</v>
      </c>
      <c r="U63" s="42" t="n">
        <f aca="false">IF($A63="","",IF(AND(N63=1,P63=1),1,IF(AND(O63=1,Q63=1),-1,0)))</f>
        <v>1</v>
      </c>
    </row>
    <row r="64" customFormat="false" ht="15" hidden="false" customHeight="false" outlineLevel="0" collapsed="false">
      <c r="A64" s="39" t="n">
        <f aca="false">IF(A63="","",IF(_xlfn.MINIFS(日线!$G$5:$G$310,日线!$G$5:$G$310,"&gt;"&amp;A63)=0,"",_xlfn.MINIFS(日线!$G$5:$G$310,日线!$G$5:$G$310,"&gt;"&amp;A63)))</f>
        <v>46069</v>
      </c>
      <c r="B64" s="40" t="n">
        <f aca="false">IF($A64="","",INDEX(日线!$B$5:$B$310,MATCH($A64,日线!$G$5:$G$310,0)))</f>
        <v>31.1</v>
      </c>
      <c r="C64" s="40" t="n">
        <f aca="false">IF($A64="","",_xlfn.MAXIFS(日线!$C$5:$C$310,日线!$G$5:$G$310,$A64))</f>
        <v>31.27</v>
      </c>
      <c r="D64" s="40" t="n">
        <f aca="false">IF($A64="","",_xlfn.MINIFS(日线!$D$5:$D$310,日线!$G$5:$G$310,$A64))</f>
        <v>30.25</v>
      </c>
      <c r="E64" s="40" t="n">
        <f aca="false">IF($A64="","",INDEX(日线!$E$5:$E$310,MATCH($A64,日线!$G$5:$G$310,1)))</f>
        <v>30.49</v>
      </c>
      <c r="F64" s="44" t="n">
        <f aca="false">IF($A64="","",SUMIFS(日线!$F$5:$F$310,日线!$G$5:$G$310,$A64))</f>
        <v>15912100</v>
      </c>
      <c r="G64" s="40" t="n">
        <f aca="false">IF($A64="","",2/(p_EmaF+1)*E64+(1-2/(p_EmaF+1))*G63)</f>
        <v>28.9991351713613</v>
      </c>
      <c r="H64" s="40" t="n">
        <f aca="false">IF($A64="","",2/(p_EmaS+1)*E64+(1-2/(p_EmaS+1))*H63)</f>
        <v>27.9455526418332</v>
      </c>
      <c r="I64" s="41" t="n">
        <f aca="false">IF($A64="","",2/(p_MacdF+1)*E64+(1-2/(p_MacdF+1))*I63)</f>
        <v>29.0683476259284</v>
      </c>
      <c r="J64" s="41" t="n">
        <f aca="false">IF($A64="","",2/(p_MacdS+1)*E64+(1-2/(p_MacdS+1))*J63)</f>
        <v>27.9455526418332</v>
      </c>
      <c r="K64" s="41" t="n">
        <f aca="false">IF($A64="","",I64-J64)</f>
        <v>1.12279498409524</v>
      </c>
      <c r="L64" s="41" t="n">
        <f aca="false">IF($A64="","",2/(p_MacdSig+1)*K64+(1-2/(p_MacdSig+1))*L63)</f>
        <v>1.21611147977615</v>
      </c>
      <c r="M64" s="41" t="n">
        <f aca="false">IF($A64="","",K64-L64)</f>
        <v>-0.0933164956809023</v>
      </c>
      <c r="N64" s="42" t="n">
        <f aca="false">IF($A64="","",IF(G64&gt;G63,1,0))</f>
        <v>1</v>
      </c>
      <c r="O64" s="42" t="n">
        <f aca="false">IF($A64="","",IF(G64&lt;G63,1,0))</f>
        <v>0</v>
      </c>
      <c r="P64" s="42" t="n">
        <f aca="false">IF($A64="","",IF(M64&gt;M63,1,0))</f>
        <v>1</v>
      </c>
      <c r="Q64" s="42" t="n">
        <f aca="false">IF($A64="","",IF(M64&lt;M63,1,0))</f>
        <v>0</v>
      </c>
      <c r="R64" s="42" t="n">
        <f aca="false">IF($A64="","",IF(H64&gt;H63,1,0))</f>
        <v>1</v>
      </c>
      <c r="S64" s="42" t="n">
        <f aca="false">IF($A64="","",IF(M64&gt;M63,1,0))</f>
        <v>1</v>
      </c>
      <c r="T64" s="42" t="n">
        <f aca="false">IF($A64="","",IF(M64&lt;M63,1,0))</f>
        <v>0</v>
      </c>
      <c r="U64" s="42" t="n">
        <f aca="false">IF($A64="","",IF(AND(N64=1,P64=1),1,IF(AND(O64=1,Q64=1),-1,0)))</f>
        <v>1</v>
      </c>
    </row>
    <row r="65" customFormat="false" ht="15" hidden="false" customHeight="false" outlineLevel="0" collapsed="false">
      <c r="A65" s="39" t="n">
        <f aca="false">IF(A64="","",IF(_xlfn.MINIFS(日线!$G$5:$G$310,日线!$G$5:$G$310,"&gt;"&amp;A64)=0,"",_xlfn.MINIFS(日线!$G$5:$G$310,日线!$G$5:$G$310,"&gt;"&amp;A64)))</f>
        <v>46076</v>
      </c>
      <c r="B65" s="40" t="n">
        <f aca="false">IF($A65="","",INDEX(日线!$B$5:$B$310,MATCH($A65,日线!$G$5:$G$310,0)))</f>
        <v>30.58</v>
      </c>
      <c r="C65" s="40" t="n">
        <f aca="false">IF($A65="","",_xlfn.MAXIFS(日线!$C$5:$C$310,日线!$G$5:$G$310,$A65))</f>
        <v>30.65</v>
      </c>
      <c r="D65" s="40" t="n">
        <f aca="false">IF($A65="","",_xlfn.MINIFS(日线!$D$5:$D$310,日线!$G$5:$G$310,$A65))</f>
        <v>29.31</v>
      </c>
      <c r="E65" s="40" t="n">
        <f aca="false">IF($A65="","",INDEX(日线!$E$5:$E$310,MATCH($A65,日线!$G$5:$G$310,1)))</f>
        <v>29.91</v>
      </c>
      <c r="F65" s="44" t="n">
        <f aca="false">IF($A65="","",SUMIFS(日线!$F$5:$F$310,日线!$G$5:$G$310,$A65))</f>
        <v>18493400</v>
      </c>
      <c r="G65" s="40" t="n">
        <f aca="false">IF($A65="","",2/(p_EmaF+1)*E65+(1-2/(p_EmaF+1))*G64)</f>
        <v>29.1292587183097</v>
      </c>
      <c r="H65" s="40" t="n">
        <f aca="false">IF($A65="","",2/(p_EmaS+1)*E65+(1-2/(p_EmaS+1))*H64)</f>
        <v>28.0910672609567</v>
      </c>
      <c r="I65" s="41" t="n">
        <f aca="false">IF($A65="","",2/(p_MacdF+1)*E65+(1-2/(p_MacdF+1))*I64)</f>
        <v>29.1978326065548</v>
      </c>
      <c r="J65" s="41" t="n">
        <f aca="false">IF($A65="","",2/(p_MacdS+1)*E65+(1-2/(p_MacdS+1))*J64)</f>
        <v>28.0910672609567</v>
      </c>
      <c r="K65" s="41" t="n">
        <f aca="false">IF($A65="","",I65-J65)</f>
        <v>1.10676534559817</v>
      </c>
      <c r="L65" s="41" t="n">
        <f aca="false">IF($A65="","",2/(p_MacdSig+1)*K65+(1-2/(p_MacdSig+1))*L64)</f>
        <v>1.19424225294055</v>
      </c>
      <c r="M65" s="41" t="n">
        <f aca="false">IF($A65="","",K65-L65)</f>
        <v>-0.0874769073423807</v>
      </c>
      <c r="N65" s="42" t="n">
        <f aca="false">IF($A65="","",IF(G65&gt;G64,1,0))</f>
        <v>1</v>
      </c>
      <c r="O65" s="42" t="n">
        <f aca="false">IF($A65="","",IF(G65&lt;G64,1,0))</f>
        <v>0</v>
      </c>
      <c r="P65" s="42" t="n">
        <f aca="false">IF($A65="","",IF(M65&gt;M64,1,0))</f>
        <v>1</v>
      </c>
      <c r="Q65" s="42" t="n">
        <f aca="false">IF($A65="","",IF(M65&lt;M64,1,0))</f>
        <v>0</v>
      </c>
      <c r="R65" s="42" t="n">
        <f aca="false">IF($A65="","",IF(H65&gt;H64,1,0))</f>
        <v>1</v>
      </c>
      <c r="S65" s="42" t="n">
        <f aca="false">IF($A65="","",IF(M65&gt;M64,1,0))</f>
        <v>1</v>
      </c>
      <c r="T65" s="42" t="n">
        <f aca="false">IF($A65="","",IF(M65&lt;M64,1,0))</f>
        <v>0</v>
      </c>
      <c r="U65" s="42" t="n">
        <f aca="false">IF($A65="","",IF(AND(N65=1,P65=1),1,IF(AND(O65=1,Q65=1),-1,0)))</f>
        <v>1</v>
      </c>
    </row>
    <row r="66" customFormat="false" ht="15" hidden="false" customHeight="false" outlineLevel="0" collapsed="false">
      <c r="A66" s="39" t="n">
        <f aca="false">IF(A65="","",IF(_xlfn.MINIFS(日线!$G$5:$G$310,日线!$G$5:$G$310,"&gt;"&amp;A65)=0,"",_xlfn.MINIFS(日线!$G$5:$G$310,日线!$G$5:$G$310,"&gt;"&amp;A65)))</f>
        <v>46083</v>
      </c>
      <c r="B66" s="40" t="n">
        <f aca="false">IF($A66="","",INDEX(日线!$B$5:$B$310,MATCH($A66,日线!$G$5:$G$310,0)))</f>
        <v>30.15</v>
      </c>
      <c r="C66" s="40" t="n">
        <f aca="false">IF($A66="","",_xlfn.MAXIFS(日线!$C$5:$C$310,日线!$G$5:$G$310,$A66))</f>
        <v>30.3</v>
      </c>
      <c r="D66" s="40" t="n">
        <f aca="false">IF($A66="","",_xlfn.MINIFS(日线!$D$5:$D$310,日线!$G$5:$G$310,$A66))</f>
        <v>29.14</v>
      </c>
      <c r="E66" s="40" t="n">
        <f aca="false">IF($A66="","",INDEX(日线!$E$5:$E$310,MATCH($A66,日线!$G$5:$G$310,1)))</f>
        <v>29.69</v>
      </c>
      <c r="F66" s="44" t="n">
        <f aca="false">IF($A66="","",SUMIFS(日线!$F$5:$F$310,日线!$G$5:$G$310,$A66))</f>
        <v>14187600</v>
      </c>
      <c r="G66" s="40" t="n">
        <f aca="false">IF($A66="","",2/(p_EmaF+1)*E66+(1-2/(p_EmaF+1))*G65)</f>
        <v>29.209364615694</v>
      </c>
      <c r="H66" s="40" t="n">
        <f aca="false">IF($A66="","",2/(p_EmaS+1)*E66+(1-2/(p_EmaS+1))*H65)</f>
        <v>28.209506723108</v>
      </c>
      <c r="I66" s="41" t="n">
        <f aca="false">IF($A66="","",2/(p_MacdF+1)*E66+(1-2/(p_MacdF+1))*I65)</f>
        <v>29.2735506670849</v>
      </c>
      <c r="J66" s="41" t="n">
        <f aca="false">IF($A66="","",2/(p_MacdS+1)*E66+(1-2/(p_MacdS+1))*J65)</f>
        <v>28.209506723108</v>
      </c>
      <c r="K66" s="41" t="n">
        <f aca="false">IF($A66="","",I66-J66)</f>
        <v>1.06404394397684</v>
      </c>
      <c r="L66" s="41" t="n">
        <f aca="false">IF($A66="","",2/(p_MacdSig+1)*K66+(1-2/(p_MacdSig+1))*L65)</f>
        <v>1.16820259114781</v>
      </c>
      <c r="M66" s="41" t="n">
        <f aca="false">IF($A66="","",K66-L66)</f>
        <v>-0.10415864717097</v>
      </c>
      <c r="N66" s="42" t="n">
        <f aca="false">IF($A66="","",IF(G66&gt;G65,1,0))</f>
        <v>1</v>
      </c>
      <c r="O66" s="42" t="n">
        <f aca="false">IF($A66="","",IF(G66&lt;G65,1,0))</f>
        <v>0</v>
      </c>
      <c r="P66" s="42" t="n">
        <f aca="false">IF($A66="","",IF(M66&gt;M65,1,0))</f>
        <v>0</v>
      </c>
      <c r="Q66" s="42" t="n">
        <f aca="false">IF($A66="","",IF(M66&lt;M65,1,0))</f>
        <v>1</v>
      </c>
      <c r="R66" s="42" t="n">
        <f aca="false">IF($A66="","",IF(H66&gt;H65,1,0))</f>
        <v>1</v>
      </c>
      <c r="S66" s="42" t="n">
        <f aca="false">IF($A66="","",IF(M66&gt;M65,1,0))</f>
        <v>0</v>
      </c>
      <c r="T66" s="42" t="n">
        <f aca="false">IF($A66="","",IF(M66&lt;M65,1,0))</f>
        <v>1</v>
      </c>
      <c r="U66" s="42" t="n">
        <f aca="false">IF($A66="","",IF(AND(N66=1,P66=1),1,IF(AND(O66=1,Q66=1),-1,0)))</f>
        <v>0</v>
      </c>
    </row>
    <row r="67" customFormat="false" ht="15" hidden="false" customHeight="false" outlineLevel="0" collapsed="false">
      <c r="A67" s="39" t="str">
        <f aca="false">IF(A66="","",IF(_xlfn.MINIFS(日线!$G$5:$G$310,日线!$G$5:$G$310,"&gt;"&amp;A66)=0,"",_xlfn.MINIFS(日线!$G$5:$G$310,日线!$G$5:$G$310,"&gt;"&amp;A66)))</f>
        <v/>
      </c>
      <c r="B67" s="40" t="str">
        <f aca="false">IF($A67="","",INDEX(日线!$B$5:$B$310,MATCH($A67,日线!$G$5:$G$310,0)))</f>
        <v/>
      </c>
      <c r="C67" s="40" t="str">
        <f aca="false">IF($A67="","",_xlfn.MAXIFS(日线!$C$5:$C$310,日线!$G$5:$G$310,$A67))</f>
        <v/>
      </c>
      <c r="D67" s="40" t="str">
        <f aca="false">IF($A67="","",_xlfn.MINIFS(日线!$D$5:$D$310,日线!$G$5:$G$310,$A67))</f>
        <v/>
      </c>
      <c r="E67" s="40" t="str">
        <f aca="false">IF($A67="","",INDEX(日线!$E$5:$E$310,MATCH($A67,日线!$G$5:$G$310,1)))</f>
        <v/>
      </c>
      <c r="F67" s="44" t="str">
        <f aca="false">IF($A67="","",SUMIFS(日线!$F$5:$F$310,日线!$G$5:$G$310,$A67))</f>
        <v/>
      </c>
      <c r="G67" s="40" t="str">
        <f aca="false">IF($A67="","",2/(p_EmaF+1)*E67+(1-2/(p_EmaF+1))*G66)</f>
        <v/>
      </c>
      <c r="H67" s="40" t="str">
        <f aca="false">IF($A67="","",2/(p_EmaS+1)*E67+(1-2/(p_EmaS+1))*H66)</f>
        <v/>
      </c>
      <c r="I67" s="41" t="str">
        <f aca="false">IF($A67="","",2/(p_MacdF+1)*E67+(1-2/(p_MacdF+1))*I66)</f>
        <v/>
      </c>
      <c r="J67" s="41" t="str">
        <f aca="false">IF($A67="","",2/(p_MacdS+1)*E67+(1-2/(p_MacdS+1))*J66)</f>
        <v/>
      </c>
      <c r="K67" s="41" t="str">
        <f aca="false">IF($A67="","",I67-J67)</f>
        <v/>
      </c>
      <c r="L67" s="41" t="str">
        <f aca="false">IF($A67="","",2/(p_MacdSig+1)*K67+(1-2/(p_MacdSig+1))*L66)</f>
        <v/>
      </c>
      <c r="M67" s="41" t="str">
        <f aca="false">IF($A67="","",K67-L67)</f>
        <v/>
      </c>
      <c r="N67" s="42" t="str">
        <f aca="false">IF($A67="","",IF(G67&gt;G66,1,0))</f>
        <v/>
      </c>
      <c r="O67" s="42" t="str">
        <f aca="false">IF($A67="","",IF(G67&lt;G66,1,0))</f>
        <v/>
      </c>
      <c r="P67" s="42" t="str">
        <f aca="false">IF($A67="","",IF(M67&gt;M66,1,0))</f>
        <v/>
      </c>
      <c r="Q67" s="42" t="str">
        <f aca="false">IF($A67="","",IF(M67&lt;M66,1,0))</f>
        <v/>
      </c>
      <c r="R67" s="42" t="str">
        <f aca="false">IF($A67="","",IF(H67&gt;H66,1,0))</f>
        <v/>
      </c>
      <c r="S67" s="42" t="str">
        <f aca="false">IF($A67="","",IF(M67&gt;M66,1,0))</f>
        <v/>
      </c>
      <c r="T67" s="42" t="str">
        <f aca="false">IF($A67="","",IF(M67&lt;M66,1,0))</f>
        <v/>
      </c>
      <c r="U67" s="42" t="str">
        <f aca="false">IF($A67="","",IF(AND(N67=1,P67=1),1,IF(AND(O67=1,Q67=1),-1,0)))</f>
        <v/>
      </c>
    </row>
    <row r="68" customFormat="false" ht="15" hidden="false" customHeight="false" outlineLevel="0" collapsed="false">
      <c r="A68" s="39" t="str">
        <f aca="false">IF(A67="","",IF(_xlfn.MINIFS(日线!$G$5:$G$310,日线!$G$5:$G$310,"&gt;"&amp;A67)=0,"",_xlfn.MINIFS(日线!$G$5:$G$310,日线!$G$5:$G$310,"&gt;"&amp;A67)))</f>
        <v/>
      </c>
      <c r="B68" s="40" t="str">
        <f aca="false">IF($A68="","",INDEX(日线!$B$5:$B$310,MATCH($A68,日线!$G$5:$G$310,0)))</f>
        <v/>
      </c>
      <c r="C68" s="40" t="str">
        <f aca="false">IF($A68="","",_xlfn.MAXIFS(日线!$C$5:$C$310,日线!$G$5:$G$310,$A68))</f>
        <v/>
      </c>
      <c r="D68" s="40" t="str">
        <f aca="false">IF($A68="","",_xlfn.MINIFS(日线!$D$5:$D$310,日线!$G$5:$G$310,$A68))</f>
        <v/>
      </c>
      <c r="E68" s="40" t="str">
        <f aca="false">IF($A68="","",INDEX(日线!$E$5:$E$310,MATCH($A68,日线!$G$5:$G$310,1)))</f>
        <v/>
      </c>
      <c r="F68" s="44" t="str">
        <f aca="false">IF($A68="","",SUMIFS(日线!$F$5:$F$310,日线!$G$5:$G$310,$A68))</f>
        <v/>
      </c>
      <c r="G68" s="40" t="str">
        <f aca="false">IF($A68="","",2/(p_EmaF+1)*E68+(1-2/(p_EmaF+1))*G67)</f>
        <v/>
      </c>
      <c r="H68" s="40" t="str">
        <f aca="false">IF($A68="","",2/(p_EmaS+1)*E68+(1-2/(p_EmaS+1))*H67)</f>
        <v/>
      </c>
      <c r="I68" s="41" t="str">
        <f aca="false">IF($A68="","",2/(p_MacdF+1)*E68+(1-2/(p_MacdF+1))*I67)</f>
        <v/>
      </c>
      <c r="J68" s="41" t="str">
        <f aca="false">IF($A68="","",2/(p_MacdS+1)*E68+(1-2/(p_MacdS+1))*J67)</f>
        <v/>
      </c>
      <c r="K68" s="41" t="str">
        <f aca="false">IF($A68="","",I68-J68)</f>
        <v/>
      </c>
      <c r="L68" s="41" t="str">
        <f aca="false">IF($A68="","",2/(p_MacdSig+1)*K68+(1-2/(p_MacdSig+1))*L67)</f>
        <v/>
      </c>
      <c r="M68" s="41" t="str">
        <f aca="false">IF($A68="","",K68-L68)</f>
        <v/>
      </c>
      <c r="N68" s="42" t="str">
        <f aca="false">IF($A68="","",IF(G68&gt;G67,1,0))</f>
        <v/>
      </c>
      <c r="O68" s="42" t="str">
        <f aca="false">IF($A68="","",IF(G68&lt;G67,1,0))</f>
        <v/>
      </c>
      <c r="P68" s="42" t="str">
        <f aca="false">IF($A68="","",IF(M68&gt;M67,1,0))</f>
        <v/>
      </c>
      <c r="Q68" s="42" t="str">
        <f aca="false">IF($A68="","",IF(M68&lt;M67,1,0))</f>
        <v/>
      </c>
      <c r="R68" s="42" t="str">
        <f aca="false">IF($A68="","",IF(H68&gt;H67,1,0))</f>
        <v/>
      </c>
      <c r="S68" s="42" t="str">
        <f aca="false">IF($A68="","",IF(M68&gt;M67,1,0))</f>
        <v/>
      </c>
      <c r="T68" s="42" t="str">
        <f aca="false">IF($A68="","",IF(M68&lt;M67,1,0))</f>
        <v/>
      </c>
      <c r="U68" s="42" t="str">
        <f aca="false">IF($A68="","",IF(AND(N68=1,P68=1),1,IF(AND(O68=1,Q68=1),-1,0)))</f>
        <v/>
      </c>
    </row>
    <row r="69" customFormat="false" ht="15" hidden="false" customHeight="false" outlineLevel="0" collapsed="false">
      <c r="A69" s="39" t="str">
        <f aca="false">IF(A68="","",IF(_xlfn.MINIFS(日线!$G$5:$G$310,日线!$G$5:$G$310,"&gt;"&amp;A68)=0,"",_xlfn.MINIFS(日线!$G$5:$G$310,日线!$G$5:$G$310,"&gt;"&amp;A68)))</f>
        <v/>
      </c>
      <c r="B69" s="40" t="str">
        <f aca="false">IF($A69="","",INDEX(日线!$B$5:$B$310,MATCH($A69,日线!$G$5:$G$310,0)))</f>
        <v/>
      </c>
      <c r="C69" s="40" t="str">
        <f aca="false">IF($A69="","",_xlfn.MAXIFS(日线!$C$5:$C$310,日线!$G$5:$G$310,$A69))</f>
        <v/>
      </c>
      <c r="D69" s="40" t="str">
        <f aca="false">IF($A69="","",_xlfn.MINIFS(日线!$D$5:$D$310,日线!$G$5:$G$310,$A69))</f>
        <v/>
      </c>
      <c r="E69" s="40" t="str">
        <f aca="false">IF($A69="","",INDEX(日线!$E$5:$E$310,MATCH($A69,日线!$G$5:$G$310,1)))</f>
        <v/>
      </c>
      <c r="F69" s="44" t="str">
        <f aca="false">IF($A69="","",SUMIFS(日线!$F$5:$F$310,日线!$G$5:$G$310,$A69))</f>
        <v/>
      </c>
      <c r="G69" s="40" t="str">
        <f aca="false">IF($A69="","",2/(p_EmaF+1)*E69+(1-2/(p_EmaF+1))*G68)</f>
        <v/>
      </c>
      <c r="H69" s="40" t="str">
        <f aca="false">IF($A69="","",2/(p_EmaS+1)*E69+(1-2/(p_EmaS+1))*H68)</f>
        <v/>
      </c>
      <c r="I69" s="41" t="str">
        <f aca="false">IF($A69="","",2/(p_MacdF+1)*E69+(1-2/(p_MacdF+1))*I68)</f>
        <v/>
      </c>
      <c r="J69" s="41" t="str">
        <f aca="false">IF($A69="","",2/(p_MacdS+1)*E69+(1-2/(p_MacdS+1))*J68)</f>
        <v/>
      </c>
      <c r="K69" s="41" t="str">
        <f aca="false">IF($A69="","",I69-J69)</f>
        <v/>
      </c>
      <c r="L69" s="41" t="str">
        <f aca="false">IF($A69="","",2/(p_MacdSig+1)*K69+(1-2/(p_MacdSig+1))*L68)</f>
        <v/>
      </c>
      <c r="M69" s="41" t="str">
        <f aca="false">IF($A69="","",K69-L69)</f>
        <v/>
      </c>
      <c r="N69" s="42" t="str">
        <f aca="false">IF($A69="","",IF(G69&gt;G68,1,0))</f>
        <v/>
      </c>
      <c r="O69" s="42" t="str">
        <f aca="false">IF($A69="","",IF(G69&lt;G68,1,0))</f>
        <v/>
      </c>
      <c r="P69" s="42" t="str">
        <f aca="false">IF($A69="","",IF(M69&gt;M68,1,0))</f>
        <v/>
      </c>
      <c r="Q69" s="42" t="str">
        <f aca="false">IF($A69="","",IF(M69&lt;M68,1,0))</f>
        <v/>
      </c>
      <c r="R69" s="42" t="str">
        <f aca="false">IF($A69="","",IF(H69&gt;H68,1,0))</f>
        <v/>
      </c>
      <c r="S69" s="42" t="str">
        <f aca="false">IF($A69="","",IF(M69&gt;M68,1,0))</f>
        <v/>
      </c>
      <c r="T69" s="42" t="str">
        <f aca="false">IF($A69="","",IF(M69&lt;M68,1,0))</f>
        <v/>
      </c>
      <c r="U69" s="42" t="str">
        <f aca="false">IF($A69="","",IF(AND(N69=1,P69=1),1,IF(AND(O69=1,Q69=1),-1,0)))</f>
        <v/>
      </c>
    </row>
    <row r="70" customFormat="false" ht="15" hidden="false" customHeight="false" outlineLevel="0" collapsed="false">
      <c r="A70" s="39" t="str">
        <f aca="false">IF(A69="","",IF(_xlfn.MINIFS(日线!$G$5:$G$310,日线!$G$5:$G$310,"&gt;"&amp;A69)=0,"",_xlfn.MINIFS(日线!$G$5:$G$310,日线!$G$5:$G$310,"&gt;"&amp;A69)))</f>
        <v/>
      </c>
      <c r="B70" s="40" t="str">
        <f aca="false">IF($A70="","",INDEX(日线!$B$5:$B$310,MATCH($A70,日线!$G$5:$G$310,0)))</f>
        <v/>
      </c>
      <c r="C70" s="40" t="str">
        <f aca="false">IF($A70="","",_xlfn.MAXIFS(日线!$C$5:$C$310,日线!$G$5:$G$310,$A70))</f>
        <v/>
      </c>
      <c r="D70" s="40" t="str">
        <f aca="false">IF($A70="","",_xlfn.MINIFS(日线!$D$5:$D$310,日线!$G$5:$G$310,$A70))</f>
        <v/>
      </c>
      <c r="E70" s="40" t="str">
        <f aca="false">IF($A70="","",INDEX(日线!$E$5:$E$310,MATCH($A70,日线!$G$5:$G$310,1)))</f>
        <v/>
      </c>
      <c r="F70" s="44" t="str">
        <f aca="false">IF($A70="","",SUMIFS(日线!$F$5:$F$310,日线!$G$5:$G$310,$A70))</f>
        <v/>
      </c>
      <c r="G70" s="40" t="str">
        <f aca="false">IF($A70="","",2/(p_EmaF+1)*E70+(1-2/(p_EmaF+1))*G69)</f>
        <v/>
      </c>
      <c r="H70" s="40" t="str">
        <f aca="false">IF($A70="","",2/(p_EmaS+1)*E70+(1-2/(p_EmaS+1))*H69)</f>
        <v/>
      </c>
      <c r="I70" s="41" t="str">
        <f aca="false">IF($A70="","",2/(p_MacdF+1)*E70+(1-2/(p_MacdF+1))*I69)</f>
        <v/>
      </c>
      <c r="J70" s="41" t="str">
        <f aca="false">IF($A70="","",2/(p_MacdS+1)*E70+(1-2/(p_MacdS+1))*J69)</f>
        <v/>
      </c>
      <c r="K70" s="41" t="str">
        <f aca="false">IF($A70="","",I70-J70)</f>
        <v/>
      </c>
      <c r="L70" s="41" t="str">
        <f aca="false">IF($A70="","",2/(p_MacdSig+1)*K70+(1-2/(p_MacdSig+1))*L69)</f>
        <v/>
      </c>
      <c r="M70" s="41" t="str">
        <f aca="false">IF($A70="","",K70-L70)</f>
        <v/>
      </c>
      <c r="N70" s="42" t="str">
        <f aca="false">IF($A70="","",IF(G70&gt;G69,1,0))</f>
        <v/>
      </c>
      <c r="O70" s="42" t="str">
        <f aca="false">IF($A70="","",IF(G70&lt;G69,1,0))</f>
        <v/>
      </c>
      <c r="P70" s="42" t="str">
        <f aca="false">IF($A70="","",IF(M70&gt;M69,1,0))</f>
        <v/>
      </c>
      <c r="Q70" s="42" t="str">
        <f aca="false">IF($A70="","",IF(M70&lt;M69,1,0))</f>
        <v/>
      </c>
      <c r="R70" s="42" t="str">
        <f aca="false">IF($A70="","",IF(H70&gt;H69,1,0))</f>
        <v/>
      </c>
      <c r="S70" s="42" t="str">
        <f aca="false">IF($A70="","",IF(M70&gt;M69,1,0))</f>
        <v/>
      </c>
      <c r="T70" s="42" t="str">
        <f aca="false">IF($A70="","",IF(M70&lt;M69,1,0))</f>
        <v/>
      </c>
      <c r="U70" s="42" t="str">
        <f aca="false">IF($A70="","",IF(AND(N70=1,P70=1),1,IF(AND(O70=1,Q70=1),-1,0)))</f>
        <v/>
      </c>
    </row>
    <row r="71" customFormat="false" ht="15" hidden="false" customHeight="false" outlineLevel="0" collapsed="false">
      <c r="A71" s="39" t="str">
        <f aca="false">IF(A70="","",IF(_xlfn.MINIFS(日线!$G$5:$G$310,日线!$G$5:$G$310,"&gt;"&amp;A70)=0,"",_xlfn.MINIFS(日线!$G$5:$G$310,日线!$G$5:$G$310,"&gt;"&amp;A70)))</f>
        <v/>
      </c>
      <c r="B71" s="40" t="str">
        <f aca="false">IF($A71="","",INDEX(日线!$B$5:$B$310,MATCH($A71,日线!$G$5:$G$310,0)))</f>
        <v/>
      </c>
      <c r="C71" s="40" t="str">
        <f aca="false">IF($A71="","",_xlfn.MAXIFS(日线!$C$5:$C$310,日线!$G$5:$G$310,$A71))</f>
        <v/>
      </c>
      <c r="D71" s="40" t="str">
        <f aca="false">IF($A71="","",_xlfn.MINIFS(日线!$D$5:$D$310,日线!$G$5:$G$310,$A71))</f>
        <v/>
      </c>
      <c r="E71" s="40" t="str">
        <f aca="false">IF($A71="","",INDEX(日线!$E$5:$E$310,MATCH($A71,日线!$G$5:$G$310,1)))</f>
        <v/>
      </c>
      <c r="F71" s="44" t="str">
        <f aca="false">IF($A71="","",SUMIFS(日线!$F$5:$F$310,日线!$G$5:$G$310,$A71))</f>
        <v/>
      </c>
      <c r="G71" s="40" t="str">
        <f aca="false">IF($A71="","",2/(p_EmaF+1)*E71+(1-2/(p_EmaF+1))*G70)</f>
        <v/>
      </c>
      <c r="H71" s="40" t="str">
        <f aca="false">IF($A71="","",2/(p_EmaS+1)*E71+(1-2/(p_EmaS+1))*H70)</f>
        <v/>
      </c>
      <c r="I71" s="41" t="str">
        <f aca="false">IF($A71="","",2/(p_MacdF+1)*E71+(1-2/(p_MacdF+1))*I70)</f>
        <v/>
      </c>
      <c r="J71" s="41" t="str">
        <f aca="false">IF($A71="","",2/(p_MacdS+1)*E71+(1-2/(p_MacdS+1))*J70)</f>
        <v/>
      </c>
      <c r="K71" s="41" t="str">
        <f aca="false">IF($A71="","",I71-J71)</f>
        <v/>
      </c>
      <c r="L71" s="41" t="str">
        <f aca="false">IF($A71="","",2/(p_MacdSig+1)*K71+(1-2/(p_MacdSig+1))*L70)</f>
        <v/>
      </c>
      <c r="M71" s="41" t="str">
        <f aca="false">IF($A71="","",K71-L71)</f>
        <v/>
      </c>
      <c r="N71" s="42" t="str">
        <f aca="false">IF($A71="","",IF(G71&gt;G70,1,0))</f>
        <v/>
      </c>
      <c r="O71" s="42" t="str">
        <f aca="false">IF($A71="","",IF(G71&lt;G70,1,0))</f>
        <v/>
      </c>
      <c r="P71" s="42" t="str">
        <f aca="false">IF($A71="","",IF(M71&gt;M70,1,0))</f>
        <v/>
      </c>
      <c r="Q71" s="42" t="str">
        <f aca="false">IF($A71="","",IF(M71&lt;M70,1,0))</f>
        <v/>
      </c>
      <c r="R71" s="42" t="str">
        <f aca="false">IF($A71="","",IF(H71&gt;H70,1,0))</f>
        <v/>
      </c>
      <c r="S71" s="42" t="str">
        <f aca="false">IF($A71="","",IF(M71&gt;M70,1,0))</f>
        <v/>
      </c>
      <c r="T71" s="42" t="str">
        <f aca="false">IF($A71="","",IF(M71&lt;M70,1,0))</f>
        <v/>
      </c>
      <c r="U71" s="42" t="str">
        <f aca="false">IF($A71="","",IF(AND(N71=1,P71=1),1,IF(AND(O71=1,Q71=1),-1,0)))</f>
        <v/>
      </c>
    </row>
    <row r="72" customFormat="false" ht="15" hidden="false" customHeight="false" outlineLevel="0" collapsed="false">
      <c r="A72" s="39" t="str">
        <f aca="false">IF(A71="","",IF(_xlfn.MINIFS(日线!$G$5:$G$310,日线!$G$5:$G$310,"&gt;"&amp;A71)=0,"",_xlfn.MINIFS(日线!$G$5:$G$310,日线!$G$5:$G$310,"&gt;"&amp;A71)))</f>
        <v/>
      </c>
      <c r="B72" s="40" t="str">
        <f aca="false">IF($A72="","",INDEX(日线!$B$5:$B$310,MATCH($A72,日线!$G$5:$G$310,0)))</f>
        <v/>
      </c>
      <c r="C72" s="40" t="str">
        <f aca="false">IF($A72="","",_xlfn.MAXIFS(日线!$C$5:$C$310,日线!$G$5:$G$310,$A72))</f>
        <v/>
      </c>
      <c r="D72" s="40" t="str">
        <f aca="false">IF($A72="","",_xlfn.MINIFS(日线!$D$5:$D$310,日线!$G$5:$G$310,$A72))</f>
        <v/>
      </c>
      <c r="E72" s="40" t="str">
        <f aca="false">IF($A72="","",INDEX(日线!$E$5:$E$310,MATCH($A72,日线!$G$5:$G$310,1)))</f>
        <v/>
      </c>
      <c r="F72" s="44" t="str">
        <f aca="false">IF($A72="","",SUMIFS(日线!$F$5:$F$310,日线!$G$5:$G$310,$A72))</f>
        <v/>
      </c>
      <c r="G72" s="40" t="str">
        <f aca="false">IF($A72="","",2/(p_EmaF+1)*E72+(1-2/(p_EmaF+1))*G71)</f>
        <v/>
      </c>
      <c r="H72" s="40" t="str">
        <f aca="false">IF($A72="","",2/(p_EmaS+1)*E72+(1-2/(p_EmaS+1))*H71)</f>
        <v/>
      </c>
      <c r="I72" s="41" t="str">
        <f aca="false">IF($A72="","",2/(p_MacdF+1)*E72+(1-2/(p_MacdF+1))*I71)</f>
        <v/>
      </c>
      <c r="J72" s="41" t="str">
        <f aca="false">IF($A72="","",2/(p_MacdS+1)*E72+(1-2/(p_MacdS+1))*J71)</f>
        <v/>
      </c>
      <c r="K72" s="41" t="str">
        <f aca="false">IF($A72="","",I72-J72)</f>
        <v/>
      </c>
      <c r="L72" s="41" t="str">
        <f aca="false">IF($A72="","",2/(p_MacdSig+1)*K72+(1-2/(p_MacdSig+1))*L71)</f>
        <v/>
      </c>
      <c r="M72" s="41" t="str">
        <f aca="false">IF($A72="","",K72-L72)</f>
        <v/>
      </c>
      <c r="N72" s="42" t="str">
        <f aca="false">IF($A72="","",IF(G72&gt;G71,1,0))</f>
        <v/>
      </c>
      <c r="O72" s="42" t="str">
        <f aca="false">IF($A72="","",IF(G72&lt;G71,1,0))</f>
        <v/>
      </c>
      <c r="P72" s="42" t="str">
        <f aca="false">IF($A72="","",IF(M72&gt;M71,1,0))</f>
        <v/>
      </c>
      <c r="Q72" s="42" t="str">
        <f aca="false">IF($A72="","",IF(M72&lt;M71,1,0))</f>
        <v/>
      </c>
      <c r="R72" s="42" t="str">
        <f aca="false">IF($A72="","",IF(H72&gt;H71,1,0))</f>
        <v/>
      </c>
      <c r="S72" s="42" t="str">
        <f aca="false">IF($A72="","",IF(M72&gt;M71,1,0))</f>
        <v/>
      </c>
      <c r="T72" s="42" t="str">
        <f aca="false">IF($A72="","",IF(M72&lt;M71,1,0))</f>
        <v/>
      </c>
      <c r="U72" s="42" t="str">
        <f aca="false">IF($A72="","",IF(AND(N72=1,P72=1),1,IF(AND(O72=1,Q72=1),-1,0)))</f>
        <v/>
      </c>
    </row>
    <row r="73" customFormat="false" ht="15" hidden="false" customHeight="false" outlineLevel="0" collapsed="false">
      <c r="A73" s="39" t="str">
        <f aca="false">IF(A72="","",IF(_xlfn.MINIFS(日线!$G$5:$G$310,日线!$G$5:$G$310,"&gt;"&amp;A72)=0,"",_xlfn.MINIFS(日线!$G$5:$G$310,日线!$G$5:$G$310,"&gt;"&amp;A72)))</f>
        <v/>
      </c>
      <c r="B73" s="40" t="str">
        <f aca="false">IF($A73="","",INDEX(日线!$B$5:$B$310,MATCH($A73,日线!$G$5:$G$310,0)))</f>
        <v/>
      </c>
      <c r="C73" s="40" t="str">
        <f aca="false">IF($A73="","",_xlfn.MAXIFS(日线!$C$5:$C$310,日线!$G$5:$G$310,$A73))</f>
        <v/>
      </c>
      <c r="D73" s="40" t="str">
        <f aca="false">IF($A73="","",_xlfn.MINIFS(日线!$D$5:$D$310,日线!$G$5:$G$310,$A73))</f>
        <v/>
      </c>
      <c r="E73" s="40" t="str">
        <f aca="false">IF($A73="","",INDEX(日线!$E$5:$E$310,MATCH($A73,日线!$G$5:$G$310,1)))</f>
        <v/>
      </c>
      <c r="F73" s="44" t="str">
        <f aca="false">IF($A73="","",SUMIFS(日线!$F$5:$F$310,日线!$G$5:$G$310,$A73))</f>
        <v/>
      </c>
      <c r="G73" s="40" t="str">
        <f aca="false">IF($A73="","",2/(p_EmaF+1)*E73+(1-2/(p_EmaF+1))*G72)</f>
        <v/>
      </c>
      <c r="H73" s="40" t="str">
        <f aca="false">IF($A73="","",2/(p_EmaS+1)*E73+(1-2/(p_EmaS+1))*H72)</f>
        <v/>
      </c>
      <c r="I73" s="41" t="str">
        <f aca="false">IF($A73="","",2/(p_MacdF+1)*E73+(1-2/(p_MacdF+1))*I72)</f>
        <v/>
      </c>
      <c r="J73" s="41" t="str">
        <f aca="false">IF($A73="","",2/(p_MacdS+1)*E73+(1-2/(p_MacdS+1))*J72)</f>
        <v/>
      </c>
      <c r="K73" s="41" t="str">
        <f aca="false">IF($A73="","",I73-J73)</f>
        <v/>
      </c>
      <c r="L73" s="41" t="str">
        <f aca="false">IF($A73="","",2/(p_MacdSig+1)*K73+(1-2/(p_MacdSig+1))*L72)</f>
        <v/>
      </c>
      <c r="M73" s="41" t="str">
        <f aca="false">IF($A73="","",K73-L73)</f>
        <v/>
      </c>
      <c r="N73" s="42" t="str">
        <f aca="false">IF($A73="","",IF(G73&gt;G72,1,0))</f>
        <v/>
      </c>
      <c r="O73" s="42" t="str">
        <f aca="false">IF($A73="","",IF(G73&lt;G72,1,0))</f>
        <v/>
      </c>
      <c r="P73" s="42" t="str">
        <f aca="false">IF($A73="","",IF(M73&gt;M72,1,0))</f>
        <v/>
      </c>
      <c r="Q73" s="42" t="str">
        <f aca="false">IF($A73="","",IF(M73&lt;M72,1,0))</f>
        <v/>
      </c>
      <c r="R73" s="42" t="str">
        <f aca="false">IF($A73="","",IF(H73&gt;H72,1,0))</f>
        <v/>
      </c>
      <c r="S73" s="42" t="str">
        <f aca="false">IF($A73="","",IF(M73&gt;M72,1,0))</f>
        <v/>
      </c>
      <c r="T73" s="42" t="str">
        <f aca="false">IF($A73="","",IF(M73&lt;M72,1,0))</f>
        <v/>
      </c>
      <c r="U73" s="42" t="str">
        <f aca="false">IF($A73="","",IF(AND(N73=1,P73=1),1,IF(AND(O73=1,Q73=1),-1,0)))</f>
        <v/>
      </c>
    </row>
    <row r="74" customFormat="false" ht="15" hidden="false" customHeight="false" outlineLevel="0" collapsed="false">
      <c r="A74" s="39" t="str">
        <f aca="false">IF(A73="","",IF(_xlfn.MINIFS(日线!$G$5:$G$310,日线!$G$5:$G$310,"&gt;"&amp;A73)=0,"",_xlfn.MINIFS(日线!$G$5:$G$310,日线!$G$5:$G$310,"&gt;"&amp;A73)))</f>
        <v/>
      </c>
      <c r="B74" s="40" t="str">
        <f aca="false">IF($A74="","",INDEX(日线!$B$5:$B$310,MATCH($A74,日线!$G$5:$G$310,0)))</f>
        <v/>
      </c>
      <c r="C74" s="40" t="str">
        <f aca="false">IF($A74="","",_xlfn.MAXIFS(日线!$C$5:$C$310,日线!$G$5:$G$310,$A74))</f>
        <v/>
      </c>
      <c r="D74" s="40" t="str">
        <f aca="false">IF($A74="","",_xlfn.MINIFS(日线!$D$5:$D$310,日线!$G$5:$G$310,$A74))</f>
        <v/>
      </c>
      <c r="E74" s="40" t="str">
        <f aca="false">IF($A74="","",INDEX(日线!$E$5:$E$310,MATCH($A74,日线!$G$5:$G$310,1)))</f>
        <v/>
      </c>
      <c r="F74" s="44" t="str">
        <f aca="false">IF($A74="","",SUMIFS(日线!$F$5:$F$310,日线!$G$5:$G$310,$A74))</f>
        <v/>
      </c>
      <c r="G74" s="40" t="str">
        <f aca="false">IF($A74="","",2/(p_EmaF+1)*E74+(1-2/(p_EmaF+1))*G73)</f>
        <v/>
      </c>
      <c r="H74" s="40" t="str">
        <f aca="false">IF($A74="","",2/(p_EmaS+1)*E74+(1-2/(p_EmaS+1))*H73)</f>
        <v/>
      </c>
      <c r="I74" s="41" t="str">
        <f aca="false">IF($A74="","",2/(p_MacdF+1)*E74+(1-2/(p_MacdF+1))*I73)</f>
        <v/>
      </c>
      <c r="J74" s="41" t="str">
        <f aca="false">IF($A74="","",2/(p_MacdS+1)*E74+(1-2/(p_MacdS+1))*J73)</f>
        <v/>
      </c>
      <c r="K74" s="41" t="str">
        <f aca="false">IF($A74="","",I74-J74)</f>
        <v/>
      </c>
      <c r="L74" s="41" t="str">
        <f aca="false">IF($A74="","",2/(p_MacdSig+1)*K74+(1-2/(p_MacdSig+1))*L73)</f>
        <v/>
      </c>
      <c r="M74" s="41" t="str">
        <f aca="false">IF($A74="","",K74-L74)</f>
        <v/>
      </c>
      <c r="N74" s="42" t="str">
        <f aca="false">IF($A74="","",IF(G74&gt;G73,1,0))</f>
        <v/>
      </c>
      <c r="O74" s="42" t="str">
        <f aca="false">IF($A74="","",IF(G74&lt;G73,1,0))</f>
        <v/>
      </c>
      <c r="P74" s="42" t="str">
        <f aca="false">IF($A74="","",IF(M74&gt;M73,1,0))</f>
        <v/>
      </c>
      <c r="Q74" s="42" t="str">
        <f aca="false">IF($A74="","",IF(M74&lt;M73,1,0))</f>
        <v/>
      </c>
      <c r="R74" s="42" t="str">
        <f aca="false">IF($A74="","",IF(H74&gt;H73,1,0))</f>
        <v/>
      </c>
      <c r="S74" s="42" t="str">
        <f aca="false">IF($A74="","",IF(M74&gt;M73,1,0))</f>
        <v/>
      </c>
      <c r="T74" s="42" t="str">
        <f aca="false">IF($A74="","",IF(M74&lt;M73,1,0))</f>
        <v/>
      </c>
      <c r="U74" s="42" t="str">
        <f aca="false">IF($A74="","",IF(AND(N74=1,P74=1),1,IF(AND(O74=1,Q74=1),-1,0)))</f>
        <v/>
      </c>
    </row>
    <row r="75" customFormat="false" ht="15" hidden="false" customHeight="false" outlineLevel="0" collapsed="false">
      <c r="A75" s="39" t="str">
        <f aca="false">IF(A74="","",IF(_xlfn.MINIFS(日线!$G$5:$G$310,日线!$G$5:$G$310,"&gt;"&amp;A74)=0,"",_xlfn.MINIFS(日线!$G$5:$G$310,日线!$G$5:$G$310,"&gt;"&amp;A74)))</f>
        <v/>
      </c>
      <c r="B75" s="40" t="str">
        <f aca="false">IF($A75="","",INDEX(日线!$B$5:$B$310,MATCH($A75,日线!$G$5:$G$310,0)))</f>
        <v/>
      </c>
      <c r="C75" s="40" t="str">
        <f aca="false">IF($A75="","",_xlfn.MAXIFS(日线!$C$5:$C$310,日线!$G$5:$G$310,$A75))</f>
        <v/>
      </c>
      <c r="D75" s="40" t="str">
        <f aca="false">IF($A75="","",_xlfn.MINIFS(日线!$D$5:$D$310,日线!$G$5:$G$310,$A75))</f>
        <v/>
      </c>
      <c r="E75" s="40" t="str">
        <f aca="false">IF($A75="","",INDEX(日线!$E$5:$E$310,MATCH($A75,日线!$G$5:$G$310,1)))</f>
        <v/>
      </c>
      <c r="F75" s="44" t="str">
        <f aca="false">IF($A75="","",SUMIFS(日线!$F$5:$F$310,日线!$G$5:$G$310,$A75))</f>
        <v/>
      </c>
      <c r="G75" s="40" t="str">
        <f aca="false">IF($A75="","",2/(p_EmaF+1)*E75+(1-2/(p_EmaF+1))*G74)</f>
        <v/>
      </c>
      <c r="H75" s="40" t="str">
        <f aca="false">IF($A75="","",2/(p_EmaS+1)*E75+(1-2/(p_EmaS+1))*H74)</f>
        <v/>
      </c>
      <c r="I75" s="41" t="str">
        <f aca="false">IF($A75="","",2/(p_MacdF+1)*E75+(1-2/(p_MacdF+1))*I74)</f>
        <v/>
      </c>
      <c r="J75" s="41" t="str">
        <f aca="false">IF($A75="","",2/(p_MacdS+1)*E75+(1-2/(p_MacdS+1))*J74)</f>
        <v/>
      </c>
      <c r="K75" s="41" t="str">
        <f aca="false">IF($A75="","",I75-J75)</f>
        <v/>
      </c>
      <c r="L75" s="41" t="str">
        <f aca="false">IF($A75="","",2/(p_MacdSig+1)*K75+(1-2/(p_MacdSig+1))*L74)</f>
        <v/>
      </c>
      <c r="M75" s="41" t="str">
        <f aca="false">IF($A75="","",K75-L75)</f>
        <v/>
      </c>
      <c r="N75" s="42" t="str">
        <f aca="false">IF($A75="","",IF(G75&gt;G74,1,0))</f>
        <v/>
      </c>
      <c r="O75" s="42" t="str">
        <f aca="false">IF($A75="","",IF(G75&lt;G74,1,0))</f>
        <v/>
      </c>
      <c r="P75" s="42" t="str">
        <f aca="false">IF($A75="","",IF(M75&gt;M74,1,0))</f>
        <v/>
      </c>
      <c r="Q75" s="42" t="str">
        <f aca="false">IF($A75="","",IF(M75&lt;M74,1,0))</f>
        <v/>
      </c>
      <c r="R75" s="42" t="str">
        <f aca="false">IF($A75="","",IF(H75&gt;H74,1,0))</f>
        <v/>
      </c>
      <c r="S75" s="42" t="str">
        <f aca="false">IF($A75="","",IF(M75&gt;M74,1,0))</f>
        <v/>
      </c>
      <c r="T75" s="42" t="str">
        <f aca="false">IF($A75="","",IF(M75&lt;M74,1,0))</f>
        <v/>
      </c>
      <c r="U75" s="42" t="str">
        <f aca="false">IF($A75="","",IF(AND(N75=1,P75=1),1,IF(AND(O75=1,Q75=1),-1,0)))</f>
        <v/>
      </c>
    </row>
    <row r="76" customFormat="false" ht="15" hidden="false" customHeight="false" outlineLevel="0" collapsed="false">
      <c r="A76" s="39" t="str">
        <f aca="false">IF(A75="","",IF(_xlfn.MINIFS(日线!$G$5:$G$310,日线!$G$5:$G$310,"&gt;"&amp;A75)=0,"",_xlfn.MINIFS(日线!$G$5:$G$310,日线!$G$5:$G$310,"&gt;"&amp;A75)))</f>
        <v/>
      </c>
      <c r="B76" s="40" t="str">
        <f aca="false">IF($A76="","",INDEX(日线!$B$5:$B$310,MATCH($A76,日线!$G$5:$G$310,0)))</f>
        <v/>
      </c>
      <c r="C76" s="40" t="str">
        <f aca="false">IF($A76="","",_xlfn.MAXIFS(日线!$C$5:$C$310,日线!$G$5:$G$310,$A76))</f>
        <v/>
      </c>
      <c r="D76" s="40" t="str">
        <f aca="false">IF($A76="","",_xlfn.MINIFS(日线!$D$5:$D$310,日线!$G$5:$G$310,$A76))</f>
        <v/>
      </c>
      <c r="E76" s="40" t="str">
        <f aca="false">IF($A76="","",INDEX(日线!$E$5:$E$310,MATCH($A76,日线!$G$5:$G$310,1)))</f>
        <v/>
      </c>
      <c r="F76" s="44" t="str">
        <f aca="false">IF($A76="","",SUMIFS(日线!$F$5:$F$310,日线!$G$5:$G$310,$A76))</f>
        <v/>
      </c>
      <c r="G76" s="40" t="str">
        <f aca="false">IF($A76="","",2/(p_EmaF+1)*E76+(1-2/(p_EmaF+1))*G75)</f>
        <v/>
      </c>
      <c r="H76" s="40" t="str">
        <f aca="false">IF($A76="","",2/(p_EmaS+1)*E76+(1-2/(p_EmaS+1))*H75)</f>
        <v/>
      </c>
      <c r="I76" s="41" t="str">
        <f aca="false">IF($A76="","",2/(p_MacdF+1)*E76+(1-2/(p_MacdF+1))*I75)</f>
        <v/>
      </c>
      <c r="J76" s="41" t="str">
        <f aca="false">IF($A76="","",2/(p_MacdS+1)*E76+(1-2/(p_MacdS+1))*J75)</f>
        <v/>
      </c>
      <c r="K76" s="41" t="str">
        <f aca="false">IF($A76="","",I76-J76)</f>
        <v/>
      </c>
      <c r="L76" s="41" t="str">
        <f aca="false">IF($A76="","",2/(p_MacdSig+1)*K76+(1-2/(p_MacdSig+1))*L75)</f>
        <v/>
      </c>
      <c r="M76" s="41" t="str">
        <f aca="false">IF($A76="","",K76-L76)</f>
        <v/>
      </c>
      <c r="N76" s="42" t="str">
        <f aca="false">IF($A76="","",IF(G76&gt;G75,1,0))</f>
        <v/>
      </c>
      <c r="O76" s="42" t="str">
        <f aca="false">IF($A76="","",IF(G76&lt;G75,1,0))</f>
        <v/>
      </c>
      <c r="P76" s="42" t="str">
        <f aca="false">IF($A76="","",IF(M76&gt;M75,1,0))</f>
        <v/>
      </c>
      <c r="Q76" s="42" t="str">
        <f aca="false">IF($A76="","",IF(M76&lt;M75,1,0))</f>
        <v/>
      </c>
      <c r="R76" s="42" t="str">
        <f aca="false">IF($A76="","",IF(H76&gt;H75,1,0))</f>
        <v/>
      </c>
      <c r="S76" s="42" t="str">
        <f aca="false">IF($A76="","",IF(M76&gt;M75,1,0))</f>
        <v/>
      </c>
      <c r="T76" s="42" t="str">
        <f aca="false">IF($A76="","",IF(M76&lt;M75,1,0))</f>
        <v/>
      </c>
      <c r="U76" s="42" t="str">
        <f aca="false">IF($A76="","",IF(AND(N76=1,P76=1),1,IF(AND(O76=1,Q76=1),-1,0)))</f>
        <v/>
      </c>
    </row>
    <row r="77" customFormat="false" ht="15" hidden="false" customHeight="false" outlineLevel="0" collapsed="false">
      <c r="A77" s="39" t="str">
        <f aca="false">IF(A76="","",IF(_xlfn.MINIFS(日线!$G$5:$G$310,日线!$G$5:$G$310,"&gt;"&amp;A76)=0,"",_xlfn.MINIFS(日线!$G$5:$G$310,日线!$G$5:$G$310,"&gt;"&amp;A76)))</f>
        <v/>
      </c>
      <c r="B77" s="40" t="str">
        <f aca="false">IF($A77="","",INDEX(日线!$B$5:$B$310,MATCH($A77,日线!$G$5:$G$310,0)))</f>
        <v/>
      </c>
      <c r="C77" s="40" t="str">
        <f aca="false">IF($A77="","",_xlfn.MAXIFS(日线!$C$5:$C$310,日线!$G$5:$G$310,$A77))</f>
        <v/>
      </c>
      <c r="D77" s="40" t="str">
        <f aca="false">IF($A77="","",_xlfn.MINIFS(日线!$D$5:$D$310,日线!$G$5:$G$310,$A77))</f>
        <v/>
      </c>
      <c r="E77" s="40" t="str">
        <f aca="false">IF($A77="","",INDEX(日线!$E$5:$E$310,MATCH($A77,日线!$G$5:$G$310,1)))</f>
        <v/>
      </c>
      <c r="F77" s="44" t="str">
        <f aca="false">IF($A77="","",SUMIFS(日线!$F$5:$F$310,日线!$G$5:$G$310,$A77))</f>
        <v/>
      </c>
      <c r="G77" s="40" t="str">
        <f aca="false">IF($A77="","",2/(p_EmaF+1)*E77+(1-2/(p_EmaF+1))*G76)</f>
        <v/>
      </c>
      <c r="H77" s="40" t="str">
        <f aca="false">IF($A77="","",2/(p_EmaS+1)*E77+(1-2/(p_EmaS+1))*H76)</f>
        <v/>
      </c>
      <c r="I77" s="41" t="str">
        <f aca="false">IF($A77="","",2/(p_MacdF+1)*E77+(1-2/(p_MacdF+1))*I76)</f>
        <v/>
      </c>
      <c r="J77" s="41" t="str">
        <f aca="false">IF($A77="","",2/(p_MacdS+1)*E77+(1-2/(p_MacdS+1))*J76)</f>
        <v/>
      </c>
      <c r="K77" s="41" t="str">
        <f aca="false">IF($A77="","",I77-J77)</f>
        <v/>
      </c>
      <c r="L77" s="41" t="str">
        <f aca="false">IF($A77="","",2/(p_MacdSig+1)*K77+(1-2/(p_MacdSig+1))*L76)</f>
        <v/>
      </c>
      <c r="M77" s="41" t="str">
        <f aca="false">IF($A77="","",K77-L77)</f>
        <v/>
      </c>
      <c r="N77" s="42" t="str">
        <f aca="false">IF($A77="","",IF(G77&gt;G76,1,0))</f>
        <v/>
      </c>
      <c r="O77" s="42" t="str">
        <f aca="false">IF($A77="","",IF(G77&lt;G76,1,0))</f>
        <v/>
      </c>
      <c r="P77" s="42" t="str">
        <f aca="false">IF($A77="","",IF(M77&gt;M76,1,0))</f>
        <v/>
      </c>
      <c r="Q77" s="42" t="str">
        <f aca="false">IF($A77="","",IF(M77&lt;M76,1,0))</f>
        <v/>
      </c>
      <c r="R77" s="42" t="str">
        <f aca="false">IF($A77="","",IF(H77&gt;H76,1,0))</f>
        <v/>
      </c>
      <c r="S77" s="42" t="str">
        <f aca="false">IF($A77="","",IF(M77&gt;M76,1,0))</f>
        <v/>
      </c>
      <c r="T77" s="42" t="str">
        <f aca="false">IF($A77="","",IF(M77&lt;M76,1,0))</f>
        <v/>
      </c>
      <c r="U77" s="42" t="str">
        <f aca="false">IF($A77="","",IF(AND(N77=1,P77=1),1,IF(AND(O77=1,Q77=1),-1,0)))</f>
        <v/>
      </c>
    </row>
    <row r="78" customFormat="false" ht="15" hidden="false" customHeight="false" outlineLevel="0" collapsed="false">
      <c r="A78" s="39" t="str">
        <f aca="false">IF(A77="","",IF(_xlfn.MINIFS(日线!$G$5:$G$310,日线!$G$5:$G$310,"&gt;"&amp;A77)=0,"",_xlfn.MINIFS(日线!$G$5:$G$310,日线!$G$5:$G$310,"&gt;"&amp;A77)))</f>
        <v/>
      </c>
      <c r="B78" s="40" t="str">
        <f aca="false">IF($A78="","",INDEX(日线!$B$5:$B$310,MATCH($A78,日线!$G$5:$G$310,0)))</f>
        <v/>
      </c>
      <c r="C78" s="40" t="str">
        <f aca="false">IF($A78="","",_xlfn.MAXIFS(日线!$C$5:$C$310,日线!$G$5:$G$310,$A78))</f>
        <v/>
      </c>
      <c r="D78" s="40" t="str">
        <f aca="false">IF($A78="","",_xlfn.MINIFS(日线!$D$5:$D$310,日线!$G$5:$G$310,$A78))</f>
        <v/>
      </c>
      <c r="E78" s="40" t="str">
        <f aca="false">IF($A78="","",INDEX(日线!$E$5:$E$310,MATCH($A78,日线!$G$5:$G$310,1)))</f>
        <v/>
      </c>
      <c r="F78" s="44" t="str">
        <f aca="false">IF($A78="","",SUMIFS(日线!$F$5:$F$310,日线!$G$5:$G$310,$A78))</f>
        <v/>
      </c>
      <c r="G78" s="40" t="str">
        <f aca="false">IF($A78="","",2/(p_EmaF+1)*E78+(1-2/(p_EmaF+1))*G77)</f>
        <v/>
      </c>
      <c r="H78" s="40" t="str">
        <f aca="false">IF($A78="","",2/(p_EmaS+1)*E78+(1-2/(p_EmaS+1))*H77)</f>
        <v/>
      </c>
      <c r="I78" s="41" t="str">
        <f aca="false">IF($A78="","",2/(p_MacdF+1)*E78+(1-2/(p_MacdF+1))*I77)</f>
        <v/>
      </c>
      <c r="J78" s="41" t="str">
        <f aca="false">IF($A78="","",2/(p_MacdS+1)*E78+(1-2/(p_MacdS+1))*J77)</f>
        <v/>
      </c>
      <c r="K78" s="41" t="str">
        <f aca="false">IF($A78="","",I78-J78)</f>
        <v/>
      </c>
      <c r="L78" s="41" t="str">
        <f aca="false">IF($A78="","",2/(p_MacdSig+1)*K78+(1-2/(p_MacdSig+1))*L77)</f>
        <v/>
      </c>
      <c r="M78" s="41" t="str">
        <f aca="false">IF($A78="","",K78-L78)</f>
        <v/>
      </c>
      <c r="N78" s="42" t="str">
        <f aca="false">IF($A78="","",IF(G78&gt;G77,1,0))</f>
        <v/>
      </c>
      <c r="O78" s="42" t="str">
        <f aca="false">IF($A78="","",IF(G78&lt;G77,1,0))</f>
        <v/>
      </c>
      <c r="P78" s="42" t="str">
        <f aca="false">IF($A78="","",IF(M78&gt;M77,1,0))</f>
        <v/>
      </c>
      <c r="Q78" s="42" t="str">
        <f aca="false">IF($A78="","",IF(M78&lt;M77,1,0))</f>
        <v/>
      </c>
      <c r="R78" s="42" t="str">
        <f aca="false">IF($A78="","",IF(H78&gt;H77,1,0))</f>
        <v/>
      </c>
      <c r="S78" s="42" t="str">
        <f aca="false">IF($A78="","",IF(M78&gt;M77,1,0))</f>
        <v/>
      </c>
      <c r="T78" s="42" t="str">
        <f aca="false">IF($A78="","",IF(M78&lt;M77,1,0))</f>
        <v/>
      </c>
      <c r="U78" s="42" t="str">
        <f aca="false">IF($A78="","",IF(AND(N78=1,P78=1),1,IF(AND(O78=1,Q78=1),-1,0)))</f>
        <v/>
      </c>
    </row>
    <row r="79" customFormat="false" ht="15" hidden="false" customHeight="false" outlineLevel="0" collapsed="false">
      <c r="A79" s="39" t="str">
        <f aca="false">IF(A78="","",IF(_xlfn.MINIFS(日线!$G$5:$G$310,日线!$G$5:$G$310,"&gt;"&amp;A78)=0,"",_xlfn.MINIFS(日线!$G$5:$G$310,日线!$G$5:$G$310,"&gt;"&amp;A78)))</f>
        <v/>
      </c>
      <c r="B79" s="40" t="str">
        <f aca="false">IF($A79="","",INDEX(日线!$B$5:$B$310,MATCH($A79,日线!$G$5:$G$310,0)))</f>
        <v/>
      </c>
      <c r="C79" s="40" t="str">
        <f aca="false">IF($A79="","",_xlfn.MAXIFS(日线!$C$5:$C$310,日线!$G$5:$G$310,$A79))</f>
        <v/>
      </c>
      <c r="D79" s="40" t="str">
        <f aca="false">IF($A79="","",_xlfn.MINIFS(日线!$D$5:$D$310,日线!$G$5:$G$310,$A79))</f>
        <v/>
      </c>
      <c r="E79" s="40" t="str">
        <f aca="false">IF($A79="","",INDEX(日线!$E$5:$E$310,MATCH($A79,日线!$G$5:$G$310,1)))</f>
        <v/>
      </c>
      <c r="F79" s="44" t="str">
        <f aca="false">IF($A79="","",SUMIFS(日线!$F$5:$F$310,日线!$G$5:$G$310,$A79))</f>
        <v/>
      </c>
      <c r="G79" s="40" t="str">
        <f aca="false">IF($A79="","",2/(p_EmaF+1)*E79+(1-2/(p_EmaF+1))*G78)</f>
        <v/>
      </c>
      <c r="H79" s="40" t="str">
        <f aca="false">IF($A79="","",2/(p_EmaS+1)*E79+(1-2/(p_EmaS+1))*H78)</f>
        <v/>
      </c>
      <c r="I79" s="41" t="str">
        <f aca="false">IF($A79="","",2/(p_MacdF+1)*E79+(1-2/(p_MacdF+1))*I78)</f>
        <v/>
      </c>
      <c r="J79" s="41" t="str">
        <f aca="false">IF($A79="","",2/(p_MacdS+1)*E79+(1-2/(p_MacdS+1))*J78)</f>
        <v/>
      </c>
      <c r="K79" s="41" t="str">
        <f aca="false">IF($A79="","",I79-J79)</f>
        <v/>
      </c>
      <c r="L79" s="41" t="str">
        <f aca="false">IF($A79="","",2/(p_MacdSig+1)*K79+(1-2/(p_MacdSig+1))*L78)</f>
        <v/>
      </c>
      <c r="M79" s="41" t="str">
        <f aca="false">IF($A79="","",K79-L79)</f>
        <v/>
      </c>
      <c r="N79" s="42" t="str">
        <f aca="false">IF($A79="","",IF(G79&gt;G78,1,0))</f>
        <v/>
      </c>
      <c r="O79" s="42" t="str">
        <f aca="false">IF($A79="","",IF(G79&lt;G78,1,0))</f>
        <v/>
      </c>
      <c r="P79" s="42" t="str">
        <f aca="false">IF($A79="","",IF(M79&gt;M78,1,0))</f>
        <v/>
      </c>
      <c r="Q79" s="42" t="str">
        <f aca="false">IF($A79="","",IF(M79&lt;M78,1,0))</f>
        <v/>
      </c>
      <c r="R79" s="42" t="str">
        <f aca="false">IF($A79="","",IF(H79&gt;H78,1,0))</f>
        <v/>
      </c>
      <c r="S79" s="42" t="str">
        <f aca="false">IF($A79="","",IF(M79&gt;M78,1,0))</f>
        <v/>
      </c>
      <c r="T79" s="42" t="str">
        <f aca="false">IF($A79="","",IF(M79&lt;M78,1,0))</f>
        <v/>
      </c>
      <c r="U79" s="42" t="str">
        <f aca="false">IF($A79="","",IF(AND(N79=1,P79=1),1,IF(AND(O79=1,Q79=1),-1,0)))</f>
        <v/>
      </c>
    </row>
    <row r="80" customFormat="false" ht="15" hidden="false" customHeight="false" outlineLevel="0" collapsed="false">
      <c r="A80" s="39" t="str">
        <f aca="false">IF(A79="","",IF(_xlfn.MINIFS(日线!$G$5:$G$310,日线!$G$5:$G$310,"&gt;"&amp;A79)=0,"",_xlfn.MINIFS(日线!$G$5:$G$310,日线!$G$5:$G$310,"&gt;"&amp;A79)))</f>
        <v/>
      </c>
      <c r="B80" s="40" t="str">
        <f aca="false">IF($A80="","",INDEX(日线!$B$5:$B$310,MATCH($A80,日线!$G$5:$G$310,0)))</f>
        <v/>
      </c>
      <c r="C80" s="40" t="str">
        <f aca="false">IF($A80="","",_xlfn.MAXIFS(日线!$C$5:$C$310,日线!$G$5:$G$310,$A80))</f>
        <v/>
      </c>
      <c r="D80" s="40" t="str">
        <f aca="false">IF($A80="","",_xlfn.MINIFS(日线!$D$5:$D$310,日线!$G$5:$G$310,$A80))</f>
        <v/>
      </c>
      <c r="E80" s="40" t="str">
        <f aca="false">IF($A80="","",INDEX(日线!$E$5:$E$310,MATCH($A80,日线!$G$5:$G$310,1)))</f>
        <v/>
      </c>
      <c r="F80" s="44" t="str">
        <f aca="false">IF($A80="","",SUMIFS(日线!$F$5:$F$310,日线!$G$5:$G$310,$A80))</f>
        <v/>
      </c>
      <c r="G80" s="40" t="str">
        <f aca="false">IF($A80="","",2/(p_EmaF+1)*E80+(1-2/(p_EmaF+1))*G79)</f>
        <v/>
      </c>
      <c r="H80" s="40" t="str">
        <f aca="false">IF($A80="","",2/(p_EmaS+1)*E80+(1-2/(p_EmaS+1))*H79)</f>
        <v/>
      </c>
      <c r="I80" s="41" t="str">
        <f aca="false">IF($A80="","",2/(p_MacdF+1)*E80+(1-2/(p_MacdF+1))*I79)</f>
        <v/>
      </c>
      <c r="J80" s="41" t="str">
        <f aca="false">IF($A80="","",2/(p_MacdS+1)*E80+(1-2/(p_MacdS+1))*J79)</f>
        <v/>
      </c>
      <c r="K80" s="41" t="str">
        <f aca="false">IF($A80="","",I80-J80)</f>
        <v/>
      </c>
      <c r="L80" s="41" t="str">
        <f aca="false">IF($A80="","",2/(p_MacdSig+1)*K80+(1-2/(p_MacdSig+1))*L79)</f>
        <v/>
      </c>
      <c r="M80" s="41" t="str">
        <f aca="false">IF($A80="","",K80-L80)</f>
        <v/>
      </c>
      <c r="N80" s="42" t="str">
        <f aca="false">IF($A80="","",IF(G80&gt;G79,1,0))</f>
        <v/>
      </c>
      <c r="O80" s="42" t="str">
        <f aca="false">IF($A80="","",IF(G80&lt;G79,1,0))</f>
        <v/>
      </c>
      <c r="P80" s="42" t="str">
        <f aca="false">IF($A80="","",IF(M80&gt;M79,1,0))</f>
        <v/>
      </c>
      <c r="Q80" s="42" t="str">
        <f aca="false">IF($A80="","",IF(M80&lt;M79,1,0))</f>
        <v/>
      </c>
      <c r="R80" s="42" t="str">
        <f aca="false">IF($A80="","",IF(H80&gt;H79,1,0))</f>
        <v/>
      </c>
      <c r="S80" s="42" t="str">
        <f aca="false">IF($A80="","",IF(M80&gt;M79,1,0))</f>
        <v/>
      </c>
      <c r="T80" s="42" t="str">
        <f aca="false">IF($A80="","",IF(M80&lt;M79,1,0))</f>
        <v/>
      </c>
      <c r="U80" s="42" t="str">
        <f aca="false">IF($A80="","",IF(AND(N80=1,P80=1),1,IF(AND(O80=1,Q80=1),-1,0)))</f>
        <v/>
      </c>
    </row>
    <row r="81" customFormat="false" ht="15" hidden="false" customHeight="false" outlineLevel="0" collapsed="false">
      <c r="A81" s="39" t="str">
        <f aca="false">IF(A80="","",IF(_xlfn.MINIFS(日线!$G$5:$G$310,日线!$G$5:$G$310,"&gt;"&amp;A80)=0,"",_xlfn.MINIFS(日线!$G$5:$G$310,日线!$G$5:$G$310,"&gt;"&amp;A80)))</f>
        <v/>
      </c>
      <c r="B81" s="40" t="str">
        <f aca="false">IF($A81="","",INDEX(日线!$B$5:$B$310,MATCH($A81,日线!$G$5:$G$310,0)))</f>
        <v/>
      </c>
      <c r="C81" s="40" t="str">
        <f aca="false">IF($A81="","",_xlfn.MAXIFS(日线!$C$5:$C$310,日线!$G$5:$G$310,$A81))</f>
        <v/>
      </c>
      <c r="D81" s="40" t="str">
        <f aca="false">IF($A81="","",_xlfn.MINIFS(日线!$D$5:$D$310,日线!$G$5:$G$310,$A81))</f>
        <v/>
      </c>
      <c r="E81" s="40" t="str">
        <f aca="false">IF($A81="","",INDEX(日线!$E$5:$E$310,MATCH($A81,日线!$G$5:$G$310,1)))</f>
        <v/>
      </c>
      <c r="F81" s="44" t="str">
        <f aca="false">IF($A81="","",SUMIFS(日线!$F$5:$F$310,日线!$G$5:$G$310,$A81))</f>
        <v/>
      </c>
      <c r="G81" s="40" t="str">
        <f aca="false">IF($A81="","",2/(p_EmaF+1)*E81+(1-2/(p_EmaF+1))*G80)</f>
        <v/>
      </c>
      <c r="H81" s="40" t="str">
        <f aca="false">IF($A81="","",2/(p_EmaS+1)*E81+(1-2/(p_EmaS+1))*H80)</f>
        <v/>
      </c>
      <c r="I81" s="41" t="str">
        <f aca="false">IF($A81="","",2/(p_MacdF+1)*E81+(1-2/(p_MacdF+1))*I80)</f>
        <v/>
      </c>
      <c r="J81" s="41" t="str">
        <f aca="false">IF($A81="","",2/(p_MacdS+1)*E81+(1-2/(p_MacdS+1))*J80)</f>
        <v/>
      </c>
      <c r="K81" s="41" t="str">
        <f aca="false">IF($A81="","",I81-J81)</f>
        <v/>
      </c>
      <c r="L81" s="41" t="str">
        <f aca="false">IF($A81="","",2/(p_MacdSig+1)*K81+(1-2/(p_MacdSig+1))*L80)</f>
        <v/>
      </c>
      <c r="M81" s="41" t="str">
        <f aca="false">IF($A81="","",K81-L81)</f>
        <v/>
      </c>
      <c r="N81" s="42" t="str">
        <f aca="false">IF($A81="","",IF(G81&gt;G80,1,0))</f>
        <v/>
      </c>
      <c r="O81" s="42" t="str">
        <f aca="false">IF($A81="","",IF(G81&lt;G80,1,0))</f>
        <v/>
      </c>
      <c r="P81" s="42" t="str">
        <f aca="false">IF($A81="","",IF(M81&gt;M80,1,0))</f>
        <v/>
      </c>
      <c r="Q81" s="42" t="str">
        <f aca="false">IF($A81="","",IF(M81&lt;M80,1,0))</f>
        <v/>
      </c>
      <c r="R81" s="42" t="str">
        <f aca="false">IF($A81="","",IF(H81&gt;H80,1,0))</f>
        <v/>
      </c>
      <c r="S81" s="42" t="str">
        <f aca="false">IF($A81="","",IF(M81&gt;M80,1,0))</f>
        <v/>
      </c>
      <c r="T81" s="42" t="str">
        <f aca="false">IF($A81="","",IF(M81&lt;M80,1,0))</f>
        <v/>
      </c>
      <c r="U81" s="42" t="str">
        <f aca="false">IF($A81="","",IF(AND(N81=1,P81=1),1,IF(AND(O81=1,Q81=1),-1,0)))</f>
        <v/>
      </c>
    </row>
    <row r="82" customFormat="false" ht="15" hidden="false" customHeight="false" outlineLevel="0" collapsed="false">
      <c r="A82" s="39" t="str">
        <f aca="false">IF(A81="","",IF(_xlfn.MINIFS(日线!$G$5:$G$310,日线!$G$5:$G$310,"&gt;"&amp;A81)=0,"",_xlfn.MINIFS(日线!$G$5:$G$310,日线!$G$5:$G$310,"&gt;"&amp;A81)))</f>
        <v/>
      </c>
      <c r="B82" s="40" t="str">
        <f aca="false">IF($A82="","",INDEX(日线!$B$5:$B$310,MATCH($A82,日线!$G$5:$G$310,0)))</f>
        <v/>
      </c>
      <c r="C82" s="40" t="str">
        <f aca="false">IF($A82="","",_xlfn.MAXIFS(日线!$C$5:$C$310,日线!$G$5:$G$310,$A82))</f>
        <v/>
      </c>
      <c r="D82" s="40" t="str">
        <f aca="false">IF($A82="","",_xlfn.MINIFS(日线!$D$5:$D$310,日线!$G$5:$G$310,$A82))</f>
        <v/>
      </c>
      <c r="E82" s="40" t="str">
        <f aca="false">IF($A82="","",INDEX(日线!$E$5:$E$310,MATCH($A82,日线!$G$5:$G$310,1)))</f>
        <v/>
      </c>
      <c r="F82" s="44" t="str">
        <f aca="false">IF($A82="","",SUMIFS(日线!$F$5:$F$310,日线!$G$5:$G$310,$A82))</f>
        <v/>
      </c>
      <c r="G82" s="40" t="str">
        <f aca="false">IF($A82="","",2/(p_EmaF+1)*E82+(1-2/(p_EmaF+1))*G81)</f>
        <v/>
      </c>
      <c r="H82" s="40" t="str">
        <f aca="false">IF($A82="","",2/(p_EmaS+1)*E82+(1-2/(p_EmaS+1))*H81)</f>
        <v/>
      </c>
      <c r="I82" s="41" t="str">
        <f aca="false">IF($A82="","",2/(p_MacdF+1)*E82+(1-2/(p_MacdF+1))*I81)</f>
        <v/>
      </c>
      <c r="J82" s="41" t="str">
        <f aca="false">IF($A82="","",2/(p_MacdS+1)*E82+(1-2/(p_MacdS+1))*J81)</f>
        <v/>
      </c>
      <c r="K82" s="41" t="str">
        <f aca="false">IF($A82="","",I82-J82)</f>
        <v/>
      </c>
      <c r="L82" s="41" t="str">
        <f aca="false">IF($A82="","",2/(p_MacdSig+1)*K82+(1-2/(p_MacdSig+1))*L81)</f>
        <v/>
      </c>
      <c r="M82" s="41" t="str">
        <f aca="false">IF($A82="","",K82-L82)</f>
        <v/>
      </c>
      <c r="N82" s="42" t="str">
        <f aca="false">IF($A82="","",IF(G82&gt;G81,1,0))</f>
        <v/>
      </c>
      <c r="O82" s="42" t="str">
        <f aca="false">IF($A82="","",IF(G82&lt;G81,1,0))</f>
        <v/>
      </c>
      <c r="P82" s="42" t="str">
        <f aca="false">IF($A82="","",IF(M82&gt;M81,1,0))</f>
        <v/>
      </c>
      <c r="Q82" s="42" t="str">
        <f aca="false">IF($A82="","",IF(M82&lt;M81,1,0))</f>
        <v/>
      </c>
      <c r="R82" s="42" t="str">
        <f aca="false">IF($A82="","",IF(H82&gt;H81,1,0))</f>
        <v/>
      </c>
      <c r="S82" s="42" t="str">
        <f aca="false">IF($A82="","",IF(M82&gt;M81,1,0))</f>
        <v/>
      </c>
      <c r="T82" s="42" t="str">
        <f aca="false">IF($A82="","",IF(M82&lt;M81,1,0))</f>
        <v/>
      </c>
      <c r="U82" s="42" t="str">
        <f aca="false">IF($A82="","",IF(AND(N82=1,P82=1),1,IF(AND(O82=1,Q82=1),-1,0)))</f>
        <v/>
      </c>
    </row>
    <row r="83" customFormat="false" ht="15" hidden="false" customHeight="false" outlineLevel="0" collapsed="false">
      <c r="A83" s="39" t="str">
        <f aca="false">IF(A82="","",IF(_xlfn.MINIFS(日线!$G$5:$G$310,日线!$G$5:$G$310,"&gt;"&amp;A82)=0,"",_xlfn.MINIFS(日线!$G$5:$G$310,日线!$G$5:$G$310,"&gt;"&amp;A82)))</f>
        <v/>
      </c>
      <c r="B83" s="40" t="str">
        <f aca="false">IF($A83="","",INDEX(日线!$B$5:$B$310,MATCH($A83,日线!$G$5:$G$310,0)))</f>
        <v/>
      </c>
      <c r="C83" s="40" t="str">
        <f aca="false">IF($A83="","",_xlfn.MAXIFS(日线!$C$5:$C$310,日线!$G$5:$G$310,$A83))</f>
        <v/>
      </c>
      <c r="D83" s="40" t="str">
        <f aca="false">IF($A83="","",_xlfn.MINIFS(日线!$D$5:$D$310,日线!$G$5:$G$310,$A83))</f>
        <v/>
      </c>
      <c r="E83" s="40" t="str">
        <f aca="false">IF($A83="","",INDEX(日线!$E$5:$E$310,MATCH($A83,日线!$G$5:$G$310,1)))</f>
        <v/>
      </c>
      <c r="F83" s="44" t="str">
        <f aca="false">IF($A83="","",SUMIFS(日线!$F$5:$F$310,日线!$G$5:$G$310,$A83))</f>
        <v/>
      </c>
      <c r="G83" s="40" t="str">
        <f aca="false">IF($A83="","",2/(p_EmaF+1)*E83+(1-2/(p_EmaF+1))*G82)</f>
        <v/>
      </c>
      <c r="H83" s="40" t="str">
        <f aca="false">IF($A83="","",2/(p_EmaS+1)*E83+(1-2/(p_EmaS+1))*H82)</f>
        <v/>
      </c>
      <c r="I83" s="41" t="str">
        <f aca="false">IF($A83="","",2/(p_MacdF+1)*E83+(1-2/(p_MacdF+1))*I82)</f>
        <v/>
      </c>
      <c r="J83" s="41" t="str">
        <f aca="false">IF($A83="","",2/(p_MacdS+1)*E83+(1-2/(p_MacdS+1))*J82)</f>
        <v/>
      </c>
      <c r="K83" s="41" t="str">
        <f aca="false">IF($A83="","",I83-J83)</f>
        <v/>
      </c>
      <c r="L83" s="41" t="str">
        <f aca="false">IF($A83="","",2/(p_MacdSig+1)*K83+(1-2/(p_MacdSig+1))*L82)</f>
        <v/>
      </c>
      <c r="M83" s="41" t="str">
        <f aca="false">IF($A83="","",K83-L83)</f>
        <v/>
      </c>
      <c r="N83" s="42" t="str">
        <f aca="false">IF($A83="","",IF(G83&gt;G82,1,0))</f>
        <v/>
      </c>
      <c r="O83" s="42" t="str">
        <f aca="false">IF($A83="","",IF(G83&lt;G82,1,0))</f>
        <v/>
      </c>
      <c r="P83" s="42" t="str">
        <f aca="false">IF($A83="","",IF(M83&gt;M82,1,0))</f>
        <v/>
      </c>
      <c r="Q83" s="42" t="str">
        <f aca="false">IF($A83="","",IF(M83&lt;M82,1,0))</f>
        <v/>
      </c>
      <c r="R83" s="42" t="str">
        <f aca="false">IF($A83="","",IF(H83&gt;H82,1,0))</f>
        <v/>
      </c>
      <c r="S83" s="42" t="str">
        <f aca="false">IF($A83="","",IF(M83&gt;M82,1,0))</f>
        <v/>
      </c>
      <c r="T83" s="42" t="str">
        <f aca="false">IF($A83="","",IF(M83&lt;M82,1,0))</f>
        <v/>
      </c>
      <c r="U83" s="42" t="str">
        <f aca="false">IF($A83="","",IF(AND(N83=1,P83=1),1,IF(AND(O83=1,Q83=1),-1,0)))</f>
        <v/>
      </c>
    </row>
    <row r="84" customFormat="false" ht="15" hidden="false" customHeight="false" outlineLevel="0" collapsed="false">
      <c r="A84" s="39" t="str">
        <f aca="false">IF(A83="","",IF(_xlfn.MINIFS(日线!$G$5:$G$310,日线!$G$5:$G$310,"&gt;"&amp;A83)=0,"",_xlfn.MINIFS(日线!$G$5:$G$310,日线!$G$5:$G$310,"&gt;"&amp;A83)))</f>
        <v/>
      </c>
      <c r="B84" s="40" t="str">
        <f aca="false">IF($A84="","",INDEX(日线!$B$5:$B$310,MATCH($A84,日线!$G$5:$G$310,0)))</f>
        <v/>
      </c>
      <c r="C84" s="40" t="str">
        <f aca="false">IF($A84="","",_xlfn.MAXIFS(日线!$C$5:$C$310,日线!$G$5:$G$310,$A84))</f>
        <v/>
      </c>
      <c r="D84" s="40" t="str">
        <f aca="false">IF($A84="","",_xlfn.MINIFS(日线!$D$5:$D$310,日线!$G$5:$G$310,$A84))</f>
        <v/>
      </c>
      <c r="E84" s="40" t="str">
        <f aca="false">IF($A84="","",INDEX(日线!$E$5:$E$310,MATCH($A84,日线!$G$5:$G$310,1)))</f>
        <v/>
      </c>
      <c r="F84" s="44" t="str">
        <f aca="false">IF($A84="","",SUMIFS(日线!$F$5:$F$310,日线!$G$5:$G$310,$A84))</f>
        <v/>
      </c>
      <c r="G84" s="40" t="str">
        <f aca="false">IF($A84="","",2/(p_EmaF+1)*E84+(1-2/(p_EmaF+1))*G83)</f>
        <v/>
      </c>
      <c r="H84" s="40" t="str">
        <f aca="false">IF($A84="","",2/(p_EmaS+1)*E84+(1-2/(p_EmaS+1))*H83)</f>
        <v/>
      </c>
      <c r="I84" s="41" t="str">
        <f aca="false">IF($A84="","",2/(p_MacdF+1)*E84+(1-2/(p_MacdF+1))*I83)</f>
        <v/>
      </c>
      <c r="J84" s="41" t="str">
        <f aca="false">IF($A84="","",2/(p_MacdS+1)*E84+(1-2/(p_MacdS+1))*J83)</f>
        <v/>
      </c>
      <c r="K84" s="41" t="str">
        <f aca="false">IF($A84="","",I84-J84)</f>
        <v/>
      </c>
      <c r="L84" s="41" t="str">
        <f aca="false">IF($A84="","",2/(p_MacdSig+1)*K84+(1-2/(p_MacdSig+1))*L83)</f>
        <v/>
      </c>
      <c r="M84" s="41" t="str">
        <f aca="false">IF($A84="","",K84-L84)</f>
        <v/>
      </c>
      <c r="N84" s="42" t="str">
        <f aca="false">IF($A84="","",IF(G84&gt;G83,1,0))</f>
        <v/>
      </c>
      <c r="O84" s="42" t="str">
        <f aca="false">IF($A84="","",IF(G84&lt;G83,1,0))</f>
        <v/>
      </c>
      <c r="P84" s="42" t="str">
        <f aca="false">IF($A84="","",IF(M84&gt;M83,1,0))</f>
        <v/>
      </c>
      <c r="Q84" s="42" t="str">
        <f aca="false">IF($A84="","",IF(M84&lt;M83,1,0))</f>
        <v/>
      </c>
      <c r="R84" s="42" t="str">
        <f aca="false">IF($A84="","",IF(H84&gt;H83,1,0))</f>
        <v/>
      </c>
      <c r="S84" s="42" t="str">
        <f aca="false">IF($A84="","",IF(M84&gt;M83,1,0))</f>
        <v/>
      </c>
      <c r="T84" s="42" t="str">
        <f aca="false">IF($A84="","",IF(M84&lt;M83,1,0))</f>
        <v/>
      </c>
      <c r="U84" s="42" t="str">
        <f aca="false">IF($A84="","",IF(AND(N84=1,P84=1),1,IF(AND(O84=1,Q84=1),-1,0)))</f>
        <v/>
      </c>
    </row>
  </sheetData>
  <conditionalFormatting sqref="U5:U84">
    <cfRule type="cellIs" priority="2" operator="equal" aboveAverage="0" equalAverage="0" bottom="0" percent="0" rank="0" text="" dxfId="2">
      <formula>1</formula>
    </cfRule>
    <cfRule type="cellIs" priority="3" operator="equal" aboveAverage="0" equalAverage="0" bottom="0" percent="0" rank="0" text="" dxfId="1">
      <formula>-1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4" min="3" style="0" width="12"/>
    <col collapsed="false" customWidth="true" hidden="false" outlineLevel="0" max="5" min="5" style="0" width="16"/>
    <col collapsed="false" customWidth="true" hidden="false" outlineLevel="0" max="6" min="6" style="0" width="14"/>
  </cols>
  <sheetData>
    <row r="1" customFormat="false" ht="19.4" hidden="false" customHeight="false" outlineLevel="0" collapsed="false">
      <c r="A1" s="4" t="s">
        <v>296</v>
      </c>
    </row>
    <row r="3" customFormat="false" ht="15" hidden="false" customHeight="false" outlineLevel="0" collapsed="false">
      <c r="A3" s="47" t="s">
        <v>297</v>
      </c>
    </row>
    <row r="4" customFormat="false" ht="15" hidden="false" customHeight="false" outlineLevel="0" collapsed="false">
      <c r="A4" s="3" t="s">
        <v>298</v>
      </c>
      <c r="B4" s="26" t="n">
        <f aca="false">p_Equity</f>
        <v>1000000</v>
      </c>
    </row>
    <row r="5" customFormat="false" ht="15" hidden="false" customHeight="false" outlineLevel="0" collapsed="false">
      <c r="A5" s="3" t="s">
        <v>299</v>
      </c>
      <c r="B5" s="27" t="n">
        <f aca="false">MIN(p_RiskTrade,p_RiskCap)</f>
        <v>0.01</v>
      </c>
    </row>
    <row r="6" customFormat="false" ht="15" hidden="false" customHeight="false" outlineLevel="0" collapsed="false">
      <c r="A6" s="3" t="s">
        <v>13</v>
      </c>
      <c r="B6" s="48" t="n">
        <v>33.09</v>
      </c>
    </row>
    <row r="7" customFormat="false" ht="15" hidden="false" customHeight="false" outlineLevel="0" collapsed="false">
      <c r="A7" s="3" t="s">
        <v>175</v>
      </c>
      <c r="B7" s="48" t="n">
        <v>32.23</v>
      </c>
    </row>
    <row r="8" customFormat="false" ht="15" hidden="false" customHeight="false" outlineLevel="0" collapsed="false">
      <c r="A8" s="10" t="s">
        <v>300</v>
      </c>
      <c r="B8" s="26" t="n">
        <f aca="false">B4*B5</f>
        <v>10000</v>
      </c>
    </row>
    <row r="9" customFormat="false" ht="15" hidden="false" customHeight="false" outlineLevel="0" collapsed="false">
      <c r="A9" s="10" t="s">
        <v>301</v>
      </c>
      <c r="B9" s="24" t="n">
        <f aca="false">B6-B7</f>
        <v>0.860000000000007</v>
      </c>
    </row>
    <row r="10" customFormat="false" ht="90.25" hidden="false" customHeight="false" outlineLevel="0" collapsed="false">
      <c r="A10" s="10" t="s">
        <v>302</v>
      </c>
      <c r="B10" s="26" t="n">
        <f aca="false">IF(B9&gt;0,FLOOR(MIN(B8/B9,B4*p_PosCap/B6),p_Lot),0)</f>
        <v>6000</v>
      </c>
      <c r="C10" s="3" t="s">
        <v>303</v>
      </c>
    </row>
    <row r="11" customFormat="false" ht="15" hidden="false" customHeight="false" outlineLevel="0" collapsed="false">
      <c r="A11" s="3" t="s">
        <v>304</v>
      </c>
      <c r="B11" s="26" t="n">
        <f aca="false">B10*B6</f>
        <v>198540</v>
      </c>
    </row>
    <row r="12" customFormat="false" ht="15" hidden="false" customHeight="false" outlineLevel="0" collapsed="false">
      <c r="A12" s="3" t="s">
        <v>190</v>
      </c>
      <c r="B12" s="27" t="n">
        <f aca="false">B11/B4</f>
        <v>0.19854</v>
      </c>
    </row>
    <row r="14" customFormat="false" ht="15" hidden="false" customHeight="false" outlineLevel="0" collapsed="false">
      <c r="A14" s="49" t="s">
        <v>305</v>
      </c>
    </row>
    <row r="15" customFormat="false" ht="15" hidden="false" customHeight="false" outlineLevel="0" collapsed="false">
      <c r="A15" s="3" t="s">
        <v>306</v>
      </c>
      <c r="B15" s="26" t="n">
        <f aca="false">p_Equity</f>
        <v>1000000</v>
      </c>
    </row>
    <row r="16" customFormat="false" ht="15" hidden="false" customHeight="false" outlineLevel="0" collapsed="false">
      <c r="A16" s="3" t="s">
        <v>307</v>
      </c>
      <c r="B16" s="12" t="n">
        <v>0</v>
      </c>
    </row>
    <row r="18" customFormat="false" ht="15" hidden="false" customHeight="false" outlineLevel="0" collapsed="false">
      <c r="A18" s="5" t="s">
        <v>308</v>
      </c>
      <c r="B18" s="5" t="s">
        <v>309</v>
      </c>
      <c r="C18" s="5" t="s">
        <v>13</v>
      </c>
      <c r="D18" s="5" t="s">
        <v>310</v>
      </c>
      <c r="E18" s="5" t="s">
        <v>311</v>
      </c>
      <c r="F18" s="5" t="s">
        <v>312</v>
      </c>
    </row>
    <row r="19" customFormat="false" ht="15" hidden="false" customHeight="false" outlineLevel="0" collapsed="false">
      <c r="A19" s="50" t="s">
        <v>313</v>
      </c>
      <c r="B19" s="50" t="n">
        <v>3000</v>
      </c>
      <c r="C19" s="50" t="n">
        <v>20</v>
      </c>
      <c r="D19" s="50" t="n">
        <v>20</v>
      </c>
      <c r="E19" s="51" t="n">
        <f aca="false">IF(B19="",0,MAX(0,(C19-D19)*B19))</f>
        <v>0</v>
      </c>
      <c r="F19" s="52" t="n">
        <f aca="false">E19/$B$15</f>
        <v>0</v>
      </c>
    </row>
    <row r="20" customFormat="false" ht="15" hidden="false" customHeight="false" outlineLevel="0" collapsed="false">
      <c r="A20" s="50" t="s">
        <v>314</v>
      </c>
      <c r="B20" s="50" t="n">
        <v>2000</v>
      </c>
      <c r="C20" s="50" t="n">
        <v>15.5</v>
      </c>
      <c r="D20" s="50" t="n">
        <v>14.8</v>
      </c>
      <c r="E20" s="51" t="n">
        <f aca="false">IF(B20="",0,MAX(0,(C20-D20)*B20))</f>
        <v>1400</v>
      </c>
      <c r="F20" s="52" t="n">
        <f aca="false">E20/$B$15</f>
        <v>0.0014</v>
      </c>
    </row>
    <row r="21" customFormat="false" ht="15" hidden="false" customHeight="false" outlineLevel="0" collapsed="false">
      <c r="A21" s="50" t="s">
        <v>315</v>
      </c>
      <c r="B21" s="50" t="n">
        <v>1500</v>
      </c>
      <c r="C21" s="50" t="n">
        <v>30.2</v>
      </c>
      <c r="D21" s="50" t="n">
        <v>29.1</v>
      </c>
      <c r="E21" s="51" t="n">
        <f aca="false">IF(B21="",0,MAX(0,(C21-D21)*B21))</f>
        <v>1650</v>
      </c>
      <c r="F21" s="52" t="n">
        <f aca="false">E21/$B$15</f>
        <v>0.00165</v>
      </c>
    </row>
    <row r="22" customFormat="false" ht="15" hidden="false" customHeight="false" outlineLevel="0" collapsed="false">
      <c r="A22" s="50"/>
      <c r="B22" s="50"/>
      <c r="C22" s="50"/>
      <c r="D22" s="50"/>
      <c r="E22" s="51" t="n">
        <f aca="false">IF(B22="",0,MAX(0,(C22-D22)*B22))</f>
        <v>0</v>
      </c>
      <c r="F22" s="52" t="n">
        <f aca="false">E22/$B$15</f>
        <v>0</v>
      </c>
    </row>
    <row r="23" customFormat="false" ht="15" hidden="false" customHeight="false" outlineLevel="0" collapsed="false">
      <c r="A23" s="50"/>
      <c r="B23" s="50"/>
      <c r="C23" s="50"/>
      <c r="D23" s="50"/>
      <c r="E23" s="51" t="n">
        <f aca="false">IF(B23="",0,MAX(0,(C23-D23)*B23))</f>
        <v>0</v>
      </c>
      <c r="F23" s="52" t="n">
        <f aca="false">E23/$B$15</f>
        <v>0</v>
      </c>
    </row>
    <row r="24" customFormat="false" ht="15" hidden="false" customHeight="false" outlineLevel="0" collapsed="false">
      <c r="A24" s="50"/>
      <c r="B24" s="50"/>
      <c r="C24" s="50"/>
      <c r="D24" s="50"/>
      <c r="E24" s="51" t="n">
        <f aca="false">IF(B24="",0,MAX(0,(C24-D24)*B24))</f>
        <v>0</v>
      </c>
      <c r="F24" s="52" t="n">
        <f aca="false">E24/$B$15</f>
        <v>0</v>
      </c>
    </row>
    <row r="26" customFormat="false" ht="15" hidden="false" customHeight="false" outlineLevel="0" collapsed="false">
      <c r="A26" s="13" t="s">
        <v>316</v>
      </c>
      <c r="E26" s="26" t="n">
        <f aca="false">SUM(E19:E24)</f>
        <v>3050</v>
      </c>
    </row>
    <row r="27" customFormat="false" ht="15" hidden="false" customHeight="false" outlineLevel="0" collapsed="false">
      <c r="A27" s="13" t="s">
        <v>317</v>
      </c>
      <c r="E27" s="26" t="n">
        <f aca="false">B16+E26</f>
        <v>3050</v>
      </c>
      <c r="F27" s="53" t="n">
        <f aca="false">E27/B15</f>
        <v>0.00305</v>
      </c>
    </row>
    <row r="28" customFormat="false" ht="15" hidden="false" customHeight="false" outlineLevel="0" collapsed="false">
      <c r="A28" s="13" t="s">
        <v>318</v>
      </c>
      <c r="E28" s="26" t="n">
        <f aca="false">MAX(0,p_RiskMonth*B15-E27)</f>
        <v>56950</v>
      </c>
    </row>
    <row r="29" customFormat="false" ht="26.85" hidden="false" customHeight="false" outlineLevel="0" collapsed="false">
      <c r="A29" s="13" t="s">
        <v>319</v>
      </c>
      <c r="E29" s="22" t="str">
        <f aca="false">IF(E28&gt;0,"可以(单笔仍≤2%且≤可用额度)","停止:本月风险额度用尽")</f>
        <v>可以(单笔仍≤2%且≤可用额度)</v>
      </c>
    </row>
    <row r="31" customFormat="false" ht="15" hidden="false" customHeight="false" outlineLevel="0" collapsed="false">
      <c r="A31" s="43" t="s">
        <v>320</v>
      </c>
    </row>
  </sheetData>
  <conditionalFormatting sqref="E29">
    <cfRule type="expression" priority="2" aboveAverage="0" equalAverage="0" bottom="0" percent="0" rank="0" text="" dxfId="1">
      <formula>LEFT(E29,2)="停止"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4"/>
  </cols>
  <sheetData>
    <row r="1" customFormat="false" ht="19.4" hidden="false" customHeight="false" outlineLevel="0" collapsed="false">
      <c r="A1" s="4" t="s">
        <v>321</v>
      </c>
    </row>
    <row r="3" customFormat="false" ht="31.5" hidden="false" customHeight="true" outlineLevel="0" collapsed="false">
      <c r="A3" s="5" t="s">
        <v>322</v>
      </c>
      <c r="B3" s="5" t="s">
        <v>13</v>
      </c>
      <c r="C3" s="5" t="s">
        <v>323</v>
      </c>
      <c r="D3" s="5" t="s">
        <v>324</v>
      </c>
      <c r="E3" s="5" t="s">
        <v>325</v>
      </c>
      <c r="F3" s="5" t="s">
        <v>326</v>
      </c>
      <c r="G3" s="5" t="s">
        <v>327</v>
      </c>
      <c r="H3" s="5" t="s">
        <v>328</v>
      </c>
      <c r="I3" s="5" t="s">
        <v>329</v>
      </c>
      <c r="J3" s="5" t="s">
        <v>330</v>
      </c>
      <c r="K3" s="5" t="s">
        <v>331</v>
      </c>
      <c r="L3" s="5" t="s">
        <v>332</v>
      </c>
      <c r="M3" s="5" t="s">
        <v>333</v>
      </c>
      <c r="N3" s="5" t="s">
        <v>334</v>
      </c>
    </row>
    <row r="4" customFormat="false" ht="15" hidden="false" customHeight="false" outlineLevel="0" collapsed="false">
      <c r="A4" s="50" t="s">
        <v>335</v>
      </c>
      <c r="B4" s="54" t="n">
        <v>51.77</v>
      </c>
      <c r="C4" s="54" t="n">
        <v>52.49</v>
      </c>
      <c r="D4" s="54" t="n">
        <v>51.75</v>
      </c>
      <c r="E4" s="54" t="n">
        <v>53.78</v>
      </c>
      <c r="F4" s="54" t="n">
        <v>54.49</v>
      </c>
      <c r="G4" s="54" t="n">
        <v>53.39</v>
      </c>
      <c r="H4" s="54" t="n">
        <v>53.87</v>
      </c>
      <c r="I4" s="54" t="n">
        <v>47.61</v>
      </c>
      <c r="J4" s="25" t="n">
        <f aca="false">IF(B4="","",IF(C4&gt;D4,(C4-B4)/(C4-D4),""))</f>
        <v>0.972972972972969</v>
      </c>
      <c r="K4" s="25" t="n">
        <f aca="false">IF(E4="","",IF(F4&gt;G4,(E4-G4)/(F4-G4),""))</f>
        <v>0.354545454545455</v>
      </c>
      <c r="L4" s="25" t="n">
        <f aca="false">IF(OR(B4="",E4=""),"",IF(H4&gt;I4,(E4-B4)/(H4-I4),""))</f>
        <v>0.32108626198083</v>
      </c>
      <c r="M4" s="22" t="str">
        <f aca="false">IF(L4="","",IF(L4&gt;=0.3,"A",IF(L4&gt;=0.15,"B","C")))</f>
        <v>A</v>
      </c>
      <c r="N4" s="24" t="n">
        <f aca="false">IF(OR(B4="",E4=""),"",E4-B4)</f>
        <v>2.01</v>
      </c>
    </row>
    <row r="5" customFormat="false" ht="15" hidden="false" customHeight="false" outlineLevel="0" collapsed="false">
      <c r="A5" s="50"/>
      <c r="B5" s="54"/>
      <c r="C5" s="54"/>
      <c r="D5" s="54"/>
      <c r="E5" s="54"/>
      <c r="F5" s="54"/>
      <c r="G5" s="54"/>
      <c r="H5" s="54"/>
      <c r="I5" s="54"/>
      <c r="J5" s="25" t="str">
        <f aca="false">IF(B5="","",IF(C5&gt;D5,(C5-B5)/(C5-D5),""))</f>
        <v/>
      </c>
      <c r="K5" s="25" t="str">
        <f aca="false">IF(E5="","",IF(F5&gt;G5,(E5-G5)/(F5-G5),""))</f>
        <v/>
      </c>
      <c r="L5" s="25" t="str">
        <f aca="false">IF(OR(B5="",E5=""),"",IF(H5&gt;I5,(E5-B5)/(H5-I5),""))</f>
        <v/>
      </c>
      <c r="M5" s="22" t="str">
        <f aca="false">IF(L5="","",IF(L5&gt;=0.3,"A",IF(L5&gt;=0.15,"B","C")))</f>
        <v/>
      </c>
      <c r="N5" s="24" t="str">
        <f aca="false">IF(OR(B5="",E5=""),"",E5-B5)</f>
        <v/>
      </c>
    </row>
    <row r="6" customFormat="false" ht="15" hidden="false" customHeight="false" outlineLevel="0" collapsed="false">
      <c r="A6" s="50"/>
      <c r="B6" s="54"/>
      <c r="C6" s="54"/>
      <c r="D6" s="54"/>
      <c r="E6" s="54"/>
      <c r="F6" s="54"/>
      <c r="G6" s="54"/>
      <c r="H6" s="54"/>
      <c r="I6" s="54"/>
      <c r="J6" s="25" t="str">
        <f aca="false">IF(B6="","",IF(C6&gt;D6,(C6-B6)/(C6-D6),""))</f>
        <v/>
      </c>
      <c r="K6" s="25" t="str">
        <f aca="false">IF(E6="","",IF(F6&gt;G6,(E6-G6)/(F6-G6),""))</f>
        <v/>
      </c>
      <c r="L6" s="25" t="str">
        <f aca="false">IF(OR(B6="",E6=""),"",IF(H6&gt;I6,(E6-B6)/(H6-I6),""))</f>
        <v/>
      </c>
      <c r="M6" s="22" t="str">
        <f aca="false">IF(L6="","",IF(L6&gt;=0.3,"A",IF(L6&gt;=0.15,"B","C")))</f>
        <v/>
      </c>
      <c r="N6" s="24" t="str">
        <f aca="false">IF(OR(B6="",E6=""),"",E6-B6)</f>
        <v/>
      </c>
    </row>
    <row r="7" customFormat="false" ht="15" hidden="false" customHeight="false" outlineLevel="0" collapsed="false">
      <c r="A7" s="50"/>
      <c r="B7" s="54"/>
      <c r="C7" s="54"/>
      <c r="D7" s="54"/>
      <c r="E7" s="54"/>
      <c r="F7" s="54"/>
      <c r="G7" s="54"/>
      <c r="H7" s="54"/>
      <c r="I7" s="54"/>
      <c r="J7" s="25" t="str">
        <f aca="false">IF(B7="","",IF(C7&gt;D7,(C7-B7)/(C7-D7),""))</f>
        <v/>
      </c>
      <c r="K7" s="25" t="str">
        <f aca="false">IF(E7="","",IF(F7&gt;G7,(E7-G7)/(F7-G7),""))</f>
        <v/>
      </c>
      <c r="L7" s="25" t="str">
        <f aca="false">IF(OR(B7="",E7=""),"",IF(H7&gt;I7,(E7-B7)/(H7-I7),""))</f>
        <v/>
      </c>
      <c r="M7" s="22" t="str">
        <f aca="false">IF(L7="","",IF(L7&gt;=0.3,"A",IF(L7&gt;=0.15,"B","C")))</f>
        <v/>
      </c>
      <c r="N7" s="24" t="str">
        <f aca="false">IF(OR(B7="",E7=""),"",E7-B7)</f>
        <v/>
      </c>
    </row>
    <row r="8" customFormat="false" ht="15" hidden="false" customHeight="false" outlineLevel="0" collapsed="false">
      <c r="A8" s="50"/>
      <c r="B8" s="54"/>
      <c r="C8" s="54"/>
      <c r="D8" s="54"/>
      <c r="E8" s="54"/>
      <c r="F8" s="54"/>
      <c r="G8" s="54"/>
      <c r="H8" s="54"/>
      <c r="I8" s="54"/>
      <c r="J8" s="25" t="str">
        <f aca="false">IF(B8="","",IF(C8&gt;D8,(C8-B8)/(C8-D8),""))</f>
        <v/>
      </c>
      <c r="K8" s="25" t="str">
        <f aca="false">IF(E8="","",IF(F8&gt;G8,(E8-G8)/(F8-G8),""))</f>
        <v/>
      </c>
      <c r="L8" s="25" t="str">
        <f aca="false">IF(OR(B8="",E8=""),"",IF(H8&gt;I8,(E8-B8)/(H8-I8),""))</f>
        <v/>
      </c>
      <c r="M8" s="22" t="str">
        <f aca="false">IF(L8="","",IF(L8&gt;=0.3,"A",IF(L8&gt;=0.15,"B","C")))</f>
        <v/>
      </c>
      <c r="N8" s="24" t="str">
        <f aca="false">IF(OR(B8="",E8=""),"",E8-B8)</f>
        <v/>
      </c>
    </row>
    <row r="9" customFormat="false" ht="15" hidden="false" customHeight="false" outlineLevel="0" collapsed="false">
      <c r="A9" s="50"/>
      <c r="B9" s="54"/>
      <c r="C9" s="54"/>
      <c r="D9" s="54"/>
      <c r="E9" s="54"/>
      <c r="F9" s="54"/>
      <c r="G9" s="54"/>
      <c r="H9" s="54"/>
      <c r="I9" s="54"/>
      <c r="J9" s="25" t="str">
        <f aca="false">IF(B9="","",IF(C9&gt;D9,(C9-B9)/(C9-D9),""))</f>
        <v/>
      </c>
      <c r="K9" s="25" t="str">
        <f aca="false">IF(E9="","",IF(F9&gt;G9,(E9-G9)/(F9-G9),""))</f>
        <v/>
      </c>
      <c r="L9" s="25" t="str">
        <f aca="false">IF(OR(B9="",E9=""),"",IF(H9&gt;I9,(E9-B9)/(H9-I9),""))</f>
        <v/>
      </c>
      <c r="M9" s="22" t="str">
        <f aca="false">IF(L9="","",IF(L9&gt;=0.3,"A",IF(L9&gt;=0.15,"B","C")))</f>
        <v/>
      </c>
      <c r="N9" s="24" t="str">
        <f aca="false">IF(OR(B9="",E9=""),"",E9-B9)</f>
        <v/>
      </c>
    </row>
    <row r="10" customFormat="false" ht="15" hidden="false" customHeight="false" outlineLevel="0" collapsed="false">
      <c r="A10" s="50"/>
      <c r="B10" s="54"/>
      <c r="C10" s="54"/>
      <c r="D10" s="54"/>
      <c r="E10" s="54"/>
      <c r="F10" s="54"/>
      <c r="G10" s="54"/>
      <c r="H10" s="54"/>
      <c r="I10" s="54"/>
      <c r="J10" s="25" t="str">
        <f aca="false">IF(B10="","",IF(C10&gt;D10,(C10-B10)/(C10-D10),""))</f>
        <v/>
      </c>
      <c r="K10" s="25" t="str">
        <f aca="false">IF(E10="","",IF(F10&gt;G10,(E10-G10)/(F10-G10),""))</f>
        <v/>
      </c>
      <c r="L10" s="25" t="str">
        <f aca="false">IF(OR(B10="",E10=""),"",IF(H10&gt;I10,(E10-B10)/(H10-I10),""))</f>
        <v/>
      </c>
      <c r="M10" s="22" t="str">
        <f aca="false">IF(L10="","",IF(L10&gt;=0.3,"A",IF(L10&gt;=0.15,"B","C")))</f>
        <v/>
      </c>
      <c r="N10" s="24" t="str">
        <f aca="false">IF(OR(B10="",E10=""),"",E10-B10)</f>
        <v/>
      </c>
    </row>
    <row r="11" customFormat="false" ht="15" hidden="false" customHeight="false" outlineLevel="0" collapsed="false">
      <c r="A11" s="50"/>
      <c r="B11" s="54"/>
      <c r="C11" s="54"/>
      <c r="D11" s="54"/>
      <c r="E11" s="54"/>
      <c r="F11" s="54"/>
      <c r="G11" s="54"/>
      <c r="H11" s="54"/>
      <c r="I11" s="54"/>
      <c r="J11" s="25" t="str">
        <f aca="false">IF(B11="","",IF(C11&gt;D11,(C11-B11)/(C11-D11),""))</f>
        <v/>
      </c>
      <c r="K11" s="25" t="str">
        <f aca="false">IF(E11="","",IF(F11&gt;G11,(E11-G11)/(F11-G11),""))</f>
        <v/>
      </c>
      <c r="L11" s="25" t="str">
        <f aca="false">IF(OR(B11="",E11=""),"",IF(H11&gt;I11,(E11-B11)/(H11-I11),""))</f>
        <v/>
      </c>
      <c r="M11" s="22" t="str">
        <f aca="false">IF(L11="","",IF(L11&gt;=0.3,"A",IF(L11&gt;=0.15,"B","C")))</f>
        <v/>
      </c>
      <c r="N11" s="24" t="str">
        <f aca="false">IF(OR(B11="",E11=""),"",E11-B11)</f>
        <v/>
      </c>
    </row>
    <row r="13" customFormat="false" ht="15" hidden="false" customHeight="true" outlineLevel="0" collapsed="false">
      <c r="A13" s="55" t="s">
        <v>336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</row>
    <row r="14" customFormat="false" ht="15" hidden="false" customHeight="false" outlineLevel="0" collapsed="false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</row>
  </sheetData>
  <mergeCells count="1">
    <mergeCell ref="A13:N14"/>
  </mergeCells>
  <conditionalFormatting sqref="M4:M11">
    <cfRule type="cellIs" priority="2" operator="equal" aboveAverage="0" equalAverage="0" bottom="0" percent="0" rank="0" text="" dxfId="0">
      <formula>"A"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70"/>
  </cols>
  <sheetData>
    <row r="1" customFormat="false" ht="19.4" hidden="false" customHeight="false" outlineLevel="0" collapsed="false">
      <c r="A1" s="4" t="s">
        <v>337</v>
      </c>
    </row>
    <row r="3" customFormat="false" ht="15" hidden="false" customHeight="false" outlineLevel="0" collapsed="false">
      <c r="A3" s="5" t="s">
        <v>338</v>
      </c>
      <c r="B3" s="5" t="s">
        <v>339</v>
      </c>
      <c r="C3" s="5" t="s">
        <v>340</v>
      </c>
    </row>
    <row r="4" customFormat="false" ht="15" hidden="false" customHeight="false" outlineLevel="0" collapsed="false">
      <c r="A4" s="3" t="s">
        <v>341</v>
      </c>
      <c r="B4" s="9" t="n">
        <v>1</v>
      </c>
      <c r="C4" s="3" t="s">
        <v>342</v>
      </c>
    </row>
    <row r="5" customFormat="false" ht="15" hidden="false" customHeight="false" outlineLevel="0" collapsed="false">
      <c r="A5" s="3" t="s">
        <v>343</v>
      </c>
      <c r="B5" s="9" t="n">
        <v>0</v>
      </c>
      <c r="C5" s="3" t="s">
        <v>344</v>
      </c>
    </row>
    <row r="6" customFormat="false" ht="15" hidden="false" customHeight="false" outlineLevel="0" collapsed="false">
      <c r="A6" s="10" t="s">
        <v>345</v>
      </c>
      <c r="B6" s="9" t="n">
        <v>45</v>
      </c>
      <c r="C6" s="3" t="s">
        <v>346</v>
      </c>
    </row>
    <row r="7" customFormat="false" ht="15" hidden="false" customHeight="false" outlineLevel="0" collapsed="false">
      <c r="A7" s="10" t="s">
        <v>347</v>
      </c>
      <c r="B7" s="9" t="n">
        <v>60</v>
      </c>
      <c r="C7" s="3" t="s">
        <v>348</v>
      </c>
    </row>
    <row r="8" customFormat="false" ht="15" hidden="false" customHeight="false" outlineLevel="0" collapsed="false">
      <c r="A8" s="3" t="s">
        <v>349</v>
      </c>
      <c r="B8" s="9" t="n">
        <v>0</v>
      </c>
      <c r="C8" s="3" t="s">
        <v>350</v>
      </c>
    </row>
    <row r="10" customFormat="false" ht="26.1" hidden="false" customHeight="false" outlineLevel="0" collapsed="false">
      <c r="A10" s="13" t="s">
        <v>351</v>
      </c>
      <c r="B10" s="17" t="n">
        <f aca="false">IF(B4=1,1,0)+IF(B5&gt;=0,1,0)+IF(B6&gt;=40,1,0)+IF(B7&gt;0,1,0)</f>
        <v>4</v>
      </c>
      <c r="C10" s="3" t="s">
        <v>352</v>
      </c>
    </row>
    <row r="11" customFormat="false" ht="15" hidden="false" customHeight="false" outlineLevel="0" collapsed="false">
      <c r="A11" s="13" t="s">
        <v>353</v>
      </c>
      <c r="B11" s="25" t="n">
        <f aca="false">IF(B5=-1,IF(B8=1,0.5,0),CHOOSE(B10+1,0,0,0.5,0.75,1))</f>
        <v>1</v>
      </c>
      <c r="C11" s="3" t="s">
        <v>354</v>
      </c>
    </row>
    <row r="12" customFormat="false" ht="15" hidden="false" customHeight="false" outlineLevel="0" collapsed="false">
      <c r="A12" s="13" t="s">
        <v>157</v>
      </c>
      <c r="B12" s="22" t="str">
        <f aca="false">IF(B11=0,"空仓观望",IF(B11&lt;1,"降风险","正常进攻"))</f>
        <v>正常进攻</v>
      </c>
      <c r="C12" s="3" t="s">
        <v>355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9.4" hidden="false" customHeight="false" outlineLevel="0" collapsed="false">
      <c r="A1" s="4" t="s">
        <v>356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2026-10-09T11:55:06Z</dcterms:created>
  <dc:creator>openpyxl</dc:creator>
  <dc:description/>
  <dc:language>en-US</dc:language>
  <cp:lastModifiedBy/>
  <dcterms:modified xsi:type="dcterms:W3CDTF">2026-10-09T11:55:06Z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